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ibr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335A"/>
      <sz val="14"/>
    </font>
    <font>
      <name val="Arial"/>
      <color rgb="001D2B36"/>
      <sz val="10"/>
    </font>
    <font>
      <name val="Arial"/>
      <b val="1"/>
      <color rgb="0000335A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2" borderId="0" pivotButton="0" quotePrefix="0" xfId="0"/>
    <xf numFmtId="0" fontId="2" fillId="2" borderId="0" pivotButton="0" quotePrefix="0" xfId="0"/>
    <xf numFmtId="164" fontId="2" fillId="0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Calibracao" displayName="tbl_Calibracao" ref="A1:K148" headerRowCount="1">
  <autoFilter ref="A1:K148"/>
  <tableColumns count="11">
    <tableColumn id="1" name="Tag"/>
    <tableColumn id="2" name="Equipamento"/>
    <tableColumn id="3" name="Laboratório"/>
    <tableColumn id="4" name="Local"/>
    <tableColumn id="5" name="Frequência (meses)"/>
    <tableColumn id="6" name="Última Calibração"/>
    <tableColumn id="7" name="Próximo Vencimento"/>
    <tableColumn id="8" name="Status Calibração"/>
    <tableColumn id="9" name="Certificado"/>
    <tableColumn id="10" name="Empresa Calibradora"/>
    <tableColumn id="11" name="Observaçõ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tbl_Calibracao · planilha coerente com o Power BI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Na aba de calibração da Base_PowerBI_Gestao_Equipamentos.xlsx (SharePoint, pasta ZTESTE), apague as linhas de dados da tabela (mantenha o cabeçalho).</t>
        </is>
      </c>
    </row>
    <row r="5">
      <c r="A5" s="2" t="inlineStr">
        <is>
          <t>2. Nesta planilha, aba "Calibração", selecione de A2 até a última linha da coluna K, copie e cole na primeira linha de dados da sua tabela (coluna Tag).</t>
        </is>
      </c>
    </row>
    <row r="6">
      <c r="A6" s="2" t="inlineStr">
        <is>
          <t>3. Salve. No Power BI: Página Inicial &gt; Atualizar.</t>
        </is>
      </c>
    </row>
    <row r="7">
      <c r="A7" s="2" t="inlineStr">
        <is>
          <t xml:space="preserve">   Os cabeçalhos e a ordem das colunas são os mesmos da sua planilha; nada muda de estrutura.</t>
        </is>
      </c>
    </row>
    <row r="8">
      <c r="A8" s="2" t="inlineStr"/>
    </row>
    <row r="9">
      <c r="A9" s="3" t="inlineStr">
        <is>
          <t>O QUE O POWER BI USA</t>
        </is>
      </c>
    </row>
    <row r="10">
      <c r="A10" s="2" t="inlineStr">
        <is>
          <t>Obrigatórias: Tag, Equipamento, Laboratório, Próximo Vencimento. Muito recomendadas: Última Calibração, Local, Frequência (meses).</t>
        </is>
      </c>
    </row>
    <row r="11">
      <c r="A11" s="2" t="inlineStr">
        <is>
          <t>Todos os visuais de calibração (Em Dia, A Vencer, Vencido, criticidade, faixas) são calculados pelas DATAS. As colunas Certificado, Empresa Calibradora e Observações são opcionais.</t>
        </is>
      </c>
    </row>
    <row r="12">
      <c r="A12" s="2" t="inlineStr"/>
    </row>
    <row r="13">
      <c r="A13" s="3" t="inlineStr">
        <is>
          <t>COLUNA STATUS CALIBRAÇÃO (preenchida por fórmula)</t>
        </is>
      </c>
    </row>
    <row r="14">
      <c r="A14" s="2" t="inlineStr">
        <is>
          <t>OK = Próximo Vencimento hoje ou no futuro (calibração válida)  ·  N/OK = Próximo Vencimento já passou (vencida)  ·  vazio = sem data.</t>
        </is>
      </c>
    </row>
    <row r="15">
      <c r="A15" s="2" t="inlineStr">
        <is>
          <t>E/C (em calibração): digite por cima da fórmula quando o instrumento sair para calibrar. Ao voltar com certificado novo, atualize as datas e copie a fórmula da linha de cima.</t>
        </is>
      </c>
    </row>
    <row r="16">
      <c r="A16" s="2" t="inlineStr">
        <is>
          <t>A fórmula atualiza sozinha todo dia (usa HOJE). A lista de valores aceitos na célula é OK, N/OK e E/C.</t>
        </is>
      </c>
    </row>
    <row r="17">
      <c r="A17" s="2" t="inlineStr"/>
    </row>
    <row r="18">
      <c r="A18" s="3" t="inlineStr">
        <is>
          <t>O QUE FOI CORRIGIDO (células amarelas)</t>
        </is>
      </c>
    </row>
    <row r="19">
      <c r="A19" s="2" t="inlineStr">
        <is>
          <t>• PN - 646: Vencimento corrigido de 31/06/2026 para 30/06/2026 (dia inexistente)</t>
        </is>
      </c>
    </row>
    <row r="20">
      <c r="A20" s="2" t="inlineStr">
        <is>
          <t>• 66BL59: Vencimento corrigido de 31/09/2026 para 30/09/2026 (dia inexistente)</t>
        </is>
      </c>
    </row>
    <row r="21">
      <c r="A21" s="2" t="inlineStr">
        <is>
          <t>• PN 0543: linha repetida idêntica, mantida uma vez só</t>
        </is>
      </c>
    </row>
    <row r="22">
      <c r="A22" s="2" t="inlineStr"/>
    </row>
    <row r="23">
      <c r="A23" s="3" t="inlineStr">
        <is>
          <t>PARA CONFERIR (não foi alterado; só você sabe o valor certo)</t>
        </is>
      </c>
    </row>
    <row r="24">
      <c r="A24" s="2" t="inlineStr">
        <is>
          <t>• PN 456: Última Calibração 01/10/2026 está no futuro (seria 01/10/2025?).</t>
        </is>
      </c>
    </row>
    <row r="25">
      <c r="A25" s="2" t="inlineStr">
        <is>
          <t>• 66BL 71: frequência 12 meses, mas 01/03/2025 → 31/03/2027 dá 24 meses.</t>
        </is>
      </c>
    </row>
    <row r="26">
      <c r="A26" s="2" t="inlineStr">
        <is>
          <t>• 66PS 08 e 66PS01: frequência 6 meses, mas o intervalo entre as datas dá 12 meses.</t>
        </is>
      </c>
    </row>
    <row r="27">
      <c r="A27" s="2" t="inlineStr">
        <is>
          <t>• 66PS05: frequência 3 meses, mas 01/05/2025 → 30/08/2026 dá 15 meses.</t>
        </is>
      </c>
    </row>
    <row r="28">
      <c r="A28" s="2" t="inlineStr">
        <is>
          <t>• PN - 303: frequência 12 meses, mas 02/09/2026 → 13/02/2027 dá 5 meses.</t>
        </is>
      </c>
    </row>
    <row r="29">
      <c r="A29" s="2" t="inlineStr">
        <is>
          <t>• PV0002 e PV0003: frequência 1 mês com última calibração em 2021.</t>
        </is>
      </c>
    </row>
    <row r="30">
      <c r="A30" s="2" t="inlineStr">
        <is>
          <t>• Sem datas: PN 0634, PN 0615, PN 0613, PN 0636, PN 0611 e 66BL94 (aparecem como "Sem Data").</t>
        </is>
      </c>
    </row>
    <row r="31">
      <c r="A31" s="2" t="inlineStr">
        <is>
          <t>• TAGs quase iguais para peneiras diferentes: PN - 046 / PN 046, PN - 425 / PN 425, PN - 497 / PN 497.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1" customWidth="1" min="4" max="4"/>
    <col width="11" customWidth="1" min="5" max="5"/>
    <col width="15" customWidth="1" min="6" max="6"/>
    <col width="16" customWidth="1" min="7" max="7"/>
    <col width="15" customWidth="1" min="8" max="8"/>
    <col width="14" customWidth="1" min="9" max="9"/>
    <col width="20" customWidth="1" min="10" max="10"/>
    <col width="46" customWidth="1" min="11" max="11"/>
  </cols>
  <sheetData>
    <row r="1">
      <c r="A1" s="4" t="inlineStr">
        <is>
          <t>Tag</t>
        </is>
      </c>
      <c r="B1" s="4" t="inlineStr">
        <is>
          <t>Equipamento</t>
        </is>
      </c>
      <c r="C1" s="4" t="inlineStr">
        <is>
          <t>Laboratório</t>
        </is>
      </c>
      <c r="D1" s="4" t="inlineStr">
        <is>
          <t>Local</t>
        </is>
      </c>
      <c r="E1" s="4" t="inlineStr">
        <is>
          <t>Frequência (meses)</t>
        </is>
      </c>
      <c r="F1" s="4" t="inlineStr">
        <is>
          <t>Última Calibração</t>
        </is>
      </c>
      <c r="G1" s="4" t="inlineStr">
        <is>
          <t>Próximo Vencimento</t>
        </is>
      </c>
      <c r="H1" s="4" t="inlineStr">
        <is>
          <t>Status Calibração</t>
        </is>
      </c>
      <c r="I1" s="4" t="inlineStr">
        <is>
          <t>Certificado</t>
        </is>
      </c>
      <c r="J1" s="4" t="inlineStr">
        <is>
          <t>Empresa Calibradora</t>
        </is>
      </c>
      <c r="K1" s="4" t="inlineStr">
        <is>
          <t>Observações</t>
        </is>
      </c>
    </row>
    <row r="2">
      <c r="A2" s="5" t="inlineStr">
        <is>
          <t>66AN 11</t>
        </is>
      </c>
      <c r="B2" s="5" t="inlineStr">
        <is>
          <t>Balança analisadora umidade</t>
        </is>
      </c>
      <c r="C2" s="5" t="inlineStr">
        <is>
          <t>LCP</t>
        </is>
      </c>
      <c r="D2" s="5" t="inlineStr">
        <is>
          <t>FÍSICO</t>
        </is>
      </c>
      <c r="E2" s="6" t="n">
        <v>12</v>
      </c>
      <c r="F2" s="11" t="n">
        <v>46023</v>
      </c>
      <c r="G2" s="11" t="n">
        <v>46388</v>
      </c>
      <c r="H2" s="8">
        <f>IF(G2="","",IF(G2&lt;TODAY(),"N/OK","OK"))</f>
        <v/>
      </c>
      <c r="I2" s="5" t="n"/>
      <c r="J2" s="5" t="n"/>
      <c r="K2" s="5" t="n"/>
    </row>
    <row r="3">
      <c r="A3" s="5" t="inlineStr">
        <is>
          <t>66AN12</t>
        </is>
      </c>
      <c r="B3" s="5" t="inlineStr">
        <is>
          <t>Balança analisadora umidade</t>
        </is>
      </c>
      <c r="C3" s="5" t="inlineStr">
        <is>
          <t>LCP</t>
        </is>
      </c>
      <c r="D3" s="5" t="inlineStr">
        <is>
          <t>FÍSICO</t>
        </is>
      </c>
      <c r="E3" s="6" t="n">
        <v>12</v>
      </c>
      <c r="F3" s="11" t="n">
        <v>45992</v>
      </c>
      <c r="G3" s="11" t="n">
        <v>46387</v>
      </c>
      <c r="H3" s="8">
        <f>IF(G3="","",IF(G3&lt;TODAY(),"N/OK","OK"))</f>
        <v/>
      </c>
      <c r="I3" s="5" t="n"/>
      <c r="J3" s="5" t="n"/>
      <c r="K3" s="5" t="n"/>
    </row>
    <row r="4">
      <c r="A4" s="5" t="inlineStr">
        <is>
          <t>66BL 54</t>
        </is>
      </c>
      <c r="B4" s="5" t="inlineStr">
        <is>
          <t>Balança de Precisão  25,0 kg</t>
        </is>
      </c>
      <c r="C4" s="5" t="inlineStr">
        <is>
          <t>LCP</t>
        </is>
      </c>
      <c r="D4" s="5" t="inlineStr">
        <is>
          <t>FÍSICO</t>
        </is>
      </c>
      <c r="E4" s="6" t="n">
        <v>12</v>
      </c>
      <c r="F4" s="11" t="n">
        <v>46143</v>
      </c>
      <c r="G4" s="11" t="n">
        <v>46537</v>
      </c>
      <c r="H4" s="8">
        <f>IF(G4="","",IF(G4&lt;TODAY(),"N/OK","OK"))</f>
        <v/>
      </c>
      <c r="I4" s="5" t="n"/>
      <c r="J4" s="5" t="n"/>
      <c r="K4" s="5" t="n"/>
    </row>
    <row r="5">
      <c r="A5" s="5" t="inlineStr">
        <is>
          <t>66BL 62</t>
        </is>
      </c>
      <c r="B5" s="5" t="inlineStr">
        <is>
          <t>Balança 4,200Kg</t>
        </is>
      </c>
      <c r="C5" s="5" t="inlineStr">
        <is>
          <t>LCP</t>
        </is>
      </c>
      <c r="D5" s="5" t="inlineStr">
        <is>
          <t>FÍSICO</t>
        </is>
      </c>
      <c r="E5" s="6" t="n">
        <v>12</v>
      </c>
      <c r="F5" s="11" t="n">
        <v>46082</v>
      </c>
      <c r="G5" s="11" t="n">
        <v>46477</v>
      </c>
      <c r="H5" s="8">
        <f>IF(G5="","",IF(G5&lt;TODAY(),"N/OK","OK"))</f>
        <v/>
      </c>
      <c r="I5" s="5" t="n"/>
      <c r="J5" s="5" t="n"/>
      <c r="K5" s="5" t="n"/>
    </row>
    <row r="6">
      <c r="A6" s="5" t="inlineStr">
        <is>
          <t>66BL 68</t>
        </is>
      </c>
      <c r="B6" s="5" t="inlineStr">
        <is>
          <t>Balança 4,200Kg</t>
        </is>
      </c>
      <c r="C6" s="5" t="inlineStr">
        <is>
          <t>LCP</t>
        </is>
      </c>
      <c r="D6" s="5" t="inlineStr">
        <is>
          <t>FÍSICO</t>
        </is>
      </c>
      <c r="E6" s="6" t="n">
        <v>12</v>
      </c>
      <c r="F6" s="11" t="n">
        <v>46113</v>
      </c>
      <c r="G6" s="11" t="n">
        <v>46478</v>
      </c>
      <c r="H6" s="8">
        <f>IF(G6="","",IF(G6&lt;TODAY(),"N/OK","OK"))</f>
        <v/>
      </c>
      <c r="I6" s="5" t="n"/>
      <c r="J6" s="5" t="n"/>
      <c r="K6" s="5" t="n"/>
    </row>
    <row r="7">
      <c r="A7" s="5" t="inlineStr">
        <is>
          <t>66BL 69</t>
        </is>
      </c>
      <c r="B7" s="5" t="inlineStr">
        <is>
          <t>Balança 4,200Kg</t>
        </is>
      </c>
      <c r="C7" s="5" t="inlineStr">
        <is>
          <t>LCP</t>
        </is>
      </c>
      <c r="D7" s="5" t="inlineStr">
        <is>
          <t>FÍSICO</t>
        </is>
      </c>
      <c r="E7" s="6" t="n">
        <v>12</v>
      </c>
      <c r="F7" s="11" t="n">
        <v>46113</v>
      </c>
      <c r="G7" s="11" t="n">
        <v>46478</v>
      </c>
      <c r="H7" s="8">
        <f>IF(G7="","",IF(G7&lt;TODAY(),"N/OK","OK"))</f>
        <v/>
      </c>
      <c r="I7" s="5" t="n"/>
      <c r="J7" s="5" t="n"/>
      <c r="K7" s="5" t="n"/>
    </row>
    <row r="8">
      <c r="A8" s="5" t="inlineStr">
        <is>
          <t>66BL 71</t>
        </is>
      </c>
      <c r="B8" s="5" t="inlineStr">
        <is>
          <t>Balança 4,200Kg</t>
        </is>
      </c>
      <c r="C8" s="5" t="inlineStr">
        <is>
          <t>LCP</t>
        </is>
      </c>
      <c r="D8" s="5" t="inlineStr">
        <is>
          <t>FÍSICO</t>
        </is>
      </c>
      <c r="E8" s="6" t="n">
        <v>12</v>
      </c>
      <c r="F8" s="11" t="n">
        <v>45717</v>
      </c>
      <c r="G8" s="11" t="n">
        <v>46477</v>
      </c>
      <c r="H8" s="8">
        <f>IF(G8="","",IF(G8&lt;TODAY(),"N/OK","OK"))</f>
        <v/>
      </c>
      <c r="I8" s="5" t="n"/>
      <c r="J8" s="5" t="n"/>
      <c r="K8" s="5" t="n"/>
    </row>
    <row r="9">
      <c r="A9" s="5" t="inlineStr">
        <is>
          <t>66BL 92</t>
        </is>
      </c>
      <c r="B9" s="5" t="inlineStr">
        <is>
          <t>Balança de Precisão  20,0 kg</t>
        </is>
      </c>
      <c r="C9" s="5" t="inlineStr">
        <is>
          <t>LCP</t>
        </is>
      </c>
      <c r="D9" s="5" t="inlineStr">
        <is>
          <t>FÍSICO</t>
        </is>
      </c>
      <c r="E9" s="6" t="n">
        <v>12</v>
      </c>
      <c r="F9" s="11" t="n">
        <v>46143</v>
      </c>
      <c r="G9" s="11" t="n">
        <v>46538</v>
      </c>
      <c r="H9" s="8">
        <f>IF(G9="","",IF(G9&lt;TODAY(),"N/OK","OK"))</f>
        <v/>
      </c>
      <c r="I9" s="5" t="n"/>
      <c r="J9" s="5" t="n"/>
      <c r="K9" s="5" t="n"/>
    </row>
    <row r="10">
      <c r="A10" s="5" t="inlineStr">
        <is>
          <t>66BL 95</t>
        </is>
      </c>
      <c r="B10" s="5" t="inlineStr">
        <is>
          <t>Balança de Precisão 3,100 Kg</t>
        </is>
      </c>
      <c r="C10" s="5" t="inlineStr">
        <is>
          <t>LCP</t>
        </is>
      </c>
      <c r="D10" s="5" t="inlineStr">
        <is>
          <t>FÍSICO</t>
        </is>
      </c>
      <c r="E10" s="6" t="n">
        <v>12</v>
      </c>
      <c r="F10" s="11" t="n">
        <v>45962</v>
      </c>
      <c r="G10" s="11" t="n">
        <v>46327</v>
      </c>
      <c r="H10" s="8">
        <f>IF(G10="","",IF(G10&lt;TODAY(),"N/OK","OK"))</f>
        <v/>
      </c>
      <c r="I10" s="5" t="n"/>
      <c r="J10" s="5" t="n"/>
      <c r="K10" s="5" t="n"/>
    </row>
    <row r="11">
      <c r="A11" s="5" t="inlineStr">
        <is>
          <t>66BL 98</t>
        </is>
      </c>
      <c r="B11" s="5" t="inlineStr">
        <is>
          <t>Balança de Precisão  20,0 kg</t>
        </is>
      </c>
      <c r="C11" s="5" t="inlineStr">
        <is>
          <t>LCP</t>
        </is>
      </c>
      <c r="D11" s="5" t="inlineStr">
        <is>
          <t>FÍSICO</t>
        </is>
      </c>
      <c r="E11" s="6" t="n">
        <v>12</v>
      </c>
      <c r="F11" s="11" t="n">
        <v>45931</v>
      </c>
      <c r="G11" s="11" t="n">
        <v>46326</v>
      </c>
      <c r="H11" s="8">
        <f>IF(G11="","",IF(G11&lt;TODAY(),"N/OK","OK"))</f>
        <v/>
      </c>
      <c r="I11" s="5" t="n"/>
      <c r="J11" s="5" t="n"/>
      <c r="K11" s="5" t="n"/>
    </row>
    <row r="12">
      <c r="A12" s="5" t="inlineStr">
        <is>
          <t>66BL 99</t>
        </is>
      </c>
      <c r="B12" s="5" t="inlineStr">
        <is>
          <t>Balança de Precisão  20,0 kg</t>
        </is>
      </c>
      <c r="C12" s="5" t="inlineStr">
        <is>
          <t>LCP</t>
        </is>
      </c>
      <c r="D12" s="5" t="inlineStr">
        <is>
          <t>FÍSICO</t>
        </is>
      </c>
      <c r="E12" s="6" t="n">
        <v>12</v>
      </c>
      <c r="F12" s="11" t="n">
        <v>45992</v>
      </c>
      <c r="G12" s="11" t="n">
        <v>46387</v>
      </c>
      <c r="H12" s="8">
        <f>IF(G12="","",IF(G12&lt;TODAY(),"N/OK","OK"))</f>
        <v/>
      </c>
      <c r="I12" s="5" t="n"/>
      <c r="J12" s="5" t="n"/>
      <c r="K12" s="5" t="n"/>
    </row>
    <row r="13">
      <c r="A13" s="5" t="inlineStr">
        <is>
          <t>66BL 60</t>
        </is>
      </c>
      <c r="B13" s="5" t="inlineStr">
        <is>
          <t>Balança de Precisão  20,0 kg</t>
        </is>
      </c>
      <c r="C13" s="5" t="inlineStr">
        <is>
          <t>LCP</t>
        </is>
      </c>
      <c r="D13" s="5" t="inlineStr">
        <is>
          <t>FÍSICO</t>
        </is>
      </c>
      <c r="E13" s="6" t="n">
        <v>12</v>
      </c>
      <c r="F13" s="11" t="n">
        <v>46113</v>
      </c>
      <c r="G13" s="11" t="n">
        <v>46478</v>
      </c>
      <c r="H13" s="8">
        <f>IF(G13="","",IF(G13&lt;TODAY(),"N/OK","OK"))</f>
        <v/>
      </c>
      <c r="I13" s="5" t="n"/>
      <c r="J13" s="5" t="n"/>
      <c r="K13" s="5" t="n"/>
    </row>
    <row r="14">
      <c r="A14" s="5" t="inlineStr">
        <is>
          <t>66EF 05</t>
        </is>
      </c>
      <c r="B14" s="5" t="inlineStr">
        <is>
          <t>Estufa 05</t>
        </is>
      </c>
      <c r="C14" s="5" t="inlineStr">
        <is>
          <t>LCP</t>
        </is>
      </c>
      <c r="D14" s="5" t="inlineStr">
        <is>
          <t>FÍSICO</t>
        </is>
      </c>
      <c r="E14" s="6" t="n">
        <v>12</v>
      </c>
      <c r="F14" s="11" t="n">
        <v>46054</v>
      </c>
      <c r="G14" s="11" t="n">
        <v>46446</v>
      </c>
      <c r="H14" s="8">
        <f>IF(G14="","",IF(G14&lt;TODAY(),"N/OK","OK"))</f>
        <v/>
      </c>
      <c r="I14" s="5" t="n"/>
      <c r="J14" s="5" t="n"/>
      <c r="K14" s="5" t="n"/>
    </row>
    <row r="15">
      <c r="A15" s="5" t="inlineStr">
        <is>
          <t>66EF 23</t>
        </is>
      </c>
      <c r="B15" s="5" t="inlineStr">
        <is>
          <t>Estufa 23</t>
        </is>
      </c>
      <c r="C15" s="5" t="inlineStr">
        <is>
          <t>LCP</t>
        </is>
      </c>
      <c r="D15" s="5" t="inlineStr">
        <is>
          <t>FÍSICO</t>
        </is>
      </c>
      <c r="E15" s="6" t="n">
        <v>12</v>
      </c>
      <c r="F15" s="11" t="n">
        <v>46113</v>
      </c>
      <c r="G15" s="11" t="n">
        <v>46507</v>
      </c>
      <c r="H15" s="8">
        <f>IF(G15="","",IF(G15&lt;TODAY(),"N/OK","OK"))</f>
        <v/>
      </c>
      <c r="I15" s="5" t="n"/>
      <c r="J15" s="5" t="n"/>
      <c r="K15" s="5" t="n"/>
    </row>
    <row r="16">
      <c r="A16" s="5" t="inlineStr">
        <is>
          <t>66TA 05</t>
        </is>
      </c>
      <c r="B16" s="5" t="inlineStr">
        <is>
          <t>Tambor de Abrasao</t>
        </is>
      </c>
      <c r="C16" s="5" t="inlineStr">
        <is>
          <t>LCP</t>
        </is>
      </c>
      <c r="D16" s="5" t="inlineStr">
        <is>
          <t>FÍSICO</t>
        </is>
      </c>
      <c r="E16" s="6" t="n">
        <v>6</v>
      </c>
      <c r="F16" s="11" t="n">
        <v>46143</v>
      </c>
      <c r="G16" s="11" t="n">
        <v>46357</v>
      </c>
      <c r="H16" s="8">
        <f>IF(G16="","",IF(G16&lt;TODAY(),"N/OK","OK"))</f>
        <v/>
      </c>
      <c r="I16" s="5" t="n"/>
      <c r="J16" s="5" t="n"/>
      <c r="K16" s="5" t="n"/>
    </row>
    <row r="17">
      <c r="A17" s="5" t="inlineStr">
        <is>
          <t>66TA 06</t>
        </is>
      </c>
      <c r="B17" s="5" t="inlineStr">
        <is>
          <t>Tambor de Abrasao</t>
        </is>
      </c>
      <c r="C17" s="5" t="inlineStr">
        <is>
          <t>LCP</t>
        </is>
      </c>
      <c r="D17" s="5" t="inlineStr">
        <is>
          <t>FÍSICO</t>
        </is>
      </c>
      <c r="E17" s="6" t="n">
        <v>6</v>
      </c>
      <c r="F17" s="11" t="n">
        <v>46204</v>
      </c>
      <c r="G17" s="11" t="n">
        <v>46418</v>
      </c>
      <c r="H17" s="8">
        <f>IF(G17="","",IF(G17&lt;TODAY(),"N/OK","OK"))</f>
        <v/>
      </c>
      <c r="I17" s="5" t="n"/>
      <c r="J17" s="5" t="n"/>
      <c r="K17" s="5" t="n"/>
    </row>
    <row r="18">
      <c r="A18" s="5" t="inlineStr">
        <is>
          <t>66TA 08</t>
        </is>
      </c>
      <c r="B18" s="5" t="inlineStr">
        <is>
          <t>Tambor de Abrasao</t>
        </is>
      </c>
      <c r="C18" s="5" t="inlineStr">
        <is>
          <t>LCP</t>
        </is>
      </c>
      <c r="D18" s="5" t="inlineStr">
        <is>
          <t>FÍSICO</t>
        </is>
      </c>
      <c r="E18" s="6" t="n">
        <v>6</v>
      </c>
      <c r="F18" s="11" t="n">
        <v>46143</v>
      </c>
      <c r="G18" s="11" t="n">
        <v>46357</v>
      </c>
      <c r="H18" s="8">
        <f>IF(G18="","",IF(G18&lt;TODAY(),"N/OK","OK"))</f>
        <v/>
      </c>
      <c r="I18" s="5" t="n"/>
      <c r="J18" s="5" t="n"/>
      <c r="K18" s="5" t="n"/>
    </row>
    <row r="19">
      <c r="A19" s="5" t="inlineStr">
        <is>
          <t>66TA 09</t>
        </is>
      </c>
      <c r="B19" s="5" t="inlineStr">
        <is>
          <t>Tambor de Abrasao</t>
        </is>
      </c>
      <c r="C19" s="5" t="inlineStr">
        <is>
          <t>LCP</t>
        </is>
      </c>
      <c r="D19" s="5" t="inlineStr">
        <is>
          <t>FÍSICO</t>
        </is>
      </c>
      <c r="E19" s="6" t="n">
        <v>6</v>
      </c>
      <c r="F19" s="11" t="n">
        <v>46113</v>
      </c>
      <c r="G19" s="11" t="n">
        <v>46296</v>
      </c>
      <c r="H19" s="8">
        <f>IF(G19="","",IF(G19&lt;TODAY(),"N/OK","OK"))</f>
        <v/>
      </c>
      <c r="I19" s="5" t="n"/>
      <c r="J19" s="5" t="n"/>
      <c r="K19" s="5" t="n"/>
    </row>
    <row r="20">
      <c r="A20" s="5" t="inlineStr">
        <is>
          <t>66 PS 07</t>
        </is>
      </c>
      <c r="B20" s="5" t="inlineStr">
        <is>
          <t>Prensa hidráulica</t>
        </is>
      </c>
      <c r="C20" s="5" t="inlineStr">
        <is>
          <t>LCP</t>
        </is>
      </c>
      <c r="D20" s="5" t="inlineStr">
        <is>
          <t>FÍSICO</t>
        </is>
      </c>
      <c r="E20" s="6" t="n">
        <v>6</v>
      </c>
      <c r="F20" s="11" t="n">
        <v>46204</v>
      </c>
      <c r="G20" s="11" t="n">
        <v>46418</v>
      </c>
      <c r="H20" s="8">
        <f>IF(G20="","",IF(G20&lt;TODAY(),"N/OK","OK"))</f>
        <v/>
      </c>
      <c r="I20" s="5" t="n"/>
      <c r="J20" s="5" t="n"/>
      <c r="K20" s="5" t="n"/>
    </row>
    <row r="21">
      <c r="A21" s="5" t="inlineStr">
        <is>
          <t>66PS 04</t>
        </is>
      </c>
      <c r="B21" s="5" t="inlineStr">
        <is>
          <t>Prensa hidráulica</t>
        </is>
      </c>
      <c r="C21" s="5" t="inlineStr">
        <is>
          <t>LCP</t>
        </is>
      </c>
      <c r="D21" s="5" t="inlineStr">
        <is>
          <t>FÍSICO</t>
        </is>
      </c>
      <c r="E21" s="6" t="n">
        <v>6</v>
      </c>
      <c r="F21" s="11" t="n">
        <v>46205</v>
      </c>
      <c r="G21" s="11" t="n">
        <v>46419</v>
      </c>
      <c r="H21" s="8">
        <f>IF(G21="","",IF(G21&lt;TODAY(),"N/OK","OK"))</f>
        <v/>
      </c>
      <c r="I21" s="5" t="n"/>
      <c r="J21" s="5" t="n"/>
      <c r="K21" s="5" t="n"/>
    </row>
    <row r="22">
      <c r="A22" s="5" t="inlineStr">
        <is>
          <t>66PS 08</t>
        </is>
      </c>
      <c r="B22" s="5" t="inlineStr">
        <is>
          <t>Prensa hidráulica</t>
        </is>
      </c>
      <c r="C22" s="5" t="inlineStr">
        <is>
          <t>LCP</t>
        </is>
      </c>
      <c r="D22" s="5" t="inlineStr">
        <is>
          <t>FÍSICO</t>
        </is>
      </c>
      <c r="E22" s="6" t="n">
        <v>6</v>
      </c>
      <c r="F22" s="11" t="n">
        <v>46143</v>
      </c>
      <c r="G22" s="11" t="n">
        <v>46538</v>
      </c>
      <c r="H22" s="8">
        <f>IF(G22="","",IF(G22&lt;TODAY(),"N/OK","OK"))</f>
        <v/>
      </c>
      <c r="I22" s="5" t="n"/>
      <c r="J22" s="5" t="n"/>
      <c r="K22" s="5" t="n"/>
    </row>
    <row r="23">
      <c r="A23" s="5" t="inlineStr">
        <is>
          <t>66PS 10</t>
        </is>
      </c>
      <c r="B23" s="5" t="inlineStr">
        <is>
          <t>Prensa elétrica</t>
        </is>
      </c>
      <c r="C23" s="5" t="inlineStr">
        <is>
          <t>LCP</t>
        </is>
      </c>
      <c r="D23" s="5" t="inlineStr">
        <is>
          <t>FÍSICO</t>
        </is>
      </c>
      <c r="E23" s="6" t="n">
        <v>6</v>
      </c>
      <c r="F23" s="11" t="n">
        <v>46143</v>
      </c>
      <c r="G23" s="11" t="n">
        <v>46327</v>
      </c>
      <c r="H23" s="8">
        <f>IF(G23="","",IF(G23&lt;TODAY(),"N/OK","OK"))</f>
        <v/>
      </c>
      <c r="I23" s="5" t="n"/>
      <c r="J23" s="5" t="n"/>
      <c r="K23" s="5" t="n"/>
    </row>
    <row r="24">
      <c r="A24" s="5" t="inlineStr">
        <is>
          <t>66PS 06</t>
        </is>
      </c>
      <c r="B24" s="5" t="inlineStr">
        <is>
          <t>Prensa P. Crua Elétrica</t>
        </is>
      </c>
      <c r="C24" s="5" t="inlineStr">
        <is>
          <t>LCP</t>
        </is>
      </c>
      <c r="D24" s="5" t="inlineStr">
        <is>
          <t>FÍSICO</t>
        </is>
      </c>
      <c r="E24" s="6" t="n">
        <v>6</v>
      </c>
      <c r="F24" s="11" t="n">
        <v>45931</v>
      </c>
      <c r="G24" s="11" t="n">
        <v>46326</v>
      </c>
      <c r="H24" s="8">
        <f>IF(G24="","",IF(G24&lt;TODAY(),"N/OK","OK"))</f>
        <v/>
      </c>
      <c r="I24" s="5" t="n"/>
      <c r="J24" s="5" t="n"/>
      <c r="K24" s="5" t="n"/>
    </row>
    <row r="25">
      <c r="A25" s="5" t="inlineStr">
        <is>
          <t>66PS01</t>
        </is>
      </c>
      <c r="B25" s="5" t="inlineStr">
        <is>
          <t>Prensa P. Crua Manual</t>
        </is>
      </c>
      <c r="C25" s="5" t="inlineStr">
        <is>
          <t>LCP</t>
        </is>
      </c>
      <c r="D25" s="5" t="inlineStr">
        <is>
          <t>FÍSICO</t>
        </is>
      </c>
      <c r="E25" s="6" t="n">
        <v>6</v>
      </c>
      <c r="F25" s="11" t="n">
        <v>46082</v>
      </c>
      <c r="G25" s="11" t="n">
        <v>46477</v>
      </c>
      <c r="H25" s="8">
        <f>IF(G25="","",IF(G25&lt;TODAY(),"N/OK","OK"))</f>
        <v/>
      </c>
      <c r="I25" s="5" t="n"/>
      <c r="J25" s="5" t="n"/>
      <c r="K25" s="5" t="n"/>
    </row>
    <row r="26">
      <c r="A26" s="5" t="inlineStr">
        <is>
          <t>66PB 01</t>
        </is>
      </c>
      <c r="B26" s="5" t="inlineStr">
        <is>
          <t>Permeabilímetro Fisher</t>
        </is>
      </c>
      <c r="C26" s="5" t="inlineStr">
        <is>
          <t>LCP</t>
        </is>
      </c>
      <c r="D26" s="5" t="inlineStr">
        <is>
          <t>FÍSICO</t>
        </is>
      </c>
      <c r="E26" s="6" t="n">
        <v>6</v>
      </c>
      <c r="F26" s="11" t="n">
        <v>46204</v>
      </c>
      <c r="G26" s="11" t="n">
        <v>46418</v>
      </c>
      <c r="H26" s="8">
        <f>IF(G26="","",IF(G26&lt;TODAY(),"N/OK","OK"))</f>
        <v/>
      </c>
      <c r="I26" s="5" t="n"/>
      <c r="J26" s="5" t="n"/>
      <c r="K26" s="5" t="n"/>
    </row>
    <row r="27">
      <c r="A27" s="5" t="inlineStr">
        <is>
          <t>66PB 04</t>
        </is>
      </c>
      <c r="B27" s="5" t="inlineStr">
        <is>
          <t>Permeabilímetro Blaine</t>
        </is>
      </c>
      <c r="C27" s="5" t="inlineStr">
        <is>
          <t>LCP</t>
        </is>
      </c>
      <c r="D27" s="5" t="inlineStr">
        <is>
          <t>FÍSICO</t>
        </is>
      </c>
      <c r="E27" s="6" t="n">
        <v>6</v>
      </c>
      <c r="F27" s="11" t="n">
        <v>46082</v>
      </c>
      <c r="G27" s="11" t="n">
        <v>46296</v>
      </c>
      <c r="H27" s="8">
        <f>IF(G27="","",IF(G27&lt;TODAY(),"N/OK","OK"))</f>
        <v/>
      </c>
      <c r="I27" s="5" t="n"/>
      <c r="J27" s="5" t="n"/>
      <c r="K27" s="5" t="n"/>
    </row>
    <row r="28">
      <c r="A28" s="5" t="inlineStr">
        <is>
          <t>66PB 07</t>
        </is>
      </c>
      <c r="B28" s="5" t="inlineStr">
        <is>
          <t>Permeabilímetro Blaine</t>
        </is>
      </c>
      <c r="C28" s="5" t="inlineStr">
        <is>
          <t>LCP</t>
        </is>
      </c>
      <c r="D28" s="5" t="inlineStr">
        <is>
          <t>FÍSICO</t>
        </is>
      </c>
      <c r="E28" s="6" t="n">
        <v>6</v>
      </c>
      <c r="F28" s="11" t="n">
        <v>46082</v>
      </c>
      <c r="G28" s="11" t="n">
        <v>46296</v>
      </c>
      <c r="H28" s="8">
        <f>IF(G28="","",IF(G28&lt;TODAY(),"N/OK","OK"))</f>
        <v/>
      </c>
      <c r="I28" s="5" t="n"/>
      <c r="J28" s="5" t="n"/>
      <c r="K28" s="5" t="n"/>
    </row>
    <row r="29">
      <c r="A29" s="5" t="inlineStr">
        <is>
          <t>66PB 08</t>
        </is>
      </c>
      <c r="B29" s="5" t="inlineStr">
        <is>
          <t>Permeabilímetro Blaine</t>
        </is>
      </c>
      <c r="C29" s="5" t="inlineStr">
        <is>
          <t>LCP</t>
        </is>
      </c>
      <c r="D29" s="5" t="inlineStr">
        <is>
          <t>FÍSICO</t>
        </is>
      </c>
      <c r="E29" s="6" t="n">
        <v>6</v>
      </c>
      <c r="F29" s="11" t="n">
        <v>46082</v>
      </c>
      <c r="G29" s="11" t="n">
        <v>46296</v>
      </c>
      <c r="H29" s="8">
        <f>IF(G29="","",IF(G29&lt;TODAY(),"N/OK","OK"))</f>
        <v/>
      </c>
      <c r="I29" s="5" t="n"/>
      <c r="J29" s="5" t="n"/>
      <c r="K29" s="5" t="n"/>
    </row>
    <row r="30">
      <c r="A30" s="5" t="inlineStr">
        <is>
          <t>66PB 09</t>
        </is>
      </c>
      <c r="B30" s="5" t="inlineStr">
        <is>
          <t>Permeabilímetro Fisher</t>
        </is>
      </c>
      <c r="C30" s="5" t="inlineStr">
        <is>
          <t>LCP</t>
        </is>
      </c>
      <c r="D30" s="5" t="inlineStr">
        <is>
          <t>FÍSICO</t>
        </is>
      </c>
      <c r="E30" s="6" t="n">
        <v>12</v>
      </c>
      <c r="F30" s="11" t="n">
        <v>46082</v>
      </c>
      <c r="G30" s="11" t="n">
        <v>46296</v>
      </c>
      <c r="H30" s="8">
        <f>IF(G30="","",IF(G30&lt;TODAY(),"N/OK","OK"))</f>
        <v/>
      </c>
      <c r="I30" s="5" t="n"/>
      <c r="J30" s="5" t="n"/>
      <c r="K30" s="5" t="n"/>
    </row>
    <row r="31">
      <c r="A31" s="5" t="inlineStr">
        <is>
          <t>PN - 046</t>
        </is>
      </c>
      <c r="B31" s="5" t="inlineStr">
        <is>
          <t>Peneira circular 3,15mm</t>
        </is>
      </c>
      <c r="C31" s="5" t="inlineStr">
        <is>
          <t>LCP</t>
        </is>
      </c>
      <c r="D31" s="5" t="inlineStr">
        <is>
          <t>FÍSICO</t>
        </is>
      </c>
      <c r="E31" s="6" t="n">
        <v>12</v>
      </c>
      <c r="F31" s="11" t="n">
        <v>46023</v>
      </c>
      <c r="G31" s="11" t="n">
        <v>46418</v>
      </c>
      <c r="H31" s="8">
        <f>IF(G31="","",IF(G31&lt;TODAY(),"N/OK","OK"))</f>
        <v/>
      </c>
      <c r="I31" s="5" t="n"/>
      <c r="J31" s="5" t="n"/>
      <c r="K31" s="5" t="n"/>
    </row>
    <row r="32">
      <c r="A32" s="5" t="inlineStr">
        <is>
          <t>PN - 057</t>
        </is>
      </c>
      <c r="B32" s="5" t="inlineStr">
        <is>
          <t>Peneira circular 9,5mm</t>
        </is>
      </c>
      <c r="C32" s="5" t="inlineStr">
        <is>
          <t>LCP</t>
        </is>
      </c>
      <c r="D32" s="5" t="inlineStr">
        <is>
          <t>FÍSICO</t>
        </is>
      </c>
      <c r="E32" s="6" t="n">
        <v>12</v>
      </c>
      <c r="F32" s="11" t="n">
        <v>46087</v>
      </c>
      <c r="G32" s="11" t="n">
        <v>46451</v>
      </c>
      <c r="H32" s="8">
        <f>IF(G32="","",IF(G32&lt;TODAY(),"N/OK","OK"))</f>
        <v/>
      </c>
      <c r="I32" s="5" t="n"/>
      <c r="J32" s="5" t="n"/>
      <c r="K32" s="5" t="n"/>
    </row>
    <row r="33">
      <c r="A33" s="5" t="inlineStr">
        <is>
          <t>PN - 148</t>
        </is>
      </c>
      <c r="B33" s="5" t="inlineStr">
        <is>
          <t>Peneira circular 22,0mm</t>
        </is>
      </c>
      <c r="C33" s="5" t="inlineStr">
        <is>
          <t>LCP</t>
        </is>
      </c>
      <c r="D33" s="5" t="inlineStr">
        <is>
          <t>FÍSICO</t>
        </is>
      </c>
      <c r="E33" s="6" t="n">
        <v>12</v>
      </c>
      <c r="F33" s="11" t="n">
        <v>45992</v>
      </c>
      <c r="G33" s="11" t="n">
        <v>46387</v>
      </c>
      <c r="H33" s="8">
        <f>IF(G33="","",IF(G33&lt;TODAY(),"N/OK","OK"))</f>
        <v/>
      </c>
      <c r="I33" s="5" t="n"/>
      <c r="J33" s="5" t="n"/>
      <c r="K33" s="5" t="n"/>
    </row>
    <row r="34">
      <c r="A34" s="5" t="inlineStr">
        <is>
          <t>PN - 149</t>
        </is>
      </c>
      <c r="B34" s="5" t="inlineStr">
        <is>
          <t>Peneira circular 25,0mm</t>
        </is>
      </c>
      <c r="C34" s="5" t="inlineStr">
        <is>
          <t>LCP</t>
        </is>
      </c>
      <c r="D34" s="5" t="inlineStr">
        <is>
          <t>FÍSICO</t>
        </is>
      </c>
      <c r="E34" s="6" t="n">
        <v>12</v>
      </c>
      <c r="F34" s="11" t="n">
        <v>46082</v>
      </c>
      <c r="G34" s="11" t="n">
        <v>46477</v>
      </c>
      <c r="H34" s="8">
        <f>IF(G34="","",IF(G34&lt;TODAY(),"N/OK","OK"))</f>
        <v/>
      </c>
      <c r="I34" s="5" t="n"/>
      <c r="J34" s="5" t="n"/>
      <c r="K34" s="5" t="n"/>
    </row>
    <row r="35">
      <c r="A35" s="5" t="inlineStr">
        <is>
          <t>PN - 303</t>
        </is>
      </c>
      <c r="B35" s="5" t="inlineStr">
        <is>
          <t>Peneira circular 10,0mm</t>
        </is>
      </c>
      <c r="C35" s="5" t="inlineStr">
        <is>
          <t>LCP</t>
        </is>
      </c>
      <c r="D35" s="5" t="inlineStr">
        <is>
          <t>FÍSICO</t>
        </is>
      </c>
      <c r="E35" s="6" t="n">
        <v>12</v>
      </c>
      <c r="F35" s="11" t="n">
        <v>46267</v>
      </c>
      <c r="G35" s="11" t="n">
        <v>46431</v>
      </c>
      <c r="H35" s="8">
        <f>IF(G35="","",IF(G35&lt;TODAY(),"N/OK","OK"))</f>
        <v/>
      </c>
      <c r="I35" s="5" t="n"/>
      <c r="J35" s="5" t="n"/>
      <c r="K35" s="5" t="n"/>
    </row>
    <row r="36">
      <c r="A36" s="5" t="inlineStr">
        <is>
          <t>PN - 334</t>
        </is>
      </c>
      <c r="B36" s="5" t="inlineStr">
        <is>
          <t>Peneira retangular 16,0mm</t>
        </is>
      </c>
      <c r="C36" s="5" t="inlineStr">
        <is>
          <t>LCP</t>
        </is>
      </c>
      <c r="D36" s="5" t="inlineStr">
        <is>
          <t>FÍSICO</t>
        </is>
      </c>
      <c r="E36" s="6" t="n">
        <v>12</v>
      </c>
      <c r="F36" s="11" t="n">
        <v>46023</v>
      </c>
      <c r="G36" s="11" t="n">
        <v>46418</v>
      </c>
      <c r="H36" s="8">
        <f>IF(G36="","",IF(G36&lt;TODAY(),"N/OK","OK"))</f>
        <v/>
      </c>
      <c r="I36" s="5" t="n"/>
      <c r="J36" s="5" t="n"/>
      <c r="K36" s="5" t="n"/>
    </row>
    <row r="37">
      <c r="A37" s="5" t="inlineStr">
        <is>
          <t>PN - 374</t>
        </is>
      </c>
      <c r="B37" s="5" t="inlineStr">
        <is>
          <t>Peneira circular 6,3mm</t>
        </is>
      </c>
      <c r="C37" s="5" t="inlineStr">
        <is>
          <t>LCP</t>
        </is>
      </c>
      <c r="D37" s="5" t="inlineStr">
        <is>
          <t>FÍSICO</t>
        </is>
      </c>
      <c r="E37" s="6" t="n">
        <v>12</v>
      </c>
      <c r="F37" s="11" t="n">
        <v>46023</v>
      </c>
      <c r="G37" s="11" t="n">
        <v>46418</v>
      </c>
      <c r="H37" s="8">
        <f>IF(G37="","",IF(G37&lt;TODAY(),"N/OK","OK"))</f>
        <v/>
      </c>
      <c r="I37" s="5" t="n"/>
      <c r="J37" s="5" t="n"/>
      <c r="K37" s="5" t="n"/>
    </row>
    <row r="38">
      <c r="A38" s="5" t="inlineStr">
        <is>
          <t>PN - 395</t>
        </is>
      </c>
      <c r="B38" s="5" t="inlineStr">
        <is>
          <t>Peneira retangular 14,0mm</t>
        </is>
      </c>
      <c r="C38" s="5" t="inlineStr">
        <is>
          <t>LCP</t>
        </is>
      </c>
      <c r="D38" s="5" t="inlineStr">
        <is>
          <t>FÍSICO</t>
        </is>
      </c>
      <c r="E38" s="6" t="n">
        <v>12</v>
      </c>
      <c r="F38" s="11" t="n">
        <v>46023</v>
      </c>
      <c r="G38" s="11" t="n">
        <v>46418</v>
      </c>
      <c r="H38" s="8">
        <f>IF(G38="","",IF(G38&lt;TODAY(),"N/OK","OK"))</f>
        <v/>
      </c>
      <c r="I38" s="5" t="n"/>
      <c r="J38" s="5" t="n"/>
      <c r="K38" s="5" t="n"/>
    </row>
    <row r="39">
      <c r="A39" s="5" t="inlineStr">
        <is>
          <t>PN - 398</t>
        </is>
      </c>
      <c r="B39" s="5" t="inlineStr">
        <is>
          <t>Peneira retangular 19,0mm</t>
        </is>
      </c>
      <c r="C39" s="5" t="inlineStr">
        <is>
          <t>LCP</t>
        </is>
      </c>
      <c r="D39" s="5" t="inlineStr">
        <is>
          <t>FÍSICO</t>
        </is>
      </c>
      <c r="E39" s="6" t="n">
        <v>12</v>
      </c>
      <c r="F39" s="11" t="n">
        <v>46023</v>
      </c>
      <c r="G39" s="11" t="n">
        <v>46418</v>
      </c>
      <c r="H39" s="8">
        <f>IF(G39="","",IF(G39&lt;TODAY(),"N/OK","OK"))</f>
        <v/>
      </c>
      <c r="I39" s="5" t="n"/>
      <c r="J39" s="5" t="n"/>
      <c r="K39" s="5" t="n"/>
    </row>
    <row r="40">
      <c r="A40" s="5" t="inlineStr">
        <is>
          <t>PN - 420</t>
        </is>
      </c>
      <c r="B40" s="5" t="inlineStr">
        <is>
          <t>Peneira circular 10,0mm</t>
        </is>
      </c>
      <c r="C40" s="5" t="inlineStr">
        <is>
          <t>LCP</t>
        </is>
      </c>
      <c r="D40" s="5" t="inlineStr">
        <is>
          <t>FÍSICO</t>
        </is>
      </c>
      <c r="E40" s="6" t="n">
        <v>12</v>
      </c>
      <c r="F40" s="11" t="n">
        <v>46023</v>
      </c>
      <c r="G40" s="11" t="n">
        <v>46418</v>
      </c>
      <c r="H40" s="8">
        <f>IF(G40="","",IF(G40&lt;TODAY(),"N/OK","OK"))</f>
        <v/>
      </c>
      <c r="I40" s="5" t="n"/>
      <c r="J40" s="5" t="n"/>
      <c r="K40" s="5" t="n"/>
    </row>
    <row r="41">
      <c r="A41" s="5" t="inlineStr">
        <is>
          <t>PN - 423</t>
        </is>
      </c>
      <c r="B41" s="5" t="inlineStr">
        <is>
          <t>Peneira circular 19,0mm</t>
        </is>
      </c>
      <c r="C41" s="5" t="inlineStr">
        <is>
          <t>LCP</t>
        </is>
      </c>
      <c r="D41" s="5" t="inlineStr">
        <is>
          <t>FÍSICO</t>
        </is>
      </c>
      <c r="E41" s="6" t="n">
        <v>12</v>
      </c>
      <c r="F41" s="11" t="n">
        <v>46082</v>
      </c>
      <c r="G41" s="11" t="n">
        <v>46477</v>
      </c>
      <c r="H41" s="8">
        <f>IF(G41="","",IF(G41&lt;TODAY(),"N/OK","OK"))</f>
        <v/>
      </c>
      <c r="I41" s="5" t="n"/>
      <c r="J41" s="5" t="n"/>
      <c r="K41" s="5" t="n"/>
    </row>
    <row r="42">
      <c r="A42" s="5" t="inlineStr">
        <is>
          <t>PN - 425</t>
        </is>
      </c>
      <c r="B42" s="5" t="inlineStr">
        <is>
          <t>Peneira circular 5,0mm</t>
        </is>
      </c>
      <c r="C42" s="5" t="inlineStr">
        <is>
          <t>LCP</t>
        </is>
      </c>
      <c r="D42" s="5" t="inlineStr">
        <is>
          <t>FÍSICO</t>
        </is>
      </c>
      <c r="E42" s="6" t="n">
        <v>12</v>
      </c>
      <c r="F42" s="11" t="n">
        <v>46023</v>
      </c>
      <c r="G42" s="11" t="n">
        <v>46418</v>
      </c>
      <c r="H42" s="8">
        <f>IF(G42="","",IF(G42&lt;TODAY(),"N/OK","OK"))</f>
        <v/>
      </c>
      <c r="I42" s="5" t="n"/>
      <c r="J42" s="5" t="n"/>
      <c r="K42" s="5" t="n"/>
    </row>
    <row r="43">
      <c r="A43" s="5" t="inlineStr">
        <is>
          <t>PN - 430</t>
        </is>
      </c>
      <c r="B43" s="5" t="inlineStr">
        <is>
          <t>Peneira circular 6,3mm</t>
        </is>
      </c>
      <c r="C43" s="5" t="inlineStr">
        <is>
          <t>LCP</t>
        </is>
      </c>
      <c r="D43" s="5" t="inlineStr">
        <is>
          <t>FÍSICO</t>
        </is>
      </c>
      <c r="E43" s="6" t="n">
        <v>12</v>
      </c>
      <c r="F43" s="11" t="n">
        <v>46023</v>
      </c>
      <c r="G43" s="11" t="n">
        <v>46418</v>
      </c>
      <c r="H43" s="8">
        <f>IF(G43="","",IF(G43&lt;TODAY(),"N/OK","OK"))</f>
        <v/>
      </c>
      <c r="I43" s="5" t="n"/>
      <c r="J43" s="5" t="n"/>
      <c r="K43" s="5" t="n"/>
    </row>
    <row r="44">
      <c r="A44" s="5" t="inlineStr">
        <is>
          <t>PN - 431</t>
        </is>
      </c>
      <c r="B44" s="5" t="inlineStr">
        <is>
          <t>Peneira circular 9,0mm</t>
        </is>
      </c>
      <c r="C44" s="5" t="inlineStr">
        <is>
          <t>LCP</t>
        </is>
      </c>
      <c r="D44" s="5" t="inlineStr">
        <is>
          <t>FÍSICO</t>
        </is>
      </c>
      <c r="E44" s="6" t="n">
        <v>12</v>
      </c>
      <c r="F44" s="11" t="n">
        <v>46023</v>
      </c>
      <c r="G44" s="11" t="n">
        <v>46418</v>
      </c>
      <c r="H44" s="8">
        <f>IF(G44="","",IF(G44&lt;TODAY(),"N/OK","OK"))</f>
        <v/>
      </c>
      <c r="I44" s="5" t="n"/>
      <c r="J44" s="5" t="n"/>
      <c r="K44" s="5" t="n"/>
    </row>
    <row r="45">
      <c r="A45" s="5" t="inlineStr">
        <is>
          <t>PN - 432</t>
        </is>
      </c>
      <c r="B45" s="5" t="inlineStr">
        <is>
          <t>Peneira circular 8,0mm</t>
        </is>
      </c>
      <c r="C45" s="5" t="inlineStr">
        <is>
          <t>LCP</t>
        </is>
      </c>
      <c r="D45" s="5" t="inlineStr">
        <is>
          <t>FÍSICO</t>
        </is>
      </c>
      <c r="E45" s="6" t="n">
        <v>12</v>
      </c>
      <c r="F45" s="11" t="n">
        <v>46023</v>
      </c>
      <c r="G45" s="11" t="n">
        <v>46418</v>
      </c>
      <c r="H45" s="8">
        <f>IF(G45="","",IF(G45&lt;TODAY(),"N/OK","OK"))</f>
        <v/>
      </c>
      <c r="I45" s="5" t="n"/>
      <c r="J45" s="5" t="n"/>
      <c r="K45" s="5" t="n"/>
    </row>
    <row r="46">
      <c r="A46" s="5" t="inlineStr">
        <is>
          <t>PN - 434</t>
        </is>
      </c>
      <c r="B46" s="5" t="inlineStr">
        <is>
          <t>Peneira circular 1,0mm</t>
        </is>
      </c>
      <c r="C46" s="5" t="inlineStr">
        <is>
          <t>LCP</t>
        </is>
      </c>
      <c r="D46" s="5" t="inlineStr">
        <is>
          <t>FÍSICO</t>
        </is>
      </c>
      <c r="E46" s="6" t="n">
        <v>12</v>
      </c>
      <c r="F46" s="11" t="n">
        <v>46023</v>
      </c>
      <c r="G46" s="11" t="n">
        <v>46418</v>
      </c>
      <c r="H46" s="8">
        <f>IF(G46="","",IF(G46&lt;TODAY(),"N/OK","OK"))</f>
        <v/>
      </c>
      <c r="I46" s="5" t="n"/>
      <c r="J46" s="5" t="n"/>
      <c r="K46" s="5" t="n"/>
    </row>
    <row r="47">
      <c r="A47" s="5" t="inlineStr">
        <is>
          <t>PN - 467</t>
        </is>
      </c>
      <c r="B47" s="5" t="inlineStr">
        <is>
          <t>Peneira circular 14,0mm</t>
        </is>
      </c>
      <c r="C47" s="5" t="inlineStr">
        <is>
          <t>LCP</t>
        </is>
      </c>
      <c r="D47" s="5" t="inlineStr">
        <is>
          <t>FÍSICO</t>
        </is>
      </c>
      <c r="E47" s="6" t="n">
        <v>12</v>
      </c>
      <c r="F47" s="11" t="n">
        <v>46054</v>
      </c>
      <c r="G47" s="11" t="n">
        <v>46421</v>
      </c>
      <c r="H47" s="8">
        <f>IF(G47="","",IF(G47&lt;TODAY(),"N/OK","OK"))</f>
        <v/>
      </c>
      <c r="I47" s="5" t="n"/>
      <c r="J47" s="5" t="n"/>
      <c r="K47" s="5" t="n"/>
    </row>
    <row r="48">
      <c r="A48" s="5" t="inlineStr">
        <is>
          <t>PN - 478</t>
        </is>
      </c>
      <c r="B48" s="5" t="inlineStr">
        <is>
          <t>Peneira retangular  19,0mm</t>
        </is>
      </c>
      <c r="C48" s="5" t="inlineStr">
        <is>
          <t>LCP</t>
        </is>
      </c>
      <c r="D48" s="5" t="inlineStr">
        <is>
          <t>FÍSICO</t>
        </is>
      </c>
      <c r="E48" s="6" t="n">
        <v>12</v>
      </c>
      <c r="F48" s="11" t="n">
        <v>46023</v>
      </c>
      <c r="G48" s="11" t="n">
        <v>46418</v>
      </c>
      <c r="H48" s="8">
        <f>IF(G48="","",IF(G48&lt;TODAY(),"N/OK","OK"))</f>
        <v/>
      </c>
      <c r="I48" s="5" t="n"/>
      <c r="J48" s="5" t="n"/>
      <c r="K48" s="5" t="n"/>
    </row>
    <row r="49">
      <c r="A49" s="5" t="inlineStr">
        <is>
          <t>PN - 482</t>
        </is>
      </c>
      <c r="B49" s="5" t="inlineStr">
        <is>
          <t>Peneira circular 16,0mm</t>
        </is>
      </c>
      <c r="C49" s="5" t="inlineStr">
        <is>
          <t>LCP</t>
        </is>
      </c>
      <c r="D49" s="5" t="inlineStr">
        <is>
          <t>FÍSICO</t>
        </is>
      </c>
      <c r="E49" s="6" t="n">
        <v>12</v>
      </c>
      <c r="F49" s="11" t="n">
        <v>45992</v>
      </c>
      <c r="G49" s="11" t="n">
        <v>46387</v>
      </c>
      <c r="H49" s="8">
        <f>IF(G49="","",IF(G49&lt;TODAY(),"N/OK","OK"))</f>
        <v/>
      </c>
      <c r="I49" s="5" t="n"/>
      <c r="J49" s="5" t="n"/>
      <c r="K49" s="5" t="n"/>
    </row>
    <row r="50">
      <c r="A50" s="5" t="inlineStr">
        <is>
          <t>PN - 490</t>
        </is>
      </c>
      <c r="B50" s="5" t="inlineStr">
        <is>
          <t>Peneira circular 12,5mm</t>
        </is>
      </c>
      <c r="C50" s="5" t="inlineStr">
        <is>
          <t>LCP</t>
        </is>
      </c>
      <c r="D50" s="5" t="inlineStr">
        <is>
          <t>FÍSICO</t>
        </is>
      </c>
      <c r="E50" s="6" t="n">
        <v>12</v>
      </c>
      <c r="F50" s="11" t="n">
        <v>46023</v>
      </c>
      <c r="G50" s="11" t="n">
        <v>46418</v>
      </c>
      <c r="H50" s="8">
        <f>IF(G50="","",IF(G50&lt;TODAY(),"N/OK","OK"))</f>
        <v/>
      </c>
      <c r="I50" s="5" t="n"/>
      <c r="J50" s="5" t="n"/>
      <c r="K50" s="5" t="n"/>
    </row>
    <row r="51">
      <c r="A51" s="5" t="inlineStr">
        <is>
          <t>PN - 493</t>
        </is>
      </c>
      <c r="B51" s="5" t="inlineStr">
        <is>
          <t>Peneira circular 30,0mm</t>
        </is>
      </c>
      <c r="C51" s="5" t="inlineStr">
        <is>
          <t>LCP</t>
        </is>
      </c>
      <c r="D51" s="5" t="inlineStr">
        <is>
          <t>FÍSICO</t>
        </is>
      </c>
      <c r="E51" s="6" t="n">
        <v>12</v>
      </c>
      <c r="F51" s="11" t="n">
        <v>45870</v>
      </c>
      <c r="G51" s="11" t="n">
        <v>46235</v>
      </c>
      <c r="H51" s="8">
        <f>IF(G51="","",IF(G51&lt;TODAY(),"N/OK","OK"))</f>
        <v/>
      </c>
      <c r="I51" s="5" t="n"/>
      <c r="J51" s="5" t="n"/>
      <c r="K51" s="5" t="n"/>
    </row>
    <row r="52">
      <c r="A52" s="5" t="inlineStr">
        <is>
          <t>PN - 497</t>
        </is>
      </c>
      <c r="B52" s="5" t="inlineStr">
        <is>
          <t>Peneira circular 16,0mm</t>
        </is>
      </c>
      <c r="C52" s="5" t="inlineStr">
        <is>
          <t>LCP</t>
        </is>
      </c>
      <c r="D52" s="5" t="inlineStr">
        <is>
          <t>FÍSICO</t>
        </is>
      </c>
      <c r="E52" s="6" t="n">
        <v>12</v>
      </c>
      <c r="F52" s="11" t="n">
        <v>46023</v>
      </c>
      <c r="G52" s="11" t="n">
        <v>46418</v>
      </c>
      <c r="H52" s="8">
        <f>IF(G52="","",IF(G52&lt;TODAY(),"N/OK","OK"))</f>
        <v/>
      </c>
      <c r="I52" s="5" t="n"/>
      <c r="J52" s="5" t="n"/>
      <c r="K52" s="5" t="n"/>
    </row>
    <row r="53">
      <c r="A53" s="5" t="inlineStr">
        <is>
          <t>PN - 500</t>
        </is>
      </c>
      <c r="B53" s="5" t="inlineStr">
        <is>
          <t>Peneira circular 0,5mm</t>
        </is>
      </c>
      <c r="C53" s="5" t="inlineStr">
        <is>
          <t>LCP</t>
        </is>
      </c>
      <c r="D53" s="5" t="inlineStr">
        <is>
          <t>FÍSICO</t>
        </is>
      </c>
      <c r="E53" s="6" t="n">
        <v>12</v>
      </c>
      <c r="F53" s="11" t="n">
        <v>46023</v>
      </c>
      <c r="G53" s="11" t="n">
        <v>46418</v>
      </c>
      <c r="H53" s="8">
        <f>IF(G53="","",IF(G53&lt;TODAY(),"N/OK","OK"))</f>
        <v/>
      </c>
      <c r="I53" s="5" t="n"/>
      <c r="J53" s="5" t="n"/>
      <c r="K53" s="5" t="n"/>
    </row>
    <row r="54">
      <c r="A54" s="5" t="inlineStr">
        <is>
          <t>PN - 501</t>
        </is>
      </c>
      <c r="B54" s="5" t="inlineStr">
        <is>
          <t>Peneira circular 0,5mm</t>
        </is>
      </c>
      <c r="C54" s="5" t="inlineStr">
        <is>
          <t>LCP</t>
        </is>
      </c>
      <c r="D54" s="5" t="inlineStr">
        <is>
          <t>FÍSICO</t>
        </is>
      </c>
      <c r="E54" s="6" t="n">
        <v>12</v>
      </c>
      <c r="F54" s="11" t="n">
        <v>46023</v>
      </c>
      <c r="G54" s="11" t="n">
        <v>46418</v>
      </c>
      <c r="H54" s="8">
        <f>IF(G54="","",IF(G54&lt;TODAY(),"N/OK","OK"))</f>
        <v/>
      </c>
      <c r="I54" s="5" t="n"/>
      <c r="J54" s="5" t="n"/>
      <c r="K54" s="5" t="n"/>
    </row>
    <row r="55">
      <c r="A55" s="5" t="inlineStr">
        <is>
          <t>PN - 505</t>
        </is>
      </c>
      <c r="B55" s="5" t="inlineStr">
        <is>
          <t>Peneira retangular 8,0mm</t>
        </is>
      </c>
      <c r="C55" s="5" t="inlineStr">
        <is>
          <t>LCP</t>
        </is>
      </c>
      <c r="D55" s="5" t="inlineStr">
        <is>
          <t>FÍSICO</t>
        </is>
      </c>
      <c r="E55" s="6" t="n">
        <v>12</v>
      </c>
      <c r="F55" s="11" t="n">
        <v>46023</v>
      </c>
      <c r="G55" s="11" t="n">
        <v>46418</v>
      </c>
      <c r="H55" s="8">
        <f>IF(G55="","",IF(G55&lt;TODAY(),"N/OK","OK"))</f>
        <v/>
      </c>
      <c r="I55" s="5" t="n"/>
      <c r="J55" s="5" t="n"/>
      <c r="K55" s="5" t="n"/>
    </row>
    <row r="56">
      <c r="A56" s="5" t="inlineStr">
        <is>
          <t>PN - 516</t>
        </is>
      </c>
      <c r="B56" s="5" t="inlineStr">
        <is>
          <t>Peneira retangular 16,0mm</t>
        </is>
      </c>
      <c r="C56" s="5" t="inlineStr">
        <is>
          <t>LCP</t>
        </is>
      </c>
      <c r="D56" s="5" t="inlineStr">
        <is>
          <t>FÍSICO</t>
        </is>
      </c>
      <c r="E56" s="6" t="n">
        <v>12</v>
      </c>
      <c r="F56" s="11" t="n">
        <v>46172</v>
      </c>
      <c r="G56" s="11" t="n">
        <v>46536</v>
      </c>
      <c r="H56" s="8">
        <f>IF(G56="","",IF(G56&lt;TODAY(),"N/OK","OK"))</f>
        <v/>
      </c>
      <c r="I56" s="5" t="n"/>
      <c r="J56" s="5" t="n"/>
      <c r="K56" s="5" t="n"/>
    </row>
    <row r="57">
      <c r="A57" s="5" t="inlineStr">
        <is>
          <t>PN - 558</t>
        </is>
      </c>
      <c r="B57" s="5" t="inlineStr">
        <is>
          <t>Peneira retangular 9,0mm</t>
        </is>
      </c>
      <c r="C57" s="5" t="inlineStr">
        <is>
          <t>LCP</t>
        </is>
      </c>
      <c r="D57" s="5" t="inlineStr">
        <is>
          <t>FÍSICO</t>
        </is>
      </c>
      <c r="E57" s="6" t="n">
        <v>12</v>
      </c>
      <c r="F57" s="11" t="n">
        <v>46023</v>
      </c>
      <c r="G57" s="11" t="n">
        <v>46418</v>
      </c>
      <c r="H57" s="8">
        <f>IF(G57="","",IF(G57&lt;TODAY(),"N/OK","OK"))</f>
        <v/>
      </c>
      <c r="I57" s="5" t="n"/>
      <c r="J57" s="5" t="n"/>
      <c r="K57" s="5" t="n"/>
    </row>
    <row r="58">
      <c r="A58" s="5" t="inlineStr">
        <is>
          <t>PN - 593</t>
        </is>
      </c>
      <c r="B58" s="5" t="inlineStr">
        <is>
          <t>Peneira circular 1,18mm</t>
        </is>
      </c>
      <c r="C58" s="5" t="inlineStr">
        <is>
          <t>LCP</t>
        </is>
      </c>
      <c r="D58" s="5" t="inlineStr">
        <is>
          <t>FÍSICO</t>
        </is>
      </c>
      <c r="E58" s="6" t="n">
        <v>12</v>
      </c>
      <c r="F58" s="11" t="n">
        <v>45931</v>
      </c>
      <c r="G58" s="11" t="n">
        <v>46326</v>
      </c>
      <c r="H58" s="8">
        <f>IF(G58="","",IF(G58&lt;TODAY(),"N/OK","OK"))</f>
        <v/>
      </c>
      <c r="I58" s="5" t="n"/>
      <c r="J58" s="5" t="n"/>
      <c r="K58" s="5" t="n"/>
    </row>
    <row r="59">
      <c r="A59" s="5" t="inlineStr">
        <is>
          <t>PN - 646</t>
        </is>
      </c>
      <c r="B59" s="5" t="inlineStr">
        <is>
          <t>Peneira retangular 9,0mm</t>
        </is>
      </c>
      <c r="C59" s="5" t="inlineStr">
        <is>
          <t>LCP</t>
        </is>
      </c>
      <c r="D59" s="5" t="inlineStr">
        <is>
          <t>FÍSICO</t>
        </is>
      </c>
      <c r="E59" s="6" t="n">
        <v>12</v>
      </c>
      <c r="F59" s="11" t="n">
        <v>45809</v>
      </c>
      <c r="G59" s="12" t="n">
        <v>46203</v>
      </c>
      <c r="H59" s="8">
        <f>IF(G59="","",IF(G59&lt;TODAY(),"N/OK","OK"))</f>
        <v/>
      </c>
      <c r="I59" s="5" t="n"/>
      <c r="J59" s="5" t="n"/>
      <c r="K59" s="10" t="inlineStr">
        <is>
          <t>Vencimento corrigido de 31/06/2026 para 30/06/2026 (dia inexistente)</t>
        </is>
      </c>
    </row>
    <row r="60">
      <c r="A60" s="5" t="inlineStr">
        <is>
          <t>PN 046</t>
        </is>
      </c>
      <c r="B60" s="5" t="inlineStr">
        <is>
          <t>Peneira circular 1,18mm</t>
        </is>
      </c>
      <c r="C60" s="5" t="inlineStr">
        <is>
          <t>LCP</t>
        </is>
      </c>
      <c r="D60" s="5" t="inlineStr">
        <is>
          <t>FÍSICO</t>
        </is>
      </c>
      <c r="E60" s="6" t="n">
        <v>12</v>
      </c>
      <c r="F60" s="11" t="n">
        <v>46023</v>
      </c>
      <c r="G60" s="11" t="n">
        <v>46418</v>
      </c>
      <c r="H60" s="8">
        <f>IF(G60="","",IF(G60&lt;TODAY(),"N/OK","OK"))</f>
        <v/>
      </c>
      <c r="I60" s="5" t="n"/>
      <c r="J60" s="5" t="n"/>
      <c r="K60" s="5" t="n"/>
    </row>
    <row r="61">
      <c r="A61" s="5" t="inlineStr">
        <is>
          <t>PN 425</t>
        </is>
      </c>
      <c r="B61" s="5" t="inlineStr">
        <is>
          <t>Peneira circular  16,0mm</t>
        </is>
      </c>
      <c r="C61" s="5" t="inlineStr">
        <is>
          <t>LCP</t>
        </is>
      </c>
      <c r="D61" s="5" t="inlineStr">
        <is>
          <t>FÍSICO</t>
        </is>
      </c>
      <c r="E61" s="6" t="n">
        <v>12</v>
      </c>
      <c r="F61" s="11" t="n">
        <v>46023</v>
      </c>
      <c r="G61" s="11" t="n">
        <v>46418</v>
      </c>
      <c r="H61" s="8">
        <f>IF(G61="","",IF(G61&lt;TODAY(),"N/OK","OK"))</f>
        <v/>
      </c>
      <c r="I61" s="5" t="n"/>
      <c r="J61" s="5" t="n"/>
      <c r="K61" s="5" t="n"/>
    </row>
    <row r="62">
      <c r="A62" s="5" t="inlineStr">
        <is>
          <t>PN 456</t>
        </is>
      </c>
      <c r="B62" s="5" t="inlineStr">
        <is>
          <t>Peneira circular 1,0mm</t>
        </is>
      </c>
      <c r="C62" s="5" t="inlineStr">
        <is>
          <t>LCP</t>
        </is>
      </c>
      <c r="D62" s="5" t="inlineStr">
        <is>
          <t>FÍSICO</t>
        </is>
      </c>
      <c r="E62" s="6" t="n">
        <v>12</v>
      </c>
      <c r="F62" s="11" t="n">
        <v>46296</v>
      </c>
      <c r="G62" s="11" t="n">
        <v>46691</v>
      </c>
      <c r="H62" s="8">
        <f>IF(G62="","",IF(G62&lt;TODAY(),"N/OK","OK"))</f>
        <v/>
      </c>
      <c r="I62" s="5" t="n"/>
      <c r="J62" s="5" t="n"/>
      <c r="K62" s="5" t="n"/>
    </row>
    <row r="63">
      <c r="A63" s="5" t="inlineStr">
        <is>
          <t>PN 497</t>
        </is>
      </c>
      <c r="B63" s="5" t="inlineStr">
        <is>
          <t>Peneira circular  5,0mm</t>
        </is>
      </c>
      <c r="C63" s="5" t="inlineStr">
        <is>
          <t>LCP</t>
        </is>
      </c>
      <c r="D63" s="5" t="inlineStr">
        <is>
          <t>FÍSICO</t>
        </is>
      </c>
      <c r="E63" s="6" t="n">
        <v>12</v>
      </c>
      <c r="F63" s="11" t="n">
        <v>46023</v>
      </c>
      <c r="G63" s="11" t="n">
        <v>46418</v>
      </c>
      <c r="H63" s="8">
        <f>IF(G63="","",IF(G63&lt;TODAY(),"N/OK","OK"))</f>
        <v/>
      </c>
      <c r="I63" s="5" t="n"/>
      <c r="J63" s="5" t="n"/>
      <c r="K63" s="5" t="n"/>
    </row>
    <row r="64">
      <c r="A64" s="5" t="inlineStr">
        <is>
          <t>PN 499354</t>
        </is>
      </c>
      <c r="B64" s="5" t="inlineStr">
        <is>
          <t>Peneira circular 100#</t>
        </is>
      </c>
      <c r="C64" s="5" t="inlineStr">
        <is>
          <t>LCP</t>
        </is>
      </c>
      <c r="D64" s="5" t="inlineStr">
        <is>
          <t>FÍSICO</t>
        </is>
      </c>
      <c r="E64" s="6" t="n">
        <v>12</v>
      </c>
      <c r="F64" s="11" t="n">
        <v>46204</v>
      </c>
      <c r="G64" s="11" t="n">
        <v>46599</v>
      </c>
      <c r="H64" s="8">
        <f>IF(G64="","",IF(G64&lt;TODAY(),"N/OK","OK"))</f>
        <v/>
      </c>
      <c r="I64" s="5" t="n"/>
      <c r="J64" s="5" t="n"/>
      <c r="K64" s="5" t="n"/>
    </row>
    <row r="65">
      <c r="A65" s="5" t="inlineStr">
        <is>
          <t>PN 499355</t>
        </is>
      </c>
      <c r="B65" s="5" t="inlineStr">
        <is>
          <t>Peneira circular 100#</t>
        </is>
      </c>
      <c r="C65" s="5" t="inlineStr">
        <is>
          <t>LCP</t>
        </is>
      </c>
      <c r="D65" s="5" t="inlineStr">
        <is>
          <t>FÍSICO</t>
        </is>
      </c>
      <c r="E65" s="6" t="n">
        <v>12</v>
      </c>
      <c r="F65" s="11" t="n">
        <v>46204</v>
      </c>
      <c r="G65" s="11" t="n">
        <v>46599</v>
      </c>
      <c r="H65" s="8">
        <f>IF(G65="","",IF(G65&lt;TODAY(),"N/OK","OK"))</f>
        <v/>
      </c>
      <c r="I65" s="5" t="n"/>
      <c r="J65" s="5" t="n"/>
      <c r="K65" s="5" t="n"/>
    </row>
    <row r="66">
      <c r="A66" s="5" t="inlineStr">
        <is>
          <t>PN 499861</t>
        </is>
      </c>
      <c r="B66" s="5" t="inlineStr">
        <is>
          <t>Peneira circular 325#</t>
        </is>
      </c>
      <c r="C66" s="5" t="inlineStr">
        <is>
          <t>LCP</t>
        </is>
      </c>
      <c r="D66" s="5" t="inlineStr">
        <is>
          <t>FÍSICO</t>
        </is>
      </c>
      <c r="E66" s="6" t="n">
        <v>12</v>
      </c>
      <c r="F66" s="11" t="n">
        <v>46204</v>
      </c>
      <c r="G66" s="11" t="n">
        <v>46599</v>
      </c>
      <c r="H66" s="8">
        <f>IF(G66="","",IF(G66&lt;TODAY(),"N/OK","OK"))</f>
        <v/>
      </c>
      <c r="I66" s="5" t="n"/>
      <c r="J66" s="5" t="n"/>
      <c r="K66" s="5" t="n"/>
    </row>
    <row r="67">
      <c r="A67" s="5" t="inlineStr">
        <is>
          <t>PN 499862</t>
        </is>
      </c>
      <c r="B67" s="5" t="inlineStr">
        <is>
          <t>Peneira circular 325#</t>
        </is>
      </c>
      <c r="C67" s="5" t="inlineStr">
        <is>
          <t>LCP</t>
        </is>
      </c>
      <c r="D67" s="5" t="inlineStr">
        <is>
          <t>FÍSICO</t>
        </is>
      </c>
      <c r="E67" s="6" t="n">
        <v>12</v>
      </c>
      <c r="F67" s="11" t="n">
        <v>46204</v>
      </c>
      <c r="G67" s="11" t="n">
        <v>46599</v>
      </c>
      <c r="H67" s="8">
        <f>IF(G67="","",IF(G67&lt;TODAY(),"N/OK","OK"))</f>
        <v/>
      </c>
      <c r="I67" s="5" t="n"/>
      <c r="J67" s="5" t="n"/>
      <c r="K67" s="5" t="n"/>
    </row>
    <row r="68">
      <c r="A68" s="5" t="inlineStr">
        <is>
          <t>PN 499863</t>
        </is>
      </c>
      <c r="B68" s="5" t="inlineStr">
        <is>
          <t>Peneira circular 325#</t>
        </is>
      </c>
      <c r="C68" s="5" t="inlineStr">
        <is>
          <t>LCP</t>
        </is>
      </c>
      <c r="D68" s="5" t="inlineStr">
        <is>
          <t>FÍSICO</t>
        </is>
      </c>
      <c r="E68" s="6" t="n">
        <v>12</v>
      </c>
      <c r="F68" s="11" t="n">
        <v>46204</v>
      </c>
      <c r="G68" s="11" t="n">
        <v>46599</v>
      </c>
      <c r="H68" s="8">
        <f>IF(G68="","",IF(G68&lt;TODAY(),"N/OK","OK"))</f>
        <v/>
      </c>
      <c r="I68" s="5" t="n"/>
      <c r="J68" s="5" t="n"/>
      <c r="K68" s="5" t="n"/>
    </row>
    <row r="69">
      <c r="A69" s="5" t="inlineStr">
        <is>
          <t>PN 513192</t>
        </is>
      </c>
      <c r="B69" s="5" t="inlineStr">
        <is>
          <t>Peneira circular 325#</t>
        </is>
      </c>
      <c r="C69" s="5" t="inlineStr">
        <is>
          <t>LCP</t>
        </is>
      </c>
      <c r="D69" s="5" t="inlineStr">
        <is>
          <t>FÍSICO</t>
        </is>
      </c>
      <c r="E69" s="6" t="n">
        <v>12</v>
      </c>
      <c r="F69" s="11" t="n">
        <v>46053</v>
      </c>
      <c r="G69" s="11" t="n">
        <v>46418</v>
      </c>
      <c r="H69" s="8">
        <f>IF(G69="","",IF(G69&lt;TODAY(),"N/OK","OK"))</f>
        <v/>
      </c>
      <c r="I69" s="5" t="n"/>
      <c r="J69" s="5" t="n"/>
      <c r="K69" s="5" t="n"/>
    </row>
    <row r="70">
      <c r="A70" s="5" t="inlineStr">
        <is>
          <t>PN 513193</t>
        </is>
      </c>
      <c r="B70" s="5" t="inlineStr">
        <is>
          <t>Peneira circular 325#</t>
        </is>
      </c>
      <c r="C70" s="5" t="inlineStr">
        <is>
          <t>LCP</t>
        </is>
      </c>
      <c r="D70" s="5" t="inlineStr">
        <is>
          <t>FÍSICO</t>
        </is>
      </c>
      <c r="E70" s="6" t="n">
        <v>12</v>
      </c>
      <c r="F70" s="11" t="n">
        <v>46053</v>
      </c>
      <c r="G70" s="11" t="n">
        <v>46418</v>
      </c>
      <c r="H70" s="8">
        <f>IF(G70="","",IF(G70&lt;TODAY(),"N/OK","OK"))</f>
        <v/>
      </c>
      <c r="I70" s="5" t="n"/>
      <c r="J70" s="5" t="n"/>
      <c r="K70" s="5" t="n"/>
    </row>
    <row r="71">
      <c r="A71" s="5" t="inlineStr">
        <is>
          <t>PN 513194</t>
        </is>
      </c>
      <c r="B71" s="5" t="inlineStr">
        <is>
          <t>Peneira circular 325#</t>
        </is>
      </c>
      <c r="C71" s="5" t="inlineStr">
        <is>
          <t>LCP</t>
        </is>
      </c>
      <c r="D71" s="5" t="inlineStr">
        <is>
          <t>FÍSICO</t>
        </is>
      </c>
      <c r="E71" s="6" t="n">
        <v>12</v>
      </c>
      <c r="F71" s="11" t="n">
        <v>46053</v>
      </c>
      <c r="G71" s="11" t="n">
        <v>46418</v>
      </c>
      <c r="H71" s="8">
        <f>IF(G71="","",IF(G71&lt;TODAY(),"N/OK","OK"))</f>
        <v/>
      </c>
      <c r="I71" s="5" t="n"/>
      <c r="J71" s="5" t="n"/>
      <c r="K71" s="5" t="n"/>
    </row>
    <row r="72">
      <c r="A72" s="5" t="inlineStr">
        <is>
          <t>PN 513195</t>
        </is>
      </c>
      <c r="B72" s="5" t="inlineStr">
        <is>
          <t>Peneira circular 325#</t>
        </is>
      </c>
      <c r="C72" s="5" t="inlineStr">
        <is>
          <t>LCP</t>
        </is>
      </c>
      <c r="D72" s="5" t="inlineStr">
        <is>
          <t>FÍSICO</t>
        </is>
      </c>
      <c r="E72" s="6" t="n">
        <v>12</v>
      </c>
      <c r="F72" s="11" t="n">
        <v>46053</v>
      </c>
      <c r="G72" s="11" t="n">
        <v>46418</v>
      </c>
      <c r="H72" s="8">
        <f>IF(G72="","",IF(G72&lt;TODAY(),"N/OK","OK"))</f>
        <v/>
      </c>
      <c r="I72" s="5" t="n"/>
      <c r="J72" s="5" t="n"/>
      <c r="K72" s="5" t="n"/>
    </row>
    <row r="73">
      <c r="A73" s="5" t="inlineStr">
        <is>
          <t>PN 563</t>
        </is>
      </c>
      <c r="B73" s="5" t="inlineStr">
        <is>
          <t>Peneira retangular 14,0mm</t>
        </is>
      </c>
      <c r="C73" s="5" t="inlineStr">
        <is>
          <t>LCP</t>
        </is>
      </c>
      <c r="D73" s="5" t="inlineStr">
        <is>
          <t>FÍSICO</t>
        </is>
      </c>
      <c r="E73" s="6" t="n">
        <v>12</v>
      </c>
      <c r="F73" s="11" t="n">
        <v>46023</v>
      </c>
      <c r="G73" s="11" t="n">
        <v>46418</v>
      </c>
      <c r="H73" s="8">
        <f>IF(G73="","",IF(G73&lt;TODAY(),"N/OK","OK"))</f>
        <v/>
      </c>
      <c r="I73" s="5" t="n"/>
      <c r="J73" s="5" t="n"/>
      <c r="K73" s="5" t="n"/>
    </row>
    <row r="74">
      <c r="A74" s="5" t="inlineStr">
        <is>
          <t>PN 598</t>
        </is>
      </c>
      <c r="B74" s="5" t="inlineStr">
        <is>
          <t>Peneira circular  200#</t>
        </is>
      </c>
      <c r="C74" s="5" t="inlineStr">
        <is>
          <t>LCP</t>
        </is>
      </c>
      <c r="D74" s="5" t="inlineStr">
        <is>
          <t>FÍSICO</t>
        </is>
      </c>
      <c r="E74" s="6" t="n">
        <v>12</v>
      </c>
      <c r="F74" s="11" t="n">
        <v>46204</v>
      </c>
      <c r="G74" s="11" t="n">
        <v>46599</v>
      </c>
      <c r="H74" s="8">
        <f>IF(G74="","",IF(G74&lt;TODAY(),"N/OK","OK"))</f>
        <v/>
      </c>
      <c r="I74" s="5" t="n"/>
      <c r="J74" s="5" t="n"/>
      <c r="K74" s="5" t="n"/>
    </row>
    <row r="75">
      <c r="A75" s="5" t="inlineStr">
        <is>
          <t>PN 624</t>
        </is>
      </c>
      <c r="B75" s="5" t="inlineStr">
        <is>
          <t>Peneira circular  200#</t>
        </is>
      </c>
      <c r="C75" s="5" t="inlineStr">
        <is>
          <t>LCP</t>
        </is>
      </c>
      <c r="D75" s="5" t="inlineStr">
        <is>
          <t>FÍSICO</t>
        </is>
      </c>
      <c r="E75" s="6" t="n">
        <v>12</v>
      </c>
      <c r="F75" s="11" t="n">
        <v>46204</v>
      </c>
      <c r="G75" s="11" t="n">
        <v>46599</v>
      </c>
      <c r="H75" s="8">
        <f>IF(G75="","",IF(G75&lt;TODAY(),"N/OK","OK"))</f>
        <v/>
      </c>
      <c r="I75" s="5" t="n"/>
      <c r="J75" s="5" t="n"/>
      <c r="K75" s="5" t="n"/>
    </row>
    <row r="76">
      <c r="A76" s="5" t="inlineStr">
        <is>
          <t>PN 625</t>
        </is>
      </c>
      <c r="B76" s="5" t="inlineStr">
        <is>
          <t>Peneira circular  200#</t>
        </is>
      </c>
      <c r="C76" s="5" t="inlineStr">
        <is>
          <t>LCP</t>
        </is>
      </c>
      <c r="D76" s="5" t="inlineStr">
        <is>
          <t>FÍSICO</t>
        </is>
      </c>
      <c r="E76" s="6" t="n">
        <v>12</v>
      </c>
      <c r="F76" s="11" t="n">
        <v>45839</v>
      </c>
      <c r="G76" s="11" t="n">
        <v>46234</v>
      </c>
      <c r="H76" s="8">
        <f>IF(G76="","",IF(G76&lt;TODAY(),"N/OK","OK"))</f>
        <v/>
      </c>
      <c r="I76" s="5" t="n"/>
      <c r="J76" s="5" t="n"/>
      <c r="K76" s="5" t="n"/>
    </row>
    <row r="77">
      <c r="A77" s="5" t="inlineStr">
        <is>
          <t>PN 628</t>
        </is>
      </c>
      <c r="B77" s="5" t="inlineStr">
        <is>
          <t>Peneira circular 100#</t>
        </is>
      </c>
      <c r="C77" s="5" t="inlineStr">
        <is>
          <t>LCP</t>
        </is>
      </c>
      <c r="D77" s="5" t="inlineStr">
        <is>
          <t>FÍSICO</t>
        </is>
      </c>
      <c r="E77" s="6" t="n">
        <v>12</v>
      </c>
      <c r="F77" s="11" t="n">
        <v>46204</v>
      </c>
      <c r="G77" s="11" t="n">
        <v>46599</v>
      </c>
      <c r="H77" s="8">
        <f>IF(G77="","",IF(G77&lt;TODAY(),"N/OK","OK"))</f>
        <v/>
      </c>
      <c r="I77" s="5" t="n"/>
      <c r="J77" s="5" t="n"/>
      <c r="K77" s="5" t="n"/>
    </row>
    <row r="78">
      <c r="A78" s="5" t="inlineStr">
        <is>
          <t>PN 631</t>
        </is>
      </c>
      <c r="B78" s="5" t="inlineStr">
        <is>
          <t>Peneira retangular 6,3mm</t>
        </is>
      </c>
      <c r="C78" s="5" t="inlineStr">
        <is>
          <t>LCP</t>
        </is>
      </c>
      <c r="D78" s="5" t="inlineStr">
        <is>
          <t>FÍSICO</t>
        </is>
      </c>
      <c r="E78" s="6" t="n">
        <v>12</v>
      </c>
      <c r="F78" s="11" t="n">
        <v>45809</v>
      </c>
      <c r="G78" s="11" t="n">
        <v>46174</v>
      </c>
      <c r="H78" s="8">
        <f>IF(G78="","",IF(G78&lt;TODAY(),"N/OK","OK"))</f>
        <v/>
      </c>
      <c r="I78" s="5" t="n"/>
      <c r="J78" s="5" t="n"/>
      <c r="K78" s="5" t="n"/>
    </row>
    <row r="79">
      <c r="A79" s="5" t="inlineStr">
        <is>
          <t>PN 647</t>
        </is>
      </c>
      <c r="B79" s="5" t="inlineStr">
        <is>
          <t>Peneira retangular 8,0mm</t>
        </is>
      </c>
      <c r="C79" s="5" t="inlineStr">
        <is>
          <t>LCP</t>
        </is>
      </c>
      <c r="D79" s="5" t="inlineStr">
        <is>
          <t>FÍSICO</t>
        </is>
      </c>
      <c r="E79" s="6" t="n">
        <v>12</v>
      </c>
      <c r="F79" s="11" t="n">
        <v>45931</v>
      </c>
      <c r="G79" s="11" t="n">
        <v>46326</v>
      </c>
      <c r="H79" s="8">
        <f>IF(G79="","",IF(G79&lt;TODAY(),"N/OK","OK"))</f>
        <v/>
      </c>
      <c r="I79" s="5" t="n"/>
      <c r="J79" s="5" t="n"/>
      <c r="K79" s="5" t="n"/>
    </row>
    <row r="80">
      <c r="A80" s="5" t="inlineStr">
        <is>
          <t>PN 649</t>
        </is>
      </c>
      <c r="B80" s="5" t="inlineStr">
        <is>
          <t>Peneira retangular 6,3mm</t>
        </is>
      </c>
      <c r="C80" s="5" t="inlineStr">
        <is>
          <t>LCP</t>
        </is>
      </c>
      <c r="D80" s="5" t="inlineStr">
        <is>
          <t>FÍSICO</t>
        </is>
      </c>
      <c r="E80" s="6" t="n">
        <v>12</v>
      </c>
      <c r="F80" s="11" t="n">
        <v>46087</v>
      </c>
      <c r="G80" s="11" t="n">
        <v>46451</v>
      </c>
      <c r="H80" s="8">
        <f>IF(G80="","",IF(G80&lt;TODAY(),"N/OK","OK"))</f>
        <v/>
      </c>
      <c r="I80" s="5" t="n"/>
      <c r="J80" s="5" t="n"/>
      <c r="K80" s="5" t="n"/>
    </row>
    <row r="81">
      <c r="A81" s="5" t="inlineStr">
        <is>
          <t>PN 650</t>
        </is>
      </c>
      <c r="B81" s="5" t="inlineStr">
        <is>
          <t>Peneira retangular 14,0mm</t>
        </is>
      </c>
      <c r="C81" s="5" t="inlineStr">
        <is>
          <t>LCP</t>
        </is>
      </c>
      <c r="D81" s="5" t="inlineStr">
        <is>
          <t>FÍSICO</t>
        </is>
      </c>
      <c r="E81" s="6" t="n">
        <v>12</v>
      </c>
      <c r="F81" s="11" t="n">
        <v>46082</v>
      </c>
      <c r="G81" s="11" t="n">
        <v>46447</v>
      </c>
      <c r="H81" s="8">
        <f>IF(G81="","",IF(G81&lt;TODAY(),"N/OK","OK"))</f>
        <v/>
      </c>
      <c r="I81" s="5" t="n"/>
      <c r="J81" s="5" t="n"/>
      <c r="K81" s="5" t="n"/>
    </row>
    <row r="82">
      <c r="A82" s="5" t="inlineStr">
        <is>
          <t>PN 666</t>
        </is>
      </c>
      <c r="B82" s="5" t="inlineStr">
        <is>
          <t>Peneira retangular 12,5mm</t>
        </is>
      </c>
      <c r="C82" s="5" t="inlineStr">
        <is>
          <t>LCP</t>
        </is>
      </c>
      <c r="D82" s="5" t="inlineStr">
        <is>
          <t>FÍSICO</t>
        </is>
      </c>
      <c r="E82" s="6" t="n">
        <v>12</v>
      </c>
      <c r="F82" s="11" t="n">
        <v>45931</v>
      </c>
      <c r="G82" s="11" t="n">
        <v>46326</v>
      </c>
      <c r="H82" s="8">
        <f>IF(G82="","",IF(G82&lt;TODAY(),"N/OK","OK"))</f>
        <v/>
      </c>
      <c r="I82" s="5" t="n"/>
      <c r="J82" s="5" t="n"/>
      <c r="K82" s="5" t="n"/>
    </row>
    <row r="83">
      <c r="A83" s="5" t="inlineStr">
        <is>
          <t>PN 670</t>
        </is>
      </c>
      <c r="B83" s="5" t="inlineStr">
        <is>
          <t>Peneira circular  325#</t>
        </is>
      </c>
      <c r="C83" s="5" t="inlineStr">
        <is>
          <t>LCP</t>
        </is>
      </c>
      <c r="D83" s="5" t="inlineStr">
        <is>
          <t>FÍSICO</t>
        </is>
      </c>
      <c r="E83" s="6" t="n">
        <v>12</v>
      </c>
      <c r="F83" s="11" t="n">
        <v>46204</v>
      </c>
      <c r="G83" s="11" t="n">
        <v>46599</v>
      </c>
      <c r="H83" s="8">
        <f>IF(G83="","",IF(G83&lt;TODAY(),"N/OK","OK"))</f>
        <v/>
      </c>
      <c r="I83" s="5" t="n"/>
      <c r="J83" s="5" t="n"/>
      <c r="K83" s="5" t="n"/>
    </row>
    <row r="84">
      <c r="A84" s="5" t="inlineStr">
        <is>
          <t>PN 671</t>
        </is>
      </c>
      <c r="B84" s="5" t="inlineStr">
        <is>
          <t>Peneira circular  325#</t>
        </is>
      </c>
      <c r="C84" s="5" t="inlineStr">
        <is>
          <t>LCP</t>
        </is>
      </c>
      <c r="D84" s="5" t="inlineStr">
        <is>
          <t>FÍSICO</t>
        </is>
      </c>
      <c r="E84" s="6" t="n">
        <v>12</v>
      </c>
      <c r="F84" s="11" t="n">
        <v>46204</v>
      </c>
      <c r="G84" s="11" t="n">
        <v>46599</v>
      </c>
      <c r="H84" s="8">
        <f>IF(G84="","",IF(G84&lt;TODAY(),"N/OK","OK"))</f>
        <v/>
      </c>
      <c r="I84" s="5" t="n"/>
      <c r="J84" s="5" t="n"/>
      <c r="K84" s="5" t="n"/>
    </row>
    <row r="85">
      <c r="A85" s="5" t="inlineStr">
        <is>
          <t>PN413</t>
        </is>
      </c>
      <c r="B85" s="5" t="inlineStr">
        <is>
          <t>Peneira retangular 9,0mm</t>
        </is>
      </c>
      <c r="C85" s="5" t="inlineStr">
        <is>
          <t>LCP</t>
        </is>
      </c>
      <c r="D85" s="5" t="inlineStr">
        <is>
          <t>FÍSICO</t>
        </is>
      </c>
      <c r="E85" s="6" t="n">
        <v>12</v>
      </c>
      <c r="F85" s="11" t="n">
        <v>46052</v>
      </c>
      <c r="G85" s="11" t="n">
        <v>46418</v>
      </c>
      <c r="H85" s="8">
        <f>IF(G85="","",IF(G85&lt;TODAY(),"N/OK","OK"))</f>
        <v/>
      </c>
      <c r="I85" s="5" t="n"/>
      <c r="J85" s="5" t="n"/>
      <c r="K85" s="5" t="n"/>
    </row>
    <row r="86">
      <c r="A86" s="5" t="inlineStr">
        <is>
          <t>PN498</t>
        </is>
      </c>
      <c r="B86" s="5" t="inlineStr">
        <is>
          <t>Peneira circular 1,18mm</t>
        </is>
      </c>
      <c r="C86" s="5" t="inlineStr">
        <is>
          <t>LCP</t>
        </is>
      </c>
      <c r="D86" s="5" t="inlineStr">
        <is>
          <t>FÍSICO</t>
        </is>
      </c>
      <c r="E86" s="6" t="n">
        <v>12</v>
      </c>
      <c r="F86" s="11" t="n">
        <v>46023</v>
      </c>
      <c r="G86" s="11" t="n">
        <v>46418</v>
      </c>
      <c r="H86" s="8">
        <f>IF(G86="","",IF(G86&lt;TODAY(),"N/OK","OK"))</f>
        <v/>
      </c>
      <c r="I86" s="5" t="n"/>
      <c r="J86" s="5" t="n"/>
      <c r="K86" s="5" t="n"/>
    </row>
    <row r="87">
      <c r="A87" s="5" t="inlineStr">
        <is>
          <t>PN527</t>
        </is>
      </c>
      <c r="B87" s="5" t="inlineStr">
        <is>
          <t>Peneira circular 200#</t>
        </is>
      </c>
      <c r="C87" s="5" t="inlineStr">
        <is>
          <t>LCP</t>
        </is>
      </c>
      <c r="D87" s="5" t="inlineStr">
        <is>
          <t>FÍSICO</t>
        </is>
      </c>
      <c r="E87" s="6" t="n">
        <v>12</v>
      </c>
      <c r="F87" s="11" t="n">
        <v>46023</v>
      </c>
      <c r="G87" s="11" t="n">
        <v>46418</v>
      </c>
      <c r="H87" s="8">
        <f>IF(G87="","",IF(G87&lt;TODAY(),"N/OK","OK"))</f>
        <v/>
      </c>
      <c r="I87" s="5" t="n"/>
      <c r="J87" s="5" t="n"/>
      <c r="K87" s="5" t="n"/>
    </row>
    <row r="88">
      <c r="A88" s="5" t="inlineStr">
        <is>
          <t>PN-592</t>
        </is>
      </c>
      <c r="B88" s="5" t="inlineStr">
        <is>
          <t>Peneira circular 2,0mm</t>
        </is>
      </c>
      <c r="C88" s="5" t="inlineStr">
        <is>
          <t>LCP</t>
        </is>
      </c>
      <c r="D88" s="5" t="inlineStr">
        <is>
          <t>FÍSICO</t>
        </is>
      </c>
      <c r="E88" s="6" t="n">
        <v>12</v>
      </c>
      <c r="F88" s="11" t="n">
        <v>45689</v>
      </c>
      <c r="G88" s="11" t="n">
        <v>46056</v>
      </c>
      <c r="H88" s="8">
        <f>IF(G88="","",IF(G88&lt;TODAY(),"N/OK","OK"))</f>
        <v/>
      </c>
      <c r="I88" s="5" t="n"/>
      <c r="J88" s="5" t="n"/>
      <c r="K88" s="5" t="n"/>
    </row>
    <row r="89">
      <c r="A89" s="5" t="inlineStr">
        <is>
          <t>PN614</t>
        </is>
      </c>
      <c r="B89" s="5" t="inlineStr">
        <is>
          <t>Peneira circular 12,5mm</t>
        </is>
      </c>
      <c r="C89" s="5" t="inlineStr">
        <is>
          <t>LCP</t>
        </is>
      </c>
      <c r="D89" s="5" t="inlineStr">
        <is>
          <t>FÍSICO</t>
        </is>
      </c>
      <c r="E89" s="6" t="n">
        <v>12</v>
      </c>
      <c r="F89" s="11" t="n">
        <v>46023</v>
      </c>
      <c r="G89" s="11" t="n">
        <v>46418</v>
      </c>
      <c r="H89" s="8">
        <f>IF(G89="","",IF(G89&lt;TODAY(),"N/OK","OK"))</f>
        <v/>
      </c>
      <c r="I89" s="5" t="n"/>
      <c r="J89" s="5" t="n"/>
      <c r="K89" s="5" t="n"/>
    </row>
    <row r="90">
      <c r="A90" s="5" t="inlineStr">
        <is>
          <t>PN639</t>
        </is>
      </c>
      <c r="B90" s="5" t="inlineStr">
        <is>
          <t>Peneira circular  3,15mm</t>
        </is>
      </c>
      <c r="C90" s="5" t="inlineStr">
        <is>
          <t>LCP</t>
        </is>
      </c>
      <c r="D90" s="5" t="inlineStr">
        <is>
          <t>FÍSICO</t>
        </is>
      </c>
      <c r="E90" s="6" t="n">
        <v>12</v>
      </c>
      <c r="F90" s="11" t="n">
        <v>45689</v>
      </c>
      <c r="G90" s="11" t="n">
        <v>46056</v>
      </c>
      <c r="H90" s="8">
        <f>IF(G90="","",IF(G90&lt;TODAY(),"N/OK","OK"))</f>
        <v/>
      </c>
      <c r="I90" s="5" t="n"/>
      <c r="J90" s="5" t="n"/>
      <c r="K90" s="5" t="n"/>
    </row>
    <row r="91">
      <c r="A91" s="5" t="inlineStr">
        <is>
          <t>66WT 04</t>
        </is>
      </c>
      <c r="B91" s="5" t="inlineStr">
        <is>
          <t>BALANÇA DE BANCADA 210G</t>
        </is>
      </c>
      <c r="C91" s="5" t="inlineStr">
        <is>
          <t>LCE</t>
        </is>
      </c>
      <c r="D91" s="5" t="inlineStr">
        <is>
          <t>QUÍMICO</t>
        </is>
      </c>
      <c r="E91" s="6" t="n">
        <v>12</v>
      </c>
      <c r="F91" s="11" t="n">
        <v>46113</v>
      </c>
      <c r="G91" s="11" t="n">
        <v>46478</v>
      </c>
      <c r="H91" s="8">
        <f>IF(G91="","",IF(G91&lt;TODAY(),"N/OK","OK"))</f>
        <v/>
      </c>
      <c r="I91" s="5" t="n"/>
      <c r="J91" s="5" t="n"/>
      <c r="K91" s="5" t="n"/>
    </row>
    <row r="92">
      <c r="A92" s="5" t="inlineStr">
        <is>
          <t>66WT051</t>
        </is>
      </c>
      <c r="B92" s="5" t="inlineStr">
        <is>
          <t>BALANÇA DE BANCADA 210G</t>
        </is>
      </c>
      <c r="C92" s="5" t="inlineStr">
        <is>
          <t>LCE</t>
        </is>
      </c>
      <c r="D92" s="5" t="inlineStr">
        <is>
          <t>QUÍMICO</t>
        </is>
      </c>
      <c r="E92" s="6" t="n">
        <v>12</v>
      </c>
      <c r="F92" s="11" t="n">
        <v>46113</v>
      </c>
      <c r="G92" s="11" t="n">
        <v>46478</v>
      </c>
      <c r="H92" s="8">
        <f>IF(G92="","",IF(G92&lt;TODAY(),"N/OK","OK"))</f>
        <v/>
      </c>
      <c r="I92" s="5" t="n"/>
      <c r="J92" s="5" t="n"/>
      <c r="K92" s="5" t="n"/>
    </row>
    <row r="93">
      <c r="A93" s="5" t="inlineStr">
        <is>
          <t>66BL 80</t>
        </is>
      </c>
      <c r="B93" s="5" t="inlineStr">
        <is>
          <t>BALANÇA DE BANCADA 210G</t>
        </is>
      </c>
      <c r="C93" s="5" t="inlineStr">
        <is>
          <t>LCE</t>
        </is>
      </c>
      <c r="D93" s="5" t="inlineStr">
        <is>
          <t>QUÍMICO</t>
        </is>
      </c>
      <c r="E93" s="6" t="n">
        <v>12</v>
      </c>
      <c r="F93" s="11" t="n">
        <v>46113</v>
      </c>
      <c r="G93" s="11" t="n">
        <v>46478</v>
      </c>
      <c r="H93" s="8">
        <f>IF(G93="","",IF(G93&lt;TODAY(),"N/OK","OK"))</f>
        <v/>
      </c>
      <c r="I93" s="5" t="n"/>
      <c r="J93" s="5" t="n"/>
      <c r="K93" s="5" t="n"/>
    </row>
    <row r="94">
      <c r="A94" s="5" t="inlineStr">
        <is>
          <t>66BL86</t>
        </is>
      </c>
      <c r="B94" s="5" t="inlineStr">
        <is>
          <t>BALANÇA DE BANCADA 210G</t>
        </is>
      </c>
      <c r="C94" s="5" t="inlineStr">
        <is>
          <t>LCE</t>
        </is>
      </c>
      <c r="D94" s="5" t="inlineStr">
        <is>
          <t>QUÍMICO</t>
        </is>
      </c>
      <c r="E94" s="6" t="n">
        <v>12</v>
      </c>
      <c r="F94" s="11" t="n">
        <v>46113</v>
      </c>
      <c r="G94" s="11" t="n">
        <v>46478</v>
      </c>
      <c r="H94" s="8">
        <f>IF(G94="","",IF(G94&lt;TODAY(),"N/OK","OK"))</f>
        <v/>
      </c>
      <c r="I94" s="5" t="n"/>
      <c r="J94" s="5" t="n"/>
      <c r="K94" s="5" t="n"/>
    </row>
    <row r="95">
      <c r="A95" s="5" t="inlineStr">
        <is>
          <t>66WT081</t>
        </is>
      </c>
      <c r="B95" s="5" t="inlineStr">
        <is>
          <t>BALANÇA DE BANCADA 120G</t>
        </is>
      </c>
      <c r="C95" s="5" t="inlineStr">
        <is>
          <t>LCE</t>
        </is>
      </c>
      <c r="D95" s="5" t="inlineStr">
        <is>
          <t>QUÍMICO</t>
        </is>
      </c>
      <c r="E95" s="6" t="n">
        <v>12</v>
      </c>
      <c r="F95" s="11" t="n">
        <v>45962</v>
      </c>
      <c r="G95" s="11" t="n">
        <v>46327</v>
      </c>
      <c r="H95" s="8">
        <f>IF(G95="","",IF(G95&lt;TODAY(),"N/OK","OK"))</f>
        <v/>
      </c>
      <c r="I95" s="5" t="n"/>
      <c r="J95" s="5" t="n"/>
      <c r="K95" s="5" t="n"/>
    </row>
    <row r="96">
      <c r="A96" s="5" t="inlineStr">
        <is>
          <t>66EF 04</t>
        </is>
      </c>
      <c r="B96" s="5" t="inlineStr">
        <is>
          <t>ESTUFA</t>
        </is>
      </c>
      <c r="C96" s="5" t="inlineStr">
        <is>
          <t>LCE</t>
        </is>
      </c>
      <c r="D96" s="5" t="inlineStr">
        <is>
          <t>QUÍMICO</t>
        </is>
      </c>
      <c r="E96" s="6" t="n">
        <v>12</v>
      </c>
      <c r="F96" s="11" t="n">
        <v>45932</v>
      </c>
      <c r="G96" s="11" t="n">
        <v>46297</v>
      </c>
      <c r="H96" s="8">
        <f>IF(G96="","",IF(G96&lt;TODAY(),"N/OK","OK"))</f>
        <v/>
      </c>
      <c r="I96" s="5" t="n"/>
      <c r="J96" s="5" t="n"/>
      <c r="K96" s="5" t="n"/>
    </row>
    <row r="97">
      <c r="A97" s="5" t="inlineStr">
        <is>
          <t>66EF 20</t>
        </is>
      </c>
      <c r="B97" s="5" t="inlineStr">
        <is>
          <t>ESTUFA</t>
        </is>
      </c>
      <c r="C97" s="5" t="inlineStr">
        <is>
          <t>LCE</t>
        </is>
      </c>
      <c r="D97" s="5" t="inlineStr">
        <is>
          <t>QUÍMICO</t>
        </is>
      </c>
      <c r="E97" s="6" t="n">
        <v>12</v>
      </c>
      <c r="F97" s="11" t="n">
        <v>45932</v>
      </c>
      <c r="G97" s="11" t="n">
        <v>46297</v>
      </c>
      <c r="H97" s="8">
        <f>IF(G97="","",IF(G97&lt;TODAY(),"N/OK","OK"))</f>
        <v/>
      </c>
      <c r="I97" s="5" t="n"/>
      <c r="J97" s="5" t="n"/>
      <c r="K97" s="5" t="n"/>
    </row>
    <row r="98">
      <c r="A98" s="5" t="inlineStr">
        <is>
          <t>66FN 13</t>
        </is>
      </c>
      <c r="B98" s="5" t="inlineStr">
        <is>
          <t>FORNO MUFLA (MENOR)</t>
        </is>
      </c>
      <c r="C98" s="5" t="inlineStr">
        <is>
          <t>LCE</t>
        </is>
      </c>
      <c r="D98" s="5" t="inlineStr">
        <is>
          <t>QUÍMICO</t>
        </is>
      </c>
      <c r="E98" s="6" t="n">
        <v>12</v>
      </c>
      <c r="F98" s="11" t="n">
        <v>45992</v>
      </c>
      <c r="G98" s="11" t="n">
        <v>46357</v>
      </c>
      <c r="H98" s="8">
        <f>IF(G98="","",IF(G98&lt;TODAY(),"N/OK","OK"))</f>
        <v/>
      </c>
      <c r="I98" s="5" t="n"/>
      <c r="J98" s="5" t="n"/>
      <c r="K98" s="5" t="n"/>
    </row>
    <row r="99">
      <c r="A99" s="5" t="inlineStr">
        <is>
          <t>66FN 26</t>
        </is>
      </c>
      <c r="B99" s="5" t="inlineStr">
        <is>
          <t>FORNO MUFLA</t>
        </is>
      </c>
      <c r="C99" s="5" t="inlineStr">
        <is>
          <t>LCE</t>
        </is>
      </c>
      <c r="D99" s="5" t="inlineStr">
        <is>
          <t>QUÍMICO</t>
        </is>
      </c>
      <c r="E99" s="6" t="n">
        <v>12</v>
      </c>
      <c r="F99" s="11" t="n">
        <v>46143</v>
      </c>
      <c r="G99" s="11" t="n">
        <v>46508</v>
      </c>
      <c r="H99" s="8">
        <f>IF(G99="","",IF(G99&lt;TODAY(),"N/OK","OK"))</f>
        <v/>
      </c>
      <c r="I99" s="5" t="n"/>
      <c r="J99" s="5" t="n"/>
      <c r="K99" s="5" t="n"/>
    </row>
    <row r="100">
      <c r="A100" s="5" t="inlineStr">
        <is>
          <t>66FN 27</t>
        </is>
      </c>
      <c r="B100" s="5" t="inlineStr">
        <is>
          <t>FORNO MUFLA</t>
        </is>
      </c>
      <c r="C100" s="5" t="inlineStr">
        <is>
          <t>LCE</t>
        </is>
      </c>
      <c r="D100" s="5" t="inlineStr">
        <is>
          <t>QUÍMICO</t>
        </is>
      </c>
      <c r="E100" s="6" t="n">
        <v>12</v>
      </c>
      <c r="F100" s="11" t="n">
        <v>46113</v>
      </c>
      <c r="G100" s="11" t="n">
        <v>46478</v>
      </c>
      <c r="H100" s="8">
        <f>IF(G100="","",IF(G100&lt;TODAY(),"N/OK","OK"))</f>
        <v/>
      </c>
      <c r="I100" s="5" t="n"/>
      <c r="J100" s="5" t="n"/>
      <c r="K100" s="5" t="n"/>
    </row>
    <row r="101">
      <c r="A101" s="5" t="inlineStr">
        <is>
          <t>BD0006</t>
        </is>
      </c>
      <c r="B101" s="5" t="inlineStr">
        <is>
          <t>Dosador do Titulador Potenciométrico</t>
        </is>
      </c>
      <c r="C101" s="5" t="inlineStr">
        <is>
          <t>LCE</t>
        </is>
      </c>
      <c r="D101" s="5" t="inlineStr">
        <is>
          <t>QUÍMICO</t>
        </is>
      </c>
      <c r="E101" s="6" t="n">
        <v>12</v>
      </c>
      <c r="F101" s="11" t="n">
        <v>46174</v>
      </c>
      <c r="G101" s="11" t="n">
        <v>46539</v>
      </c>
      <c r="H101" s="8">
        <f>IF(G101="","",IF(G101&lt;TODAY(),"N/OK","OK"))</f>
        <v/>
      </c>
      <c r="I101" s="5" t="n"/>
      <c r="J101" s="5" t="n"/>
      <c r="K101" s="5" t="n"/>
    </row>
    <row r="102">
      <c r="A102" s="5" t="inlineStr">
        <is>
          <t>BD0007</t>
        </is>
      </c>
      <c r="B102" s="5" t="inlineStr">
        <is>
          <t>Dosador do Titulador Potenciométrico</t>
        </is>
      </c>
      <c r="C102" s="5" t="inlineStr">
        <is>
          <t>LCE</t>
        </is>
      </c>
      <c r="D102" s="5" t="inlineStr">
        <is>
          <t>QUÍMICO</t>
        </is>
      </c>
      <c r="E102" s="6" t="n">
        <v>12</v>
      </c>
      <c r="F102" s="11" t="n">
        <v>46174</v>
      </c>
      <c r="G102" s="11" t="n">
        <v>46539</v>
      </c>
      <c r="H102" s="8">
        <f>IF(G102="","",IF(G102&lt;TODAY(),"N/OK","OK"))</f>
        <v/>
      </c>
      <c r="I102" s="5" t="n"/>
      <c r="J102" s="5" t="n"/>
      <c r="K102" s="5" t="n"/>
    </row>
    <row r="103">
      <c r="A103" s="5" t="inlineStr">
        <is>
          <t>BD0008</t>
        </is>
      </c>
      <c r="B103" s="5" t="inlineStr">
        <is>
          <t>Dosador do Titulador Potenciométrico</t>
        </is>
      </c>
      <c r="C103" s="5" t="inlineStr">
        <is>
          <t>LCE</t>
        </is>
      </c>
      <c r="D103" s="5" t="inlineStr">
        <is>
          <t>QUÍMICO</t>
        </is>
      </c>
      <c r="E103" s="6" t="n">
        <v>12</v>
      </c>
      <c r="F103" s="11" t="n">
        <v>46174</v>
      </c>
      <c r="G103" s="11" t="n">
        <v>46539</v>
      </c>
      <c r="H103" s="8">
        <f>IF(G103="","",IF(G103&lt;TODAY(),"N/OK","OK"))</f>
        <v/>
      </c>
      <c r="I103" s="5" t="n"/>
      <c r="J103" s="5" t="n"/>
      <c r="K103" s="5" t="n"/>
    </row>
    <row r="104">
      <c r="A104" s="5" t="inlineStr">
        <is>
          <t>BD0009</t>
        </is>
      </c>
      <c r="B104" s="5" t="inlineStr">
        <is>
          <t>Dosador do Titulador Potenciométrico</t>
        </is>
      </c>
      <c r="C104" s="5" t="inlineStr">
        <is>
          <t>LCE</t>
        </is>
      </c>
      <c r="D104" s="5" t="inlineStr">
        <is>
          <t>QUÍMICO</t>
        </is>
      </c>
      <c r="E104" s="6" t="n">
        <v>12</v>
      </c>
      <c r="F104" s="11" t="n">
        <v>46174</v>
      </c>
      <c r="G104" s="11" t="n">
        <v>46539</v>
      </c>
      <c r="H104" s="8">
        <f>IF(G104="","",IF(G104&lt;TODAY(),"N/OK","OK"))</f>
        <v/>
      </c>
      <c r="I104" s="5" t="n"/>
      <c r="J104" s="5" t="n"/>
      <c r="K104" s="5" t="n"/>
    </row>
    <row r="105">
      <c r="A105" s="5" t="inlineStr">
        <is>
          <t>PV0002</t>
        </is>
      </c>
      <c r="B105" s="5" t="inlineStr">
        <is>
          <t>Esfera padrão Picnômetro</t>
        </is>
      </c>
      <c r="C105" s="5" t="inlineStr">
        <is>
          <t>LCE</t>
        </is>
      </c>
      <c r="D105" s="5" t="inlineStr">
        <is>
          <t>QUÍMICO</t>
        </is>
      </c>
      <c r="E105" s="6" t="n">
        <v>1</v>
      </c>
      <c r="F105" s="11" t="n">
        <v>44440</v>
      </c>
      <c r="G105" s="11" t="n">
        <v>46327</v>
      </c>
      <c r="H105" s="8">
        <f>IF(G105="","",IF(G105&lt;TODAY(),"N/OK","OK"))</f>
        <v/>
      </c>
      <c r="I105" s="5" t="n"/>
      <c r="J105" s="5" t="n"/>
      <c r="K105" s="5" t="n"/>
    </row>
    <row r="106">
      <c r="A106" s="5" t="inlineStr">
        <is>
          <t>PV0003</t>
        </is>
      </c>
      <c r="B106" s="5" t="inlineStr">
        <is>
          <t>Esfera padrão Picnômetro</t>
        </is>
      </c>
      <c r="C106" s="5" t="inlineStr">
        <is>
          <t>LCE</t>
        </is>
      </c>
      <c r="D106" s="5" t="inlineStr">
        <is>
          <t>QUÍMICO</t>
        </is>
      </c>
      <c r="E106" s="6" t="n">
        <v>1</v>
      </c>
      <c r="F106" s="11" t="n">
        <v>44440</v>
      </c>
      <c r="G106" s="11" t="n">
        <v>46327</v>
      </c>
      <c r="H106" s="8">
        <f>IF(G106="","",IF(G106&lt;TODAY(),"N/OK","OK"))</f>
        <v/>
      </c>
      <c r="I106" s="5" t="n"/>
      <c r="J106" s="5" t="n"/>
      <c r="K106" s="5" t="n"/>
    </row>
    <row r="107">
      <c r="A107" s="5" t="inlineStr">
        <is>
          <t>BD0001</t>
        </is>
      </c>
      <c r="B107" s="5" t="inlineStr">
        <is>
          <t>Bureta digital</t>
        </is>
      </c>
      <c r="C107" s="5" t="inlineStr">
        <is>
          <t>LCE</t>
        </is>
      </c>
      <c r="D107" s="5" t="inlineStr">
        <is>
          <t>QUÍMICO</t>
        </is>
      </c>
      <c r="E107" s="6" t="n">
        <v>24</v>
      </c>
      <c r="F107" s="11" t="n">
        <v>45505</v>
      </c>
      <c r="G107" s="11" t="n">
        <v>46296</v>
      </c>
      <c r="H107" s="8">
        <f>IF(G107="","",IF(G107&lt;TODAY(),"N/OK","OK"))</f>
        <v/>
      </c>
      <c r="I107" s="5" t="n"/>
      <c r="J107" s="5" t="n"/>
      <c r="K107" s="5" t="n"/>
    </row>
    <row r="108">
      <c r="A108" s="5" t="inlineStr">
        <is>
          <t>BD0003</t>
        </is>
      </c>
      <c r="B108" s="5" t="inlineStr">
        <is>
          <t>Bureta digital</t>
        </is>
      </c>
      <c r="C108" s="5" t="inlineStr">
        <is>
          <t>LCE</t>
        </is>
      </c>
      <c r="D108" s="5" t="inlineStr">
        <is>
          <t>QUÍMICO</t>
        </is>
      </c>
      <c r="E108" s="6" t="n">
        <v>24</v>
      </c>
      <c r="F108" s="11" t="n">
        <v>45505</v>
      </c>
      <c r="G108" s="11" t="n">
        <v>46296</v>
      </c>
      <c r="H108" s="8">
        <f>IF(G108="","",IF(G108&lt;TODAY(),"N/OK","OK"))</f>
        <v/>
      </c>
      <c r="I108" s="5" t="n"/>
      <c r="J108" s="5" t="n"/>
      <c r="K108" s="5" t="n"/>
    </row>
    <row r="109">
      <c r="A109" s="5" t="inlineStr">
        <is>
          <t>BD0002</t>
        </is>
      </c>
      <c r="B109" s="5" t="inlineStr">
        <is>
          <t>Bureta digital</t>
        </is>
      </c>
      <c r="C109" s="5" t="inlineStr">
        <is>
          <t>LCE</t>
        </is>
      </c>
      <c r="D109" s="5" t="inlineStr">
        <is>
          <t>QUÍMICO</t>
        </is>
      </c>
      <c r="E109" s="6" t="n">
        <v>24</v>
      </c>
      <c r="F109" s="11" t="n">
        <v>45536</v>
      </c>
      <c r="G109" s="11" t="n">
        <v>46356</v>
      </c>
      <c r="H109" s="8">
        <f>IF(G109="","",IF(G109&lt;TODAY(),"N/OK","OK"))</f>
        <v/>
      </c>
      <c r="I109" s="5" t="n"/>
      <c r="J109" s="5" t="n"/>
      <c r="K109" s="5" t="n"/>
    </row>
    <row r="110">
      <c r="A110" s="5" t="inlineStr">
        <is>
          <t>BD0004</t>
        </is>
      </c>
      <c r="B110" s="5" t="inlineStr">
        <is>
          <t>Bureta digital</t>
        </is>
      </c>
      <c r="C110" s="5" t="inlineStr">
        <is>
          <t>LCE</t>
        </is>
      </c>
      <c r="D110" s="5" t="inlineStr">
        <is>
          <t>QUÍMICO</t>
        </is>
      </c>
      <c r="E110" s="6" t="n">
        <v>24</v>
      </c>
      <c r="F110" s="11" t="n">
        <v>45536</v>
      </c>
      <c r="G110" s="11" t="n">
        <v>46356</v>
      </c>
      <c r="H110" s="8">
        <f>IF(G110="","",IF(G110&lt;TODAY(),"N/OK","OK"))</f>
        <v/>
      </c>
      <c r="I110" s="5" t="n"/>
      <c r="J110" s="5" t="n"/>
      <c r="K110" s="5" t="n"/>
    </row>
    <row r="111">
      <c r="A111" s="5" t="inlineStr">
        <is>
          <t>66PS05</t>
        </is>
      </c>
      <c r="B111" s="5" t="inlineStr">
        <is>
          <t>Máquina de compressão</t>
        </is>
      </c>
      <c r="C111" s="5" t="inlineStr">
        <is>
          <t>LCE</t>
        </is>
      </c>
      <c r="D111" s="5" t="inlineStr">
        <is>
          <t>TORRE 3</t>
        </is>
      </c>
      <c r="E111" s="6" t="n">
        <v>3</v>
      </c>
      <c r="F111" s="11" t="n">
        <v>45778</v>
      </c>
      <c r="G111" s="11" t="n">
        <v>46264</v>
      </c>
      <c r="H111" s="8">
        <f>IF(G111="","",IF(G111&lt;TODAY(),"N/OK","OK"))</f>
        <v/>
      </c>
      <c r="I111" s="5" t="n"/>
      <c r="J111" s="5" t="n"/>
      <c r="K111" s="5" t="n"/>
    </row>
    <row r="112">
      <c r="A112" s="5" t="inlineStr">
        <is>
          <t>PN 0154</t>
        </is>
      </c>
      <c r="B112" s="5" t="inlineStr">
        <is>
          <t>Peneira Retangular 19 mm</t>
        </is>
      </c>
      <c r="C112" s="5" t="inlineStr">
        <is>
          <t>LCE</t>
        </is>
      </c>
      <c r="D112" s="5" t="inlineStr">
        <is>
          <t>TORRE 3</t>
        </is>
      </c>
      <c r="E112" s="6" t="n">
        <v>12</v>
      </c>
      <c r="F112" s="11" t="n">
        <v>46054</v>
      </c>
      <c r="G112" s="11" t="n">
        <v>46419</v>
      </c>
      <c r="H112" s="8">
        <f>IF(G112="","",IF(G112&lt;TODAY(),"N/OK","OK"))</f>
        <v/>
      </c>
      <c r="I112" s="5" t="n"/>
      <c r="J112" s="5" t="n"/>
      <c r="K112" s="5" t="n"/>
    </row>
    <row r="113">
      <c r="A113" s="5" t="inlineStr">
        <is>
          <t>PN 0448</t>
        </is>
      </c>
      <c r="B113" s="5" t="inlineStr">
        <is>
          <t>Peneira retangular 16 mm</t>
        </is>
      </c>
      <c r="C113" s="5" t="inlineStr">
        <is>
          <t>LCE</t>
        </is>
      </c>
      <c r="D113" s="5" t="inlineStr">
        <is>
          <t>TORRE 3</t>
        </is>
      </c>
      <c r="E113" s="6" t="n">
        <v>12</v>
      </c>
      <c r="F113" s="11" t="n">
        <v>46054</v>
      </c>
      <c r="G113" s="11" t="n">
        <v>46419</v>
      </c>
      <c r="H113" s="8">
        <f>IF(G113="","",IF(G113&lt;TODAY(),"N/OK","OK"))</f>
        <v/>
      </c>
      <c r="I113" s="5" t="n"/>
      <c r="J113" s="5" t="n"/>
      <c r="K113" s="5" t="n"/>
    </row>
    <row r="114">
      <c r="A114" s="5" t="inlineStr">
        <is>
          <t>PN 0438</t>
        </is>
      </c>
      <c r="B114" s="5" t="inlineStr">
        <is>
          <t>Peneira retangular 14 mm</t>
        </is>
      </c>
      <c r="C114" s="5" t="inlineStr">
        <is>
          <t>LCE</t>
        </is>
      </c>
      <c r="D114" s="5" t="inlineStr">
        <is>
          <t>TORRE 3</t>
        </is>
      </c>
      <c r="E114" s="6" t="n">
        <v>12</v>
      </c>
      <c r="F114" s="11" t="n">
        <v>46143</v>
      </c>
      <c r="G114" s="11" t="n">
        <v>46508</v>
      </c>
      <c r="H114" s="8">
        <f>IF(G114="","",IF(G114&lt;TODAY(),"N/OK","OK"))</f>
        <v/>
      </c>
      <c r="I114" s="5" t="n"/>
      <c r="J114" s="5" t="n"/>
      <c r="K114" s="5" t="n"/>
    </row>
    <row r="115">
      <c r="A115" s="5" t="inlineStr">
        <is>
          <t>PN 0372</t>
        </is>
      </c>
      <c r="B115" s="5" t="inlineStr">
        <is>
          <t>Peneira retangular 10 mm</t>
        </is>
      </c>
      <c r="C115" s="5" t="inlineStr">
        <is>
          <t>LCE</t>
        </is>
      </c>
      <c r="D115" s="5" t="inlineStr">
        <is>
          <t>TORRE 3</t>
        </is>
      </c>
      <c r="E115" s="6" t="n">
        <v>12</v>
      </c>
      <c r="F115" s="11" t="n">
        <v>46143</v>
      </c>
      <c r="G115" s="11" t="n">
        <v>46508</v>
      </c>
      <c r="H115" s="8">
        <f>IF(G115="","",IF(G115&lt;TODAY(),"N/OK","OK"))</f>
        <v/>
      </c>
      <c r="I115" s="5" t="n"/>
      <c r="J115" s="5" t="n"/>
      <c r="K115" s="5" t="n"/>
    </row>
    <row r="116">
      <c r="A116" s="5" t="inlineStr">
        <is>
          <t>PN 0573</t>
        </is>
      </c>
      <c r="B116" s="5" t="inlineStr">
        <is>
          <t>Peneira retangular 8 mm</t>
        </is>
      </c>
      <c r="C116" s="5" t="inlineStr">
        <is>
          <t>LCE</t>
        </is>
      </c>
      <c r="D116" s="5" t="inlineStr">
        <is>
          <t>TORRE 3</t>
        </is>
      </c>
      <c r="E116" s="6" t="n">
        <v>12</v>
      </c>
      <c r="F116" s="11" t="n">
        <v>45931</v>
      </c>
      <c r="G116" s="11" t="n">
        <v>46296</v>
      </c>
      <c r="H116" s="8">
        <f>IF(G116="","",IF(G116&lt;TODAY(),"N/OK","OK"))</f>
        <v/>
      </c>
      <c r="I116" s="5" t="n"/>
      <c r="J116" s="5" t="n"/>
      <c r="K116" s="5" t="n"/>
    </row>
    <row r="117">
      <c r="A117" s="5" t="inlineStr">
        <is>
          <t>PN 0361</t>
        </is>
      </c>
      <c r="B117" s="5" t="inlineStr">
        <is>
          <t>Peneira retangular 6,3 mm</t>
        </is>
      </c>
      <c r="C117" s="5" t="inlineStr">
        <is>
          <t>LCE</t>
        </is>
      </c>
      <c r="D117" s="5" t="inlineStr">
        <is>
          <t>TORRE 3</t>
        </is>
      </c>
      <c r="E117" s="6" t="n">
        <v>12</v>
      </c>
      <c r="F117" s="11" t="n">
        <v>46143</v>
      </c>
      <c r="G117" s="11" t="n">
        <v>46508</v>
      </c>
      <c r="H117" s="8">
        <f>IF(G117="","",IF(G117&lt;TODAY(),"N/OK","OK"))</f>
        <v/>
      </c>
      <c r="I117" s="5" t="n"/>
      <c r="J117" s="5" t="n"/>
      <c r="K117" s="5" t="n"/>
    </row>
    <row r="118">
      <c r="A118" s="5" t="inlineStr">
        <is>
          <t>PN 0364</t>
        </is>
      </c>
      <c r="B118" s="5" t="inlineStr">
        <is>
          <t>Peneira retangular 19 mm</t>
        </is>
      </c>
      <c r="C118" s="5" t="inlineStr">
        <is>
          <t>LCE</t>
        </is>
      </c>
      <c r="D118" s="5" t="inlineStr">
        <is>
          <t>TORRE 3</t>
        </is>
      </c>
      <c r="E118" s="6" t="n">
        <v>12</v>
      </c>
      <c r="F118" s="11" t="n">
        <v>45627</v>
      </c>
      <c r="G118" s="11" t="n">
        <v>46264</v>
      </c>
      <c r="H118" s="8">
        <f>IF(G118="","",IF(G118&lt;TODAY(),"N/OK","OK"))</f>
        <v/>
      </c>
      <c r="I118" s="5" t="n"/>
      <c r="J118" s="5" t="n"/>
      <c r="K118" s="5" t="n"/>
    </row>
    <row r="119">
      <c r="A119" s="5" t="inlineStr">
        <is>
          <t>PN 0485</t>
        </is>
      </c>
      <c r="B119" s="5" t="inlineStr">
        <is>
          <t>Peneira retangular 16 mm</t>
        </is>
      </c>
      <c r="C119" s="5" t="inlineStr">
        <is>
          <t>LCE</t>
        </is>
      </c>
      <c r="D119" s="5" t="inlineStr">
        <is>
          <t>TORRE 3</t>
        </is>
      </c>
      <c r="E119" s="6" t="n">
        <v>12</v>
      </c>
      <c r="F119" s="11" t="n">
        <v>46113</v>
      </c>
      <c r="G119" s="11" t="n">
        <v>46478</v>
      </c>
      <c r="H119" s="8">
        <f>IF(G119="","",IF(G119&lt;TODAY(),"N/OK","OK"))</f>
        <v/>
      </c>
      <c r="I119" s="5" t="n"/>
      <c r="J119" s="5" t="n"/>
      <c r="K119" s="5" t="n"/>
    </row>
    <row r="120">
      <c r="A120" s="5" t="inlineStr">
        <is>
          <t>PN 0645</t>
        </is>
      </c>
      <c r="B120" s="5" t="inlineStr">
        <is>
          <t>Peneira retangular 14 mm</t>
        </is>
      </c>
      <c r="C120" s="5" t="inlineStr">
        <is>
          <t>LCE</t>
        </is>
      </c>
      <c r="D120" s="5" t="inlineStr">
        <is>
          <t>TORRE 3</t>
        </is>
      </c>
      <c r="E120" s="6" t="n">
        <v>12</v>
      </c>
      <c r="F120" s="11" t="n">
        <v>46113</v>
      </c>
      <c r="G120" s="11" t="n">
        <v>46478</v>
      </c>
      <c r="H120" s="8">
        <f>IF(G120="","",IF(G120&lt;TODAY(),"N/OK","OK"))</f>
        <v/>
      </c>
      <c r="I120" s="5" t="n"/>
      <c r="J120" s="5" t="n"/>
      <c r="K120" s="5" t="n"/>
    </row>
    <row r="121">
      <c r="A121" s="5" t="inlineStr">
        <is>
          <t>PN 0662</t>
        </is>
      </c>
      <c r="B121" s="5" t="inlineStr">
        <is>
          <t>Peneira retangular 12,5 mm</t>
        </is>
      </c>
      <c r="C121" s="5" t="inlineStr">
        <is>
          <t>LCE</t>
        </is>
      </c>
      <c r="D121" s="5" t="inlineStr">
        <is>
          <t>TORRE 3</t>
        </is>
      </c>
      <c r="E121" s="6" t="n">
        <v>12</v>
      </c>
      <c r="F121" s="11" t="n">
        <v>46113</v>
      </c>
      <c r="G121" s="11" t="n">
        <v>46478</v>
      </c>
      <c r="H121" s="8">
        <f>IF(G121="","",IF(G121&lt;TODAY(),"N/OK","OK"))</f>
        <v/>
      </c>
      <c r="I121" s="5" t="n"/>
      <c r="J121" s="5" t="n"/>
      <c r="K121" s="5" t="n"/>
    </row>
    <row r="122">
      <c r="A122" s="5" t="inlineStr">
        <is>
          <t>PN 0481</t>
        </is>
      </c>
      <c r="B122" s="5" t="inlineStr">
        <is>
          <t>Peneira retangular 9,0 mm</t>
        </is>
      </c>
      <c r="C122" s="5" t="inlineStr">
        <is>
          <t>LCE</t>
        </is>
      </c>
      <c r="D122" s="5" t="inlineStr">
        <is>
          <t>TORRE 3</t>
        </is>
      </c>
      <c r="E122" s="6" t="n">
        <v>12</v>
      </c>
      <c r="F122" s="11" t="n">
        <v>46054</v>
      </c>
      <c r="G122" s="11" t="n">
        <v>46419</v>
      </c>
      <c r="H122" s="8">
        <f>IF(G122="","",IF(G122&lt;TODAY(),"N/OK","OK"))</f>
        <v/>
      </c>
      <c r="I122" s="5" t="n"/>
      <c r="J122" s="5" t="n"/>
      <c r="K122" s="5" t="n"/>
    </row>
    <row r="123">
      <c r="A123" s="5" t="inlineStr">
        <is>
          <t>PN 0408</t>
        </is>
      </c>
      <c r="B123" s="5" t="inlineStr">
        <is>
          <t>Peneira retangular 8,0 mm</t>
        </is>
      </c>
      <c r="C123" s="5" t="inlineStr">
        <is>
          <t>LCE</t>
        </is>
      </c>
      <c r="D123" s="5" t="inlineStr">
        <is>
          <t>TORRE 3</t>
        </is>
      </c>
      <c r="E123" s="6" t="n">
        <v>12</v>
      </c>
      <c r="F123" s="11" t="n">
        <v>45992</v>
      </c>
      <c r="G123" s="11" t="n">
        <v>46357</v>
      </c>
      <c r="H123" s="8">
        <f>IF(G123="","",IF(G123&lt;TODAY(),"N/OK","OK"))</f>
        <v/>
      </c>
      <c r="I123" s="5" t="n"/>
      <c r="J123" s="5" t="n"/>
      <c r="K123" s="5" t="n"/>
    </row>
    <row r="124">
      <c r="A124" s="5" t="inlineStr">
        <is>
          <t>PN 0293</t>
        </is>
      </c>
      <c r="B124" s="5" t="inlineStr">
        <is>
          <t>Peneira retangular 6,3 mm</t>
        </is>
      </c>
      <c r="C124" s="5" t="inlineStr">
        <is>
          <t>LCE</t>
        </is>
      </c>
      <c r="D124" s="5" t="inlineStr">
        <is>
          <t>TORRE 3</t>
        </is>
      </c>
      <c r="E124" s="6" t="n">
        <v>12</v>
      </c>
      <c r="F124" s="11" t="n">
        <v>46054</v>
      </c>
      <c r="G124" s="11" t="n">
        <v>46419</v>
      </c>
      <c r="H124" s="8">
        <f>IF(G124="","",IF(G124&lt;TODAY(),"N/OK","OK"))</f>
        <v/>
      </c>
      <c r="I124" s="5" t="n"/>
      <c r="J124" s="5" t="n"/>
      <c r="K124" s="5" t="n"/>
    </row>
    <row r="125">
      <c r="A125" s="5" t="inlineStr">
        <is>
          <t>PN 0585</t>
        </is>
      </c>
      <c r="B125" s="5" t="inlineStr">
        <is>
          <t>Peneira circular 12,5mm</t>
        </is>
      </c>
      <c r="C125" s="5" t="inlineStr">
        <is>
          <t>LCE</t>
        </is>
      </c>
      <c r="D125" s="5" t="inlineStr">
        <is>
          <t>TORRE 3</t>
        </is>
      </c>
      <c r="E125" s="6" t="n">
        <v>12</v>
      </c>
      <c r="F125" s="11" t="n">
        <v>46023</v>
      </c>
      <c r="G125" s="11" t="n">
        <v>46388</v>
      </c>
      <c r="H125" s="8">
        <f>IF(G125="","",IF(G125&lt;TODAY(),"N/OK","OK"))</f>
        <v/>
      </c>
      <c r="I125" s="5" t="n"/>
      <c r="J125" s="5" t="n"/>
      <c r="K125" s="5" t="n"/>
    </row>
    <row r="126">
      <c r="A126" s="5" t="inlineStr">
        <is>
          <t>PN 0426</t>
        </is>
      </c>
      <c r="B126" s="5" t="inlineStr">
        <is>
          <t>Peneira circular 16,0 mm</t>
        </is>
      </c>
      <c r="C126" s="5" t="inlineStr">
        <is>
          <t>LCE</t>
        </is>
      </c>
      <c r="D126" s="5" t="inlineStr">
        <is>
          <t>TORRE 3</t>
        </is>
      </c>
      <c r="E126" s="6" t="n">
        <v>12</v>
      </c>
      <c r="F126" s="11" t="n">
        <v>45992</v>
      </c>
      <c r="G126" s="11" t="n">
        <v>46357</v>
      </c>
      <c r="H126" s="8">
        <f>IF(G126="","",IF(G126&lt;TODAY(),"N/OK","OK"))</f>
        <v/>
      </c>
      <c r="I126" s="5" t="n"/>
      <c r="J126" s="5" t="n"/>
      <c r="K126" s="5" t="n"/>
    </row>
    <row r="127">
      <c r="A127" s="5" t="inlineStr">
        <is>
          <t>PN 0634</t>
        </is>
      </c>
      <c r="B127" s="5" t="inlineStr">
        <is>
          <t>Peneira circular 12,5 mm</t>
        </is>
      </c>
      <c r="C127" s="5" t="inlineStr">
        <is>
          <t>LCE</t>
        </is>
      </c>
      <c r="D127" s="5" t="inlineStr">
        <is>
          <t>TORRE 3</t>
        </is>
      </c>
      <c r="E127" s="6" t="n">
        <v>12</v>
      </c>
      <c r="F127" s="11" t="n"/>
      <c r="G127" s="11" t="n"/>
      <c r="H127" s="8">
        <f>IF(G127="","",IF(G127&lt;TODAY(),"N/OK","OK"))</f>
        <v/>
      </c>
      <c r="I127" s="5" t="n"/>
      <c r="J127" s="5" t="n"/>
      <c r="K127" s="5" t="n"/>
    </row>
    <row r="128">
      <c r="A128" s="5" t="inlineStr">
        <is>
          <t>PN 0571</t>
        </is>
      </c>
      <c r="B128" s="5" t="inlineStr">
        <is>
          <t>Peneira circular 10,0 mm</t>
        </is>
      </c>
      <c r="C128" s="5" t="inlineStr">
        <is>
          <t>LCE</t>
        </is>
      </c>
      <c r="D128" s="5" t="inlineStr">
        <is>
          <t>TORRE 3</t>
        </is>
      </c>
      <c r="E128" s="6" t="n">
        <v>12</v>
      </c>
      <c r="F128" s="11" t="n">
        <v>46054</v>
      </c>
      <c r="G128" s="11" t="n">
        <v>46419</v>
      </c>
      <c r="H128" s="8">
        <f>IF(G128="","",IF(G128&lt;TODAY(),"N/OK","OK"))</f>
        <v/>
      </c>
      <c r="I128" s="5" t="n"/>
      <c r="J128" s="5" t="n"/>
      <c r="K128" s="5" t="n"/>
    </row>
    <row r="129">
      <c r="A129" s="5" t="inlineStr">
        <is>
          <t>PN 0642</t>
        </is>
      </c>
      <c r="B129" s="5" t="inlineStr">
        <is>
          <t>Peneira circular 0,5 mm</t>
        </is>
      </c>
      <c r="C129" s="5" t="inlineStr">
        <is>
          <t>LCE</t>
        </is>
      </c>
      <c r="D129" s="5" t="inlineStr">
        <is>
          <t>TORRE 3</t>
        </is>
      </c>
      <c r="E129" s="6" t="n">
        <v>12</v>
      </c>
      <c r="F129" s="11" t="n">
        <v>45597</v>
      </c>
      <c r="G129" s="11" t="n">
        <v>46264</v>
      </c>
      <c r="H129" s="8">
        <f>IF(G129="","",IF(G129&lt;TODAY(),"N/OK","OK"))</f>
        <v/>
      </c>
      <c r="I129" s="5" t="n"/>
      <c r="J129" s="5" t="n"/>
      <c r="K129" s="5" t="n"/>
    </row>
    <row r="130">
      <c r="A130" s="5" t="inlineStr">
        <is>
          <t>PN 0487</t>
        </is>
      </c>
      <c r="B130" s="5" t="inlineStr">
        <is>
          <t>Peneira circular 19,0 mm</t>
        </is>
      </c>
      <c r="C130" s="5" t="inlineStr">
        <is>
          <t>LCE</t>
        </is>
      </c>
      <c r="D130" s="5" t="inlineStr">
        <is>
          <t>TORRE 3</t>
        </is>
      </c>
      <c r="E130" s="6" t="n">
        <v>12</v>
      </c>
      <c r="F130" s="11" t="n">
        <v>45627</v>
      </c>
      <c r="G130" s="11" t="n">
        <v>46264</v>
      </c>
      <c r="H130" s="8">
        <f>IF(G130="","",IF(G130&lt;TODAY(),"N/OK","OK"))</f>
        <v/>
      </c>
      <c r="I130" s="5" t="n"/>
      <c r="J130" s="5" t="n"/>
      <c r="K130" s="5" t="n"/>
    </row>
    <row r="131">
      <c r="A131" s="5" t="inlineStr">
        <is>
          <t>PN 0543</t>
        </is>
      </c>
      <c r="B131" s="5" t="inlineStr">
        <is>
          <t>Peneira circular 100#</t>
        </is>
      </c>
      <c r="C131" s="5" t="inlineStr">
        <is>
          <t>LCE</t>
        </is>
      </c>
      <c r="D131" s="5" t="inlineStr">
        <is>
          <t>TORRE 3</t>
        </is>
      </c>
      <c r="E131" s="6" t="n">
        <v>12</v>
      </c>
      <c r="F131" s="11" t="n">
        <v>46143</v>
      </c>
      <c r="G131" s="11" t="n">
        <v>46508</v>
      </c>
      <c r="H131" s="8">
        <f>IF(G131="","",IF(G131&lt;TODAY(),"N/OK","OK"))</f>
        <v/>
      </c>
      <c r="I131" s="5" t="n"/>
      <c r="J131" s="5" t="n"/>
      <c r="K131" s="5" t="n"/>
    </row>
    <row r="132">
      <c r="A132" s="5" t="inlineStr">
        <is>
          <t>PN 0615</t>
        </is>
      </c>
      <c r="B132" s="5" t="inlineStr">
        <is>
          <t>Peneira circular 10,0 mm</t>
        </is>
      </c>
      <c r="C132" s="5" t="inlineStr">
        <is>
          <t>LCE</t>
        </is>
      </c>
      <c r="D132" s="5" t="inlineStr">
        <is>
          <t>TORRE 3</t>
        </is>
      </c>
      <c r="E132" s="6" t="n">
        <v>12</v>
      </c>
      <c r="F132" s="11" t="n"/>
      <c r="G132" s="11" t="n"/>
      <c r="H132" s="8">
        <f>IF(G132="","",IF(G132&lt;TODAY(),"N/OK","OK"))</f>
        <v/>
      </c>
      <c r="I132" s="5" t="n"/>
      <c r="J132" s="5" t="n"/>
      <c r="K132" s="5" t="n"/>
    </row>
    <row r="133">
      <c r="A133" s="5" t="inlineStr">
        <is>
          <t>PN 0640</t>
        </is>
      </c>
      <c r="B133" s="5" t="inlineStr">
        <is>
          <t>Peneira circular 2,0 mm</t>
        </is>
      </c>
      <c r="C133" s="5" t="inlineStr">
        <is>
          <t>LCE</t>
        </is>
      </c>
      <c r="D133" s="5" t="inlineStr">
        <is>
          <t>TORRE 3</t>
        </is>
      </c>
      <c r="E133" s="6" t="n">
        <v>12</v>
      </c>
      <c r="F133" s="11" t="n">
        <v>45689</v>
      </c>
      <c r="G133" s="11" t="n">
        <v>46264</v>
      </c>
      <c r="H133" s="8">
        <f>IF(G133="","",IF(G133&lt;TODAY(),"N/OK","OK"))</f>
        <v/>
      </c>
      <c r="I133" s="5" t="n"/>
      <c r="J133" s="5" t="n"/>
      <c r="K133" s="5" t="n"/>
    </row>
    <row r="134">
      <c r="A134" s="5" t="inlineStr">
        <is>
          <t>PN 0638</t>
        </is>
      </c>
      <c r="B134" s="5" t="inlineStr">
        <is>
          <t>Peneira circular 5,0 mm</t>
        </is>
      </c>
      <c r="C134" s="5" t="inlineStr">
        <is>
          <t>LCE</t>
        </is>
      </c>
      <c r="D134" s="5" t="inlineStr">
        <is>
          <t>TORRE 3</t>
        </is>
      </c>
      <c r="E134" s="6" t="n">
        <v>12</v>
      </c>
      <c r="F134" s="11" t="n">
        <v>45689</v>
      </c>
      <c r="G134" s="11" t="n">
        <v>46264</v>
      </c>
      <c r="H134" s="8">
        <f>IF(G134="","",IF(G134&lt;TODAY(),"N/OK","OK"))</f>
        <v/>
      </c>
      <c r="I134" s="5" t="n"/>
      <c r="J134" s="5" t="n"/>
      <c r="K134" s="5" t="n"/>
    </row>
    <row r="135">
      <c r="A135" s="5" t="inlineStr">
        <is>
          <t>PN 0613</t>
        </is>
      </c>
      <c r="B135" s="5" t="inlineStr">
        <is>
          <t>Peneira circular 16,0 mm</t>
        </is>
      </c>
      <c r="C135" s="5" t="inlineStr">
        <is>
          <t>LCE</t>
        </is>
      </c>
      <c r="D135" s="5" t="inlineStr">
        <is>
          <t>TORRE 3</t>
        </is>
      </c>
      <c r="E135" s="6" t="n">
        <v>12</v>
      </c>
      <c r="F135" s="11" t="n"/>
      <c r="G135" s="11" t="n"/>
      <c r="H135" s="8">
        <f>IF(G135="","",IF(G135&lt;TODAY(),"N/OK","OK"))</f>
        <v/>
      </c>
      <c r="I135" s="5" t="n"/>
      <c r="J135" s="5" t="n"/>
      <c r="K135" s="5" t="n"/>
    </row>
    <row r="136">
      <c r="A136" s="5" t="inlineStr">
        <is>
          <t>PN 0636</t>
        </is>
      </c>
      <c r="B136" s="5" t="inlineStr">
        <is>
          <t>Peneira circular 9,5 mm</t>
        </is>
      </c>
      <c r="C136" s="5" t="inlineStr">
        <is>
          <t>LCE</t>
        </is>
      </c>
      <c r="D136" s="5" t="inlineStr">
        <is>
          <t>TORRE 3</t>
        </is>
      </c>
      <c r="E136" s="6" t="n">
        <v>12</v>
      </c>
      <c r="F136" s="11" t="n"/>
      <c r="G136" s="11" t="n"/>
      <c r="H136" s="8">
        <f>IF(G136="","",IF(G136&lt;TODAY(),"N/OK","OK"))</f>
        <v/>
      </c>
      <c r="I136" s="5" t="n"/>
      <c r="J136" s="5" t="n"/>
      <c r="K136" s="5" t="n"/>
    </row>
    <row r="137">
      <c r="A137" s="5" t="inlineStr">
        <is>
          <t>PN 0545</t>
        </is>
      </c>
      <c r="B137" s="5" t="inlineStr">
        <is>
          <t>Peneira circular 9,5 mm</t>
        </is>
      </c>
      <c r="C137" s="5" t="inlineStr">
        <is>
          <t>LCE</t>
        </is>
      </c>
      <c r="D137" s="5" t="inlineStr">
        <is>
          <t>TORRE 3</t>
        </is>
      </c>
      <c r="E137" s="6" t="n">
        <v>12</v>
      </c>
      <c r="F137" s="11" t="n">
        <v>46143</v>
      </c>
      <c r="G137" s="11" t="n">
        <v>46508</v>
      </c>
      <c r="H137" s="8">
        <f>IF(G137="","",IF(G137&lt;TODAY(),"N/OK","OK"))</f>
        <v/>
      </c>
      <c r="I137" s="5" t="n"/>
      <c r="J137" s="5" t="n"/>
      <c r="K137" s="5" t="n"/>
    </row>
    <row r="138">
      <c r="A138" s="5" t="inlineStr">
        <is>
          <t>PN 0591</t>
        </is>
      </c>
      <c r="B138" s="5" t="inlineStr">
        <is>
          <t>Peneira circular 3,15 mm</t>
        </is>
      </c>
      <c r="C138" s="5" t="inlineStr">
        <is>
          <t>LCE</t>
        </is>
      </c>
      <c r="D138" s="5" t="inlineStr">
        <is>
          <t>TORRE 3</t>
        </is>
      </c>
      <c r="E138" s="6" t="n">
        <v>12</v>
      </c>
      <c r="F138" s="11" t="n">
        <v>46054</v>
      </c>
      <c r="G138" s="11" t="n">
        <v>46419</v>
      </c>
      <c r="H138" s="8">
        <f>IF(G138="","",IF(G138&lt;TODAY(),"N/OK","OK"))</f>
        <v/>
      </c>
      <c r="I138" s="5" t="n"/>
      <c r="J138" s="5" t="n"/>
      <c r="K138" s="5" t="n"/>
    </row>
    <row r="139">
      <c r="A139" s="5" t="inlineStr">
        <is>
          <t>PN 0592</t>
        </is>
      </c>
      <c r="B139" s="5" t="inlineStr">
        <is>
          <t>Peneira circular 2,00 mm</t>
        </is>
      </c>
      <c r="C139" s="5" t="inlineStr">
        <is>
          <t>LCE</t>
        </is>
      </c>
      <c r="D139" s="5" t="inlineStr">
        <is>
          <t>TORRE 3</t>
        </is>
      </c>
      <c r="E139" s="6" t="n">
        <v>12</v>
      </c>
      <c r="F139" s="11" t="n">
        <v>46054</v>
      </c>
      <c r="G139" s="11" t="n">
        <v>46419</v>
      </c>
      <c r="H139" s="8">
        <f>IF(G139="","",IF(G139&lt;TODAY(),"N/OK","OK"))</f>
        <v/>
      </c>
      <c r="I139" s="5" t="n"/>
      <c r="J139" s="5" t="n"/>
      <c r="K139" s="5" t="n"/>
    </row>
    <row r="140">
      <c r="A140" s="5" t="inlineStr">
        <is>
          <t>PN 0542</t>
        </is>
      </c>
      <c r="B140" s="5" t="inlineStr">
        <is>
          <t>Peneira circular 1,00 mm</t>
        </is>
      </c>
      <c r="C140" s="5" t="inlineStr">
        <is>
          <t>LCE</t>
        </is>
      </c>
      <c r="D140" s="5" t="inlineStr">
        <is>
          <t>TORRE 3</t>
        </is>
      </c>
      <c r="E140" s="6" t="n">
        <v>12</v>
      </c>
      <c r="F140" s="11" t="n">
        <v>45992</v>
      </c>
      <c r="G140" s="11" t="n">
        <v>46357</v>
      </c>
      <c r="H140" s="8">
        <f>IF(G140="","",IF(G140&lt;TODAY(),"N/OK","OK"))</f>
        <v/>
      </c>
      <c r="I140" s="5" t="n"/>
      <c r="J140" s="5" t="n"/>
      <c r="K140" s="5" t="n"/>
    </row>
    <row r="141">
      <c r="A141" s="5" t="inlineStr">
        <is>
          <t>PN 0611</t>
        </is>
      </c>
      <c r="B141" s="5" t="inlineStr">
        <is>
          <t>Peneira circular 0,5 mm</t>
        </is>
      </c>
      <c r="C141" s="5" t="inlineStr">
        <is>
          <t>LCE</t>
        </is>
      </c>
      <c r="D141" s="5" t="inlineStr">
        <is>
          <t>TORRE 3</t>
        </is>
      </c>
      <c r="E141" s="6" t="n">
        <v>12</v>
      </c>
      <c r="F141" s="11" t="n"/>
      <c r="G141" s="11" t="n"/>
      <c r="H141" s="8">
        <f>IF(G141="","",IF(G141&lt;TODAY(),"N/OK","OK"))</f>
        <v/>
      </c>
      <c r="I141" s="5" t="n"/>
      <c r="J141" s="5" t="n"/>
      <c r="K141" s="5" t="n"/>
    </row>
    <row r="142">
      <c r="A142" s="5" t="inlineStr">
        <is>
          <t>66EF24</t>
        </is>
      </c>
      <c r="B142" s="5" t="inlineStr">
        <is>
          <t>Estufa Quimis</t>
        </is>
      </c>
      <c r="C142" s="5" t="inlineStr">
        <is>
          <t>LCE</t>
        </is>
      </c>
      <c r="D142" s="5" t="inlineStr">
        <is>
          <t>TORRE 3</t>
        </is>
      </c>
      <c r="E142" s="6" t="n">
        <v>12</v>
      </c>
      <c r="F142" s="11" t="n">
        <v>45748</v>
      </c>
      <c r="G142" s="11" t="n">
        <v>46264</v>
      </c>
      <c r="H142" s="8">
        <f>IF(G142="","",IF(G142&lt;TODAY(),"N/OK","OK"))</f>
        <v/>
      </c>
      <c r="I142" s="5" t="n"/>
      <c r="J142" s="5" t="n"/>
      <c r="K142" s="5" t="n"/>
    </row>
    <row r="143">
      <c r="A143" s="5" t="inlineStr">
        <is>
          <t>66EF14</t>
        </is>
      </c>
      <c r="B143" s="5" t="inlineStr">
        <is>
          <t>Estufa Ethik</t>
        </is>
      </c>
      <c r="C143" s="5" t="inlineStr">
        <is>
          <t>LCE</t>
        </is>
      </c>
      <c r="D143" s="5" t="inlineStr">
        <is>
          <t>TORRE 3</t>
        </is>
      </c>
      <c r="E143" s="6" t="n">
        <v>12</v>
      </c>
      <c r="F143" s="11" t="n">
        <v>45689</v>
      </c>
      <c r="G143" s="11" t="n">
        <v>46264</v>
      </c>
      <c r="H143" s="8">
        <f>IF(G143="","",IF(G143&lt;TODAY(),"N/OK","OK"))</f>
        <v/>
      </c>
      <c r="I143" s="5" t="n"/>
      <c r="J143" s="5" t="n"/>
      <c r="K143" s="5" t="n"/>
    </row>
    <row r="144">
      <c r="A144" s="5" t="inlineStr">
        <is>
          <t>66BL93</t>
        </is>
      </c>
      <c r="B144" s="5" t="inlineStr">
        <is>
          <t>Balança Prix 20 kg</t>
        </is>
      </c>
      <c r="C144" s="5" t="inlineStr">
        <is>
          <t>LCE</t>
        </is>
      </c>
      <c r="D144" s="5" t="inlineStr">
        <is>
          <t>TORRE 3</t>
        </is>
      </c>
      <c r="E144" s="6" t="n">
        <v>12</v>
      </c>
      <c r="F144" s="11" t="n">
        <v>46021</v>
      </c>
      <c r="G144" s="11" t="n">
        <v>46386</v>
      </c>
      <c r="H144" s="8">
        <f>IF(G144="","",IF(G144&lt;TODAY(),"N/OK","OK"))</f>
        <v/>
      </c>
      <c r="I144" s="5" t="n"/>
      <c r="J144" s="5" t="n"/>
      <c r="K144" s="5" t="n"/>
    </row>
    <row r="145">
      <c r="A145" s="5" t="inlineStr">
        <is>
          <t>66BL47</t>
        </is>
      </c>
      <c r="B145" s="5" t="inlineStr">
        <is>
          <t>Balança 3100 g</t>
        </is>
      </c>
      <c r="C145" s="5" t="inlineStr">
        <is>
          <t>LCE</t>
        </is>
      </c>
      <c r="D145" s="5" t="inlineStr">
        <is>
          <t>TORRE 3</t>
        </is>
      </c>
      <c r="E145" s="6" t="n">
        <v>12</v>
      </c>
      <c r="F145" s="11" t="n">
        <v>46143</v>
      </c>
      <c r="G145" s="11" t="n">
        <v>46508</v>
      </c>
      <c r="H145" s="8">
        <f>IF(G145="","",IF(G145&lt;TODAY(),"N/OK","OK"))</f>
        <v/>
      </c>
      <c r="I145" s="5" t="n"/>
      <c r="J145" s="5" t="n"/>
      <c r="K145" s="5" t="n"/>
    </row>
    <row r="146">
      <c r="A146" s="5" t="inlineStr">
        <is>
          <t>66AN13</t>
        </is>
      </c>
      <c r="B146" s="5" t="inlineStr">
        <is>
          <t>Balança analisadora Prix 110g</t>
        </is>
      </c>
      <c r="C146" s="5" t="inlineStr">
        <is>
          <t>LCE</t>
        </is>
      </c>
      <c r="D146" s="5" t="inlineStr">
        <is>
          <t>TORRE 3</t>
        </is>
      </c>
      <c r="E146" s="6" t="n">
        <v>12</v>
      </c>
      <c r="F146" s="11" t="n">
        <v>46082</v>
      </c>
      <c r="G146" s="11" t="n">
        <v>46447</v>
      </c>
      <c r="H146" s="8">
        <f>IF(G146="","",IF(G146&lt;TODAY(),"N/OK","OK"))</f>
        <v/>
      </c>
      <c r="I146" s="5" t="n"/>
      <c r="J146" s="5" t="n"/>
      <c r="K146" s="5" t="n"/>
    </row>
    <row r="147">
      <c r="A147" s="5" t="inlineStr">
        <is>
          <t>66BL94</t>
        </is>
      </c>
      <c r="B147" s="5" t="inlineStr">
        <is>
          <t>Balança Toledo 50kg</t>
        </is>
      </c>
      <c r="C147" s="5" t="inlineStr">
        <is>
          <t>LCE</t>
        </is>
      </c>
      <c r="D147" s="5" t="inlineStr">
        <is>
          <t>TORRE 3</t>
        </is>
      </c>
      <c r="E147" s="6" t="n">
        <v>12</v>
      </c>
      <c r="F147" s="11" t="n"/>
      <c r="G147" s="11" t="n"/>
      <c r="H147" s="8">
        <f>IF(G147="","",IF(G147&lt;TODAY(),"N/OK","OK"))</f>
        <v/>
      </c>
      <c r="I147" s="5" t="n"/>
      <c r="J147" s="5" t="n"/>
      <c r="K147" s="5" t="n"/>
    </row>
    <row r="148">
      <c r="A148" s="5" t="inlineStr">
        <is>
          <t>66BL59</t>
        </is>
      </c>
      <c r="B148" s="5" t="inlineStr">
        <is>
          <t>Balança Toledo 25kg</t>
        </is>
      </c>
      <c r="C148" s="5" t="inlineStr">
        <is>
          <t>LCE</t>
        </is>
      </c>
      <c r="D148" s="5" t="inlineStr">
        <is>
          <t>TORRE 3</t>
        </is>
      </c>
      <c r="E148" s="6" t="n">
        <v>12</v>
      </c>
      <c r="F148" s="11" t="n">
        <v>45717</v>
      </c>
      <c r="G148" s="12" t="n">
        <v>46295</v>
      </c>
      <c r="H148" s="8">
        <f>IF(G148="","",IF(G148&lt;TODAY(),"N/OK","OK"))</f>
        <v/>
      </c>
      <c r="I148" s="5" t="n"/>
      <c r="J148" s="5" t="n"/>
      <c r="K148" s="10" t="inlineStr">
        <is>
          <t>Vencimento corrigido de 31/09/2026 para 30/09/2026 (dia inexistente)</t>
        </is>
      </c>
    </row>
  </sheetData>
  <dataValidations count="1">
    <dataValidation sqref="H2:H148" showDropDown="0" showInputMessage="0" showErrorMessage="0" allowBlank="1" type="list">
      <formula1>"OK,N/OK,E/C"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2026-09-25T19:14:38Z</dcterms:created>
  <dcterms:modified xmlns:dcterms="http://purl.org/dc/terms/" xmlns:xsi="http://www.w3.org/2001/XMLSchema-instance" xsi:type="dcterms:W3CDTF">2026-09-25T19:16:08Z</dcterms:modified>
</cp:coreProperties>
</file>