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ea">'Resumo Dia'!$B$2:$M$114</definedName>
    <definedName name="dAtualizado">'Resumo Dia'!$B$61</definedName>
    <definedName name="dBatch">'Preenchimento'!$D$28</definedName>
    <definedName name="dBatchM325">'Preenchimento'!$G$29</definedName>
    <definedName name="dBatchP">'Preenchimento'!$I$28</definedName>
    <definedName name="dBatchPPC">'Preenchimento'!$K$28</definedName>
    <definedName name="dBatchSE">'Preenchimento'!$D$29</definedName>
    <definedName name="dBatchSiO2">'Preenchimento'!$G$28</definedName>
    <definedName name="dCarreg">'Preenchimento'!$C$56:$C$58</definedName>
    <definedName name="dComUS3">'Preenchimento'!$E$15</definedName>
    <definedName name="dComUS4">'Preenchimento'!$E$18</definedName>
    <definedName name="dDragas">'Preenchimento'!$C$23:$C$25</definedName>
    <definedName name="dEquip">'Preenchimento'!$C$61:$C$64</definedName>
    <definedName name="dFiltragem">'Preenchimento'!$C$34:$C$39</definedName>
    <definedName name="dHoras">'Resumo Dia'!$E$62:$J$62</definedName>
    <definedName name="dInsumos">'Preenchimento'!$C$47:$C$48</definedName>
    <definedName name="dLetra">'Preenchimento'!$D$11</definedName>
    <definedName name="dMercInt">'Preenchimento'!$C$51:$C$53</definedName>
    <definedName name="dMineroduto">'Preenchimento'!$C$30:$C$31</definedName>
    <definedName name="dObs">'Preenchimento'!$B$67</definedName>
    <definedName name="dProdUS3">'Preenchimento'!$D$12</definedName>
    <definedName name="dProdUS4">'Preenchimento'!$I$12</definedName>
    <definedName name="dSol">'Preenchimento'!$C$42:$C$44</definedName>
    <definedName name="dTecnico">'Preenchimento'!$F$11</definedName>
    <definedName name="gArea">'Resultados gerais'!$B$2:$S$63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'Configurações'!$C$18:$C$41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ea">'Resumo Noite'!$B$2:$M$114</definedName>
    <definedName name="nAtualizado">'Resumo Noite'!$B$61</definedName>
    <definedName name="nBatch">'Preenchimento'!$D$91</definedName>
    <definedName name="nBatchM325">'Preenchimento'!$G$92</definedName>
    <definedName name="nBatchP">'Preenchimento'!$I$91</definedName>
    <definedName name="nBatchPPC">'Preenchimento'!$K$91</definedName>
    <definedName name="nBatchSE">'Preenchimento'!$D$92</definedName>
    <definedName name="nBatchSiO2">'Preenchimento'!$G$91</definedName>
    <definedName name="nCarreg">'Preenchimento'!$C$119:$C$121</definedName>
    <definedName name="nComUS3">'Preenchimento'!$E$78</definedName>
    <definedName name="nComUS4">'Preenchimento'!$E$81</definedName>
    <definedName name="nDragas">'Preenchimento'!$C$86:$C$88</definedName>
    <definedName name="nEquip">'Preenchimento'!$C$124:$C$127</definedName>
    <definedName name="nFiltragem">'Preenchimento'!$C$97:$C$102</definedName>
    <definedName name="nHoras">'Resumo Noite'!$E$62:$J$62</definedName>
    <definedName name="nInsumos">'Preenchimento'!$C$110:$C$111</definedName>
    <definedName name="nLetra">'Preenchimento'!$D$74</definedName>
    <definedName name="nMercInt">'Preenchimento'!$C$114:$C$116</definedName>
    <definedName name="nMineroduto">'Preenchimento'!$C$93:$C$94</definedName>
    <definedName name="nObs">'Preenchimento'!$B$130</definedName>
    <definedName name="nProdUS3">'Preenchimento'!$D$75</definedName>
    <definedName name="nProdUS4">'Preenchimento'!$I$75</definedName>
    <definedName name="nSol">'Preenchimento'!$C$105:$C$107</definedName>
    <definedName name="nTecnico">'Preenchimento'!$F$74</definedName>
    <definedName name="pData">'Preenchimento'!$E$6</definedName>
    <definedName name="_xlnm.Print_Area" localSheetId="5">Configurações!$B$2:$P$43</definedName>
    <definedName name="_xlnm.Print_Area" localSheetId="4">Limites!$B$2:$S$37</definedName>
    <definedName name="_xlnm.Print_Area" localSheetId="0">Preenchimento!$B$2:$K$134</definedName>
    <definedName name="_xlnm.Print_Area" localSheetId="3">'Resultados gerais'!$B$2:$S$63</definedName>
    <definedName name="_xlnm.Print_Area" localSheetId="1">'Resumo Dia'!$B$2:$M$114</definedName>
    <definedName name="_xlnm.Print_Area" localSheetId="2">'Resumo Noite'!$B$2:$M$114</definedName>
  </definedNames>
  <calcPr calcId="124519" fullCalcOnLoad="1"/>
</workbook>
</file>

<file path=xl/sharedStrings.xml><?xml version="1.0" encoding="utf-8"?>
<sst xmlns="http://schemas.openxmlformats.org/spreadsheetml/2006/main" count="1097" uniqueCount="388">
  <si>
    <t>CONFIGURAÇÕES</t>
  </si>
  <si>
    <t>LABORATÓRIO FÍSICO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</si>
  <si>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</si>
  <si>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</si>
  <si>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</si>
  <si>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</si>
  <si>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</si>
  <si>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</si>
  <si>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</si>
  <si>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</si>
  <si>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</si>
  <si>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</si>
  <si>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</si>
  <si>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</si>
  <si>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</si>
  <si>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</si>
  <si>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</si>
  <si>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</si>
  <si>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</si>
  <si>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</si>
  <si>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</si>
  <si>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</si>
  <si>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</si>
  <si>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</si>
  <si>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</si>
  <si>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</si>
  <si>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</si>
  <si>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</si>
  <si>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</si>
  <si>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</si>
  <si>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</si>
  <si>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</si>
  <si>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</si>
  <si>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</si>
  <si>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</si>
  <si>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</si>
  <si>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</si>
  <si>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</si>
  <si>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</si>
  <si>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</si>
  <si>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</si>
  <si>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</si>
  <si>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</si>
  <si>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</si>
  <si>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</si>
  <si>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</si>
  <si>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</si>
  <si>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</si>
  <si>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</si>
  <si>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</si>
  <si>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</si>
  <si>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</si>
  <si>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</si>
  <si>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</si>
  <si>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</si>
  <si>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</si>
  <si>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</si>
  <si>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</si>
  <si>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</si>
  <si>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</si>
  <si>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</t>
  </si>
  <si>
    <t>M650030010-0013-HHLQU</t>
  </si>
  <si>
    <t>SiO2</t>
  </si>
  <si>
    <t>M650030010-0004-HHLQU</t>
  </si>
  <si>
    <t>CaO</t>
  </si>
  <si>
    <t>M650030010-0006-HHLQU</t>
  </si>
  <si>
    <t>Mistura</t>
  </si>
  <si>
    <t>M710050020-0004-HHLQU</t>
  </si>
  <si>
    <t>M4710050020-0004-HHLQU</t>
  </si>
  <si>
    <t>M710050020-0006-HHLQU</t>
  </si>
  <si>
    <t>M4710050020-0006-HHLQU</t>
  </si>
  <si>
    <t>B2 (CaO/SiO2)</t>
  </si>
  <si>
    <t>-</t>
  </si>
  <si>
    <t>M710050020-0018-HHLQU</t>
  </si>
  <si>
    <t>M4710050020-0018-HHLQU</t>
  </si>
  <si>
    <t>Dosagem de 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</si>
  <si>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</si>
  <si>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</si>
  <si>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</si>
  <si>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</si>
  <si>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</si>
  <si>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</si>
  <si>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</si>
  <si>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</si>
  <si>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</si>
  <si>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</si>
  <si>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</si>
  <si>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</si>
  <si>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</si>
  <si>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</si>
  <si>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</si>
  <si>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</si>
  <si>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</si>
  <si>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</si>
  <si>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</si>
  <si>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</si>
  <si>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</si>
  <si>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</si>
  <si>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</si>
  <si>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</si>
  <si>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</si>
  <si>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</si>
  <si>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</si>
  <si>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</si>
  <si>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</si>
  <si>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</si>
  <si>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</si>
  <si>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</si>
  <si>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</si>
  <si>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</si>
  <si>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</si>
  <si>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</si>
  <si>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</si>
  <si>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</si>
  <si>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</si>
  <si>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</si>
  <si>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</si>
  <si>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</si>
  <si>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</si>
  <si>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</si>
  <si>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</si>
  <si>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</si>
  <si>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</si>
  <si>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</si>
  <si>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</si>
  <si>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</si>
  <si>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</si>
  <si>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</si>
  <si>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</si>
  <si>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</si>
  <si>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</si>
  <si>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</si>
  <si>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</si>
  <si>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</si>
  <si>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</si>
  <si>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</si>
  <si>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</si>
  <si>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</si>
  <si>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</si>
  <si>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</si>
  <si>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</si>
  <si>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</si>
  <si>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</si>
  <si>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</si>
  <si>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</si>
  <si>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</si>
  <si>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LIMITES DE PROCESSO POR PRODUTO</t>
  </si>
  <si>
    <t>LABORATÓRIO FÍSICO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</si>
  <si>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</si>
  <si>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</si>
  <si>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</si>
  <si>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</si>
  <si>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 |  POR CONCENTRADO</t>
  </si>
  <si>
    <t>SiO2 mín.</t>
  </si>
  <si>
    <t>SiO2 máx.</t>
  </si>
  <si>
    <t>CaO mín.</t>
  </si>
  <si>
    <t>CaO máx.</t>
  </si>
  <si>
    <t>B2 mín.</t>
  </si>
  <si>
    <t>B2 máx.</t>
  </si>
  <si>
    <t>Tamb. mín.</t>
  </si>
  <si>
    <t>Tamb. máx.</t>
  </si>
  <si>
    <t>Finos mín.</t>
  </si>
  <si>
    <t>Finos máx.</t>
  </si>
  <si>
    <t>Rel. gran. mín.</t>
  </si>
  <si>
    <t>Rel. gran.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</si>
  <si>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</si>
  <si>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</si>
  <si>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</si>
  <si>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</si>
  <si>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</si>
  <si>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</si>
  <si>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</si>
  <si>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</si>
  <si>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</si>
  <si>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</si>
  <si>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</si>
  <si>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</si>
  <si>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</si>
  <si>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PPC máximo diário do batch. Relação granulométrica: referência.</t>
  </si>
  <si>
    <t>Dados brutos do MES (Aspen IP.21) - não editar</t>
  </si>
  <si>
    <t>Início</t>
  </si>
  <si>
    <t>Fim</t>
  </si>
  <si>
    <t>Prefixo Aspen</t>
  </si>
  <si>
    <t>Última consulta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</si>
  <si>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</si>
  <si>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</si>
  <si>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</si>
  <si>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</si>
  <si>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</si>
  <si>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</si>
  <si>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</si>
  <si>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</si>
  <si>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</si>
  <si>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</si>
  <si>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</si>
  <si>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</si>
  <si>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</si>
  <si>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</si>
  <si>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</t>
  </si>
  <si>
    <t>P07 US4 · PPC</t>
  </si>
  <si>
    <t>P08 US3 · SiO2</t>
  </si>
  <si>
    <t>P08 US4 · SiO2</t>
  </si>
  <si>
    <t>P09 US3 · CaO</t>
  </si>
  <si>
    <t>P09 US4 · CaO</t>
  </si>
  <si>
    <t>P10 US3 · SiO2</t>
  </si>
  <si>
    <t>P10 US4 · SiO2</t>
  </si>
  <si>
    <t>P11 US3 · CaO</t>
  </si>
  <si>
    <t>P11 US4 · CaO</t>
  </si>
  <si>
    <t>P12 US3 · B2 (CaO/SiO2)</t>
  </si>
  <si>
    <t>P12 US4 · B2 (CaO/SiO2)</t>
  </si>
  <si>
    <t>P13 US3 · Dosagem de Carvão</t>
  </si>
  <si>
    <t>P13 US4 · Dosagem de Carvão</t>
  </si>
  <si>
    <t>P14 US3 · Carbono Fixo</t>
  </si>
  <si>
    <t>P14 US4 · Carbono Fixo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</si>
  <si>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</si>
  <si>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</si>
  <si>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</si>
  <si>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</si>
  <si>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</si>
  <si>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</si>
  <si>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</si>
  <si>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</si>
  <si>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</si>
  <si>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</si>
  <si>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</si>
  <si>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</si>
  <si>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</t>
  </si>
  <si>
    <t>P21 US4 · SiO2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</si>
  <si>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</si>
  <si>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</si>
  <si>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</si>
  <si>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</si>
  <si>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</si>
  <si>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</si>
  <si>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</si>
  <si>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</si>
  <si>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RELATÓRIO DE PASSAGEM DE TURNO</t>
  </si>
  <si>
    <t>LABORATÓRIO FÍSICO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</si>
  <si>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</si>
  <si>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</si>
  <si>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</si>
  <si>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</si>
  <si>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</si>
  <si>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</si>
  <si>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</si>
  <si>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</si>
  <si>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Produção – Usinas 03/04 (qualidade)</t>
  </si>
  <si>
    <t>Comentário US3</t>
  </si>
  <si>
    <t>Comentário US4</t>
  </si>
  <si>
    <t>2. Dragas</t>
  </si>
  <si>
    <t>3. Mineroduto 03</t>
  </si>
  <si>
    <t>Batch</t>
  </si>
  <si>
    <t>P</t>
  </si>
  <si>
    <t>SE (cm²/g)</t>
  </si>
  <si>
    <t>-325#</t>
  </si>
  <si>
    <t>4. Filtragem</t>
  </si>
  <si>
    <t>5. Solicitações</t>
  </si>
  <si>
    <t>6. Insumos – compostos a realizar</t>
  </si>
  <si>
    <t>7. Mercado interno</t>
  </si>
  <si>
    <t>8. Carregamento</t>
  </si>
  <si>
    <t>9. Equipamentos em operação</t>
  </si>
  <si>
    <t>10. Observações gerais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</si>
  <si>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</si>
  <si>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</si>
  <si>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</si>
  <si>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</si>
  <si>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</si>
  <si>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</si>
  <si>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</si>
  <si>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</si>
  <si>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</si>
  <si>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</si>
  <si>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Produção – Usinas 03/04</t>
  </si>
  <si>
    <t>W</t>
  </si>
  <si>
    <t>E</t>
  </si>
  <si>
    <t>Dragas</t>
  </si>
  <si>
    <t>T</t>
  </si>
  <si>
    <t>Mineroduto 03</t>
  </si>
  <si>
    <t>Filtragem</t>
  </si>
  <si>
    <t>Solicitações</t>
  </si>
  <si>
    <t>Insumos – compostos a realizar</t>
  </si>
  <si>
    <t>Mercado interno</t>
  </si>
  <si>
    <t>Carregamento</t>
  </si>
  <si>
    <t>Equipamentos em operação</t>
  </si>
  <si>
    <t>Observações gerais</t>
  </si>
  <si>
    <t>Observações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</si>
  <si>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</si>
  <si>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</si>
  <si>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</si>
  <si>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</si>
  <si>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</si>
  <si>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</si>
  <si>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</si>
  <si>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</si>
  <si>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</si>
  <si>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</si>
  <si>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</si>
  <si>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</si>
  <si>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Mín.</t>
  </si>
  <si>
    <t>Máx.</t>
  </si>
  <si>
    <t>G1</t>
  </si>
  <si>
    <t>P01U3</t>
  </si>
  <si>
    <t>US3</t>
  </si>
  <si>
    <t>P01U4</t>
  </si>
  <si>
    <t>US4</t>
  </si>
  <si>
    <t>G2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</si>
  <si>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</si>
  <si>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</si>
  <si>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</si>
  <si>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</si>
  <si>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</si>
  <si>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</si>
  <si>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</si>
  <si>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</si>
  <si>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</si>
  <si>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</si>
  <si>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G3</t>
  </si>
  <si>
    <t>P07U3</t>
  </si>
  <si>
    <t>US3/4</t>
  </si>
  <si>
    <t>P08U3</t>
  </si>
  <si>
    <t>P09U3</t>
  </si>
  <si>
    <t>G4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</si>
  <si>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</si>
  <si>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</si>
  <si>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</si>
  <si>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</si>
  <si>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</si>
  <si>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</si>
  <si>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</si>
  <si>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</si>
  <si>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</si>
  <si>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</si>
  <si>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G5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</si>
  <si>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</si>
  <si>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</si>
  <si>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</si>
  <si>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</si>
  <si>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</si>
  <si>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</si>
  <si>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</si>
  <si>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</si>
  <si>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</si>
  <si>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</si>
  <si>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</si>
  <si>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</si>
  <si>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</si>
  <si>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</si>
  <si>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G6</t>
  </si>
  <si>
    <t>P22U3</t>
  </si>
  <si>
    <t>P22U4</t>
  </si>
  <si>
    <t>P23U3</t>
  </si>
  <si>
    <t>P23U4</t>
  </si>
  <si>
    <t>P24U3</t>
  </si>
  <si>
    <t>P24U4</t>
  </si>
  <si>
    <t>Verde: dentro do limite   |   Vermelho: fora do limite   |   Limites: SMIN-POP-GEA-001 rev. 12   |   Resultado: média (Produção = soma; Ritmo = último valor)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</si>
  <si>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</si>
  <si>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</si>
  <si>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</si>
  <si>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</si>
  <si>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</si>
  <si>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</si>
  <si>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</si>
  <si>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</si>
  <si>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</si>
  <si>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</si>
  <si>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Resultado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</si>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</sst>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"/>
    <numFmt numFmtId="166" formatCode="0.0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b/>
      <sz val="10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b/>
      <sz val="10.5"/>
      <color rgb="FF003B6C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8" fillId="7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" fillId="0" borderId="4" xfId="0" applyFont="1" applyBorder="1" applyAlignment="1">
      <alignment vertical="top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indent="1"/>
    </xf>
    <xf numFmtId="0" fontId="15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1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2" fillId="10" borderId="1" xfId="0" applyNumberFormat="1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18" fillId="9" borderId="1" xfId="0" applyNumberFormat="1" applyFont="1" applyFill="1" applyBorder="1" applyAlignment="1">
      <alignment horizontal="center" vertical="center"/>
    </xf>
    <xf numFmtId="165" fontId="22" fillId="10" borderId="1" xfId="0" applyNumberFormat="1" applyFont="1" applyFill="1" applyBorder="1" applyAlignment="1">
      <alignment horizontal="center" vertical="center"/>
    </xf>
    <xf numFmtId="166" fontId="1" fillId="8" borderId="1" xfId="0" applyNumberFormat="1" applyFont="1" applyFill="1" applyBorder="1" applyAlignment="1">
      <alignment horizontal="center" vertical="center"/>
    </xf>
    <xf numFmtId="166" fontId="18" fillId="9" borderId="1" xfId="0" applyNumberFormat="1" applyFont="1" applyFill="1" applyBorder="1" applyAlignment="1">
      <alignment horizontal="center" vertical="center"/>
    </xf>
    <xf numFmtId="166" fontId="22" fillId="8" borderId="1" xfId="0" applyNumberFormat="1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10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7" fillId="7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 applyProtection="1">
      <alignment horizontal="left" vertical="center" indent="1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indent="1" wrapText="1"/>
    </xf>
    <xf numFmtId="0" fontId="28" fillId="11" borderId="0" xfId="0" applyFont="1" applyFill="1" applyAlignment="1">
      <alignment horizontal="left" vertical="center" indent="1"/>
    </xf>
    <xf numFmtId="0" fontId="15" fillId="4" borderId="1" xfId="0" applyFont="1" applyFill="1" applyBorder="1" applyAlignment="1">
      <alignment horizontal="left" vertical="center" indent="1"/>
    </xf>
    <xf numFmtId="0" fontId="29" fillId="7" borderId="0" xfId="0" applyFont="1" applyFill="1" applyAlignment="1">
      <alignment vertical="center" wrapText="1"/>
    </xf>
    <xf numFmtId="0" fontId="30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8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15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30" fillId="5" borderId="1" xfId="0" applyFont="1" applyFill="1" applyBorder="1" applyAlignment="1" applyProtection="1">
      <alignment vertical="center"/>
      <protection locked="0"/>
    </xf>
    <xf numFmtId="0" fontId="32" fillId="8" borderId="5" xfId="0" applyFont="1" applyFill="1" applyBorder="1" applyAlignment="1">
      <alignment horizontal="left" vertical="center" indent="1"/>
    </xf>
    <xf numFmtId="0" fontId="15" fillId="8" borderId="5" xfId="0" applyFont="1" applyFill="1" applyBorder="1" applyAlignment="1">
      <alignment horizontal="left" vertical="center" indent="1"/>
    </xf>
    <xf numFmtId="0" fontId="34" fillId="4" borderId="1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8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6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331595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331595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236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237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238</v>
      </c>
      <c r="C6" s="5"/>
      <c r="D6" s="5"/>
      <c r="E6" s="6"/>
      <c r="F6" s="6"/>
      <c r="G6" s="7" t="s">
        <v>239</v>
      </c>
      <c r="H6" s="7"/>
      <c r="I6" s="7"/>
      <c r="J6" s="7"/>
      <c r="K6" s="7"/>
    </row>
    <row r="8" spans="2:13" ht="18" customHeight="1">
      <c r="B8" s="8" t="s">
        <v>264</v>
      </c>
      <c r="C8" s="9" t="s">
        <v>265</v>
      </c>
      <c r="E8" s="9" t="s">
        <v>241</v>
      </c>
      <c r="G8" s="9" t="s">
        <v>263</v>
      </c>
      <c r="I8" s="9" t="s">
        <v>266</v>
      </c>
    </row>
    <row r="10" spans="2:13" ht="26" customHeight="1">
      <c r="B10" s="10" t="s">
        <v>240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241</v>
      </c>
    </row>
    <row r="11" spans="2:13" ht="22" customHeight="1">
      <c r="B11" s="5" t="s">
        <v>242</v>
      </c>
      <c r="C11" s="5"/>
      <c r="D11" s="12"/>
      <c r="E11" s="5" t="s">
        <v>243</v>
      </c>
      <c r="F11" s="13"/>
      <c r="G11" s="13"/>
      <c r="H11" s="13"/>
      <c r="I11" s="13"/>
      <c r="J11" s="13"/>
      <c r="K11" s="13"/>
    </row>
    <row r="12" spans="2:13" ht="22" customHeight="1">
      <c r="B12" s="5" t="s">
        <v>244</v>
      </c>
      <c r="C12" s="5"/>
      <c r="D12" s="14"/>
      <c r="E12" s="14"/>
      <c r="F12" s="14"/>
      <c r="G12" s="5" t="s">
        <v>245</v>
      </c>
      <c r="H12" s="5"/>
      <c r="I12" s="14"/>
      <c r="J12" s="14"/>
      <c r="K12" s="14"/>
    </row>
    <row r="14" spans="2:13" ht="20" customHeight="1">
      <c r="B14" s="15" t="s">
        <v>246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 t="s">
        <v>247</v>
      </c>
      <c r="C15" s="16"/>
      <c r="D15" s="16"/>
      <c r="E15" s="17"/>
      <c r="F15" s="17"/>
      <c r="G15" s="17"/>
      <c r="H15" s="17"/>
      <c r="I15" s="17"/>
      <c r="J15" s="17"/>
      <c r="K15" s="17"/>
    </row>
    <row r="16" spans="2:13" ht="19" customHeight="1">
      <c r="B16" s="16"/>
      <c r="C16" s="16"/>
      <c r="D16" s="16"/>
      <c r="E16" s="17"/>
      <c r="F16" s="17"/>
      <c r="G16" s="17"/>
      <c r="H16" s="17"/>
      <c r="I16" s="17"/>
      <c r="J16" s="17"/>
      <c r="K16" s="17"/>
    </row>
    <row r="17" spans="2:11" ht="19" customHeight="1">
      <c r="B17" s="16"/>
      <c r="C17" s="16"/>
      <c r="D17" s="16"/>
      <c r="E17" s="17"/>
      <c r="F17" s="17"/>
      <c r="G17" s="17"/>
      <c r="H17" s="17"/>
      <c r="I17" s="17"/>
      <c r="J17" s="17"/>
      <c r="K17" s="17"/>
    </row>
    <row r="18" spans="2:11" ht="19" customHeight="1">
      <c r="B18" s="16" t="s">
        <v>248</v>
      </c>
      <c r="C18" s="16"/>
      <c r="D18" s="16"/>
      <c r="E18" s="17"/>
      <c r="F18" s="17"/>
      <c r="G18" s="17"/>
      <c r="H18" s="17"/>
      <c r="I18" s="17"/>
      <c r="J18" s="17"/>
      <c r="K18" s="17"/>
    </row>
    <row r="19" spans="2:11" ht="19" customHeight="1">
      <c r="B19" s="16"/>
      <c r="C19" s="16"/>
      <c r="D19" s="16"/>
      <c r="E19" s="17"/>
      <c r="F19" s="17"/>
      <c r="G19" s="17"/>
      <c r="H19" s="17"/>
      <c r="I19" s="17"/>
      <c r="J19" s="17"/>
      <c r="K19" s="17"/>
    </row>
    <row r="20" spans="2:11" ht="19" customHeight="1">
      <c r="B20" s="16"/>
      <c r="C20" s="16"/>
      <c r="D20" s="16"/>
      <c r="E20" s="17"/>
      <c r="F20" s="17"/>
      <c r="G20" s="17"/>
      <c r="H20" s="17"/>
      <c r="I20" s="17"/>
      <c r="J20" s="17"/>
      <c r="K20" s="17"/>
    </row>
    <row r="22" spans="2:11" ht="20" customHeight="1">
      <c r="B22" s="15" t="s">
        <v>249</v>
      </c>
      <c r="C22" s="15"/>
      <c r="D22" s="15"/>
      <c r="E22" s="15"/>
      <c r="F22" s="15"/>
      <c r="G22" s="15"/>
      <c r="H22" s="15"/>
      <c r="I22" s="15"/>
      <c r="J22" s="15"/>
      <c r="K22" s="15"/>
    </row>
    <row r="23" spans="2:11" ht="19" customHeight="1">
      <c r="B23" s="18">
        <v>1</v>
      </c>
      <c r="C23" s="19"/>
      <c r="D23" s="19"/>
      <c r="E23" s="19"/>
      <c r="F23" s="19"/>
      <c r="G23" s="19"/>
      <c r="H23" s="19"/>
      <c r="I23" s="19"/>
      <c r="J23" s="19"/>
      <c r="K23" s="19"/>
    </row>
    <row r="24" spans="2:11" ht="19" customHeight="1">
      <c r="B24" s="18">
        <v>2</v>
      </c>
      <c r="C24" s="19"/>
      <c r="D24" s="19"/>
      <c r="E24" s="19"/>
      <c r="F24" s="19"/>
      <c r="G24" s="19"/>
      <c r="H24" s="19"/>
      <c r="I24" s="19"/>
      <c r="J24" s="19"/>
      <c r="K24" s="19"/>
    </row>
    <row r="25" spans="2:11" ht="19" customHeight="1">
      <c r="B25" s="18">
        <v>3</v>
      </c>
      <c r="C25" s="19"/>
      <c r="D25" s="19"/>
      <c r="E25" s="19"/>
      <c r="F25" s="19"/>
      <c r="G25" s="19"/>
      <c r="H25" s="19"/>
      <c r="I25" s="19"/>
      <c r="J25" s="19"/>
      <c r="K25" s="19"/>
    </row>
    <row r="27" spans="2:11" ht="20" customHeight="1">
      <c r="B27" s="15" t="s">
        <v>250</v>
      </c>
      <c r="C27" s="15"/>
      <c r="D27" s="15"/>
      <c r="E27" s="15"/>
      <c r="F27" s="15"/>
      <c r="G27" s="15"/>
      <c r="H27" s="15"/>
      <c r="I27" s="15"/>
      <c r="J27" s="15"/>
      <c r="K27" s="15"/>
    </row>
    <row r="28" spans="2:11" ht="20" customHeight="1">
      <c r="B28" s="5" t="s">
        <v>251</v>
      </c>
      <c r="C28" s="5"/>
      <c r="D28" s="20"/>
      <c r="E28" s="20"/>
      <c r="F28" s="5" t="s">
        <v>62</v>
      </c>
      <c r="G28" s="21"/>
      <c r="H28" s="5" t="s">
        <v>252</v>
      </c>
      <c r="I28" s="21"/>
      <c r="J28" s="5" t="s">
        <v>60</v>
      </c>
      <c r="K28" s="21"/>
    </row>
    <row r="29" spans="2:11" ht="20" customHeight="1">
      <c r="B29" s="5" t="s">
        <v>253</v>
      </c>
      <c r="C29" s="5"/>
      <c r="D29" s="21"/>
      <c r="E29" s="21"/>
      <c r="F29" s="5" t="s">
        <v>254</v>
      </c>
      <c r="G29" s="21"/>
    </row>
    <row r="30" spans="2:11" ht="19" customHeight="1">
      <c r="B30" s="18">
        <v>1</v>
      </c>
      <c r="C30" s="19"/>
      <c r="D30" s="19"/>
      <c r="E30" s="19"/>
      <c r="F30" s="19"/>
      <c r="G30" s="19"/>
      <c r="H30" s="19"/>
      <c r="I30" s="19"/>
      <c r="J30" s="19"/>
      <c r="K30" s="19"/>
    </row>
    <row r="31" spans="2:11" ht="19" customHeight="1">
      <c r="B31" s="18">
        <v>2</v>
      </c>
      <c r="C31" s="19"/>
      <c r="D31" s="19"/>
      <c r="E31" s="19"/>
      <c r="F31" s="19"/>
      <c r="G31" s="19"/>
      <c r="H31" s="19"/>
      <c r="I31" s="19"/>
      <c r="J31" s="19"/>
      <c r="K31" s="19"/>
    </row>
    <row r="33" spans="2:11" ht="20" customHeight="1">
      <c r="B33" s="15" t="s">
        <v>255</v>
      </c>
      <c r="C33" s="15"/>
      <c r="D33" s="15"/>
      <c r="E33" s="15"/>
      <c r="F33" s="15"/>
      <c r="G33" s="15"/>
      <c r="H33" s="15"/>
      <c r="I33" s="15"/>
      <c r="J33" s="15"/>
      <c r="K33" s="15"/>
    </row>
    <row r="34" spans="2:11" ht="19" customHeight="1">
      <c r="B34" s="18">
        <v>1</v>
      </c>
      <c r="C34" s="19"/>
      <c r="D34" s="19"/>
      <c r="E34" s="19"/>
      <c r="F34" s="19"/>
      <c r="G34" s="19"/>
      <c r="H34" s="19"/>
      <c r="I34" s="19"/>
      <c r="J34" s="19"/>
      <c r="K34" s="19"/>
    </row>
    <row r="35" spans="2:11" ht="19" customHeight="1">
      <c r="B35" s="18">
        <v>2</v>
      </c>
      <c r="C35" s="19"/>
      <c r="D35" s="19"/>
      <c r="E35" s="19"/>
      <c r="F35" s="19"/>
      <c r="G35" s="19"/>
      <c r="H35" s="19"/>
      <c r="I35" s="19"/>
      <c r="J35" s="19"/>
      <c r="K35" s="19"/>
    </row>
    <row r="36" spans="2:11" ht="19" customHeight="1">
      <c r="B36" s="18">
        <v>3</v>
      </c>
      <c r="C36" s="19"/>
      <c r="D36" s="19"/>
      <c r="E36" s="19"/>
      <c r="F36" s="19"/>
      <c r="G36" s="19"/>
      <c r="H36" s="19"/>
      <c r="I36" s="19"/>
      <c r="J36" s="19"/>
      <c r="K36" s="19"/>
    </row>
    <row r="37" spans="2:11" ht="19" customHeight="1">
      <c r="B37" s="18">
        <v>4</v>
      </c>
      <c r="C37" s="19"/>
      <c r="D37" s="19"/>
      <c r="E37" s="19"/>
      <c r="F37" s="19"/>
      <c r="G37" s="19"/>
      <c r="H37" s="19"/>
      <c r="I37" s="19"/>
      <c r="J37" s="19"/>
      <c r="K37" s="19"/>
    </row>
    <row r="38" spans="2:11" ht="19" customHeight="1">
      <c r="B38" s="18">
        <v>5</v>
      </c>
      <c r="C38" s="19"/>
      <c r="D38" s="19"/>
      <c r="E38" s="19"/>
      <c r="F38" s="19"/>
      <c r="G38" s="19"/>
      <c r="H38" s="19"/>
      <c r="I38" s="19"/>
      <c r="J38" s="19"/>
      <c r="K38" s="19"/>
    </row>
    <row r="39" spans="2:11" ht="19" customHeight="1">
      <c r="B39" s="18">
        <v>6</v>
      </c>
      <c r="C39" s="19"/>
      <c r="D39" s="19"/>
      <c r="E39" s="19"/>
      <c r="F39" s="19"/>
      <c r="G39" s="19"/>
      <c r="H39" s="19"/>
      <c r="I39" s="19"/>
      <c r="J39" s="19"/>
      <c r="K39" s="19"/>
    </row>
    <row r="41" spans="2:11" ht="20" customHeight="1">
      <c r="B41" s="15" t="s">
        <v>256</v>
      </c>
      <c r="C41" s="15"/>
      <c r="D41" s="15"/>
      <c r="E41" s="15"/>
      <c r="F41" s="15"/>
      <c r="G41" s="15"/>
      <c r="H41" s="15"/>
      <c r="I41" s="15"/>
      <c r="J41" s="15"/>
      <c r="K41" s="15"/>
    </row>
    <row r="42" spans="2:11" ht="19" customHeight="1">
      <c r="B42" s="18">
        <v>1</v>
      </c>
      <c r="C42" s="19"/>
      <c r="D42" s="19"/>
      <c r="E42" s="19"/>
      <c r="F42" s="19"/>
      <c r="G42" s="19"/>
      <c r="H42" s="19"/>
      <c r="I42" s="19"/>
      <c r="J42" s="19"/>
      <c r="K42" s="19"/>
    </row>
    <row r="43" spans="2:11" ht="19" customHeight="1">
      <c r="B43" s="18">
        <v>2</v>
      </c>
      <c r="C43" s="19"/>
      <c r="D43" s="19"/>
      <c r="E43" s="19"/>
      <c r="F43" s="19"/>
      <c r="G43" s="19"/>
      <c r="H43" s="19"/>
      <c r="I43" s="19"/>
      <c r="J43" s="19"/>
      <c r="K43" s="19"/>
    </row>
    <row r="44" spans="2:11" ht="19" customHeight="1">
      <c r="B44" s="18">
        <v>3</v>
      </c>
      <c r="C44" s="19"/>
      <c r="D44" s="19"/>
      <c r="E44" s="19"/>
      <c r="F44" s="19"/>
      <c r="G44" s="19"/>
      <c r="H44" s="19"/>
      <c r="I44" s="19"/>
      <c r="J44" s="19"/>
      <c r="K44" s="19"/>
    </row>
    <row r="46" spans="2:11" ht="20" customHeight="1">
      <c r="B46" s="15" t="s">
        <v>257</v>
      </c>
      <c r="C46" s="15"/>
      <c r="D46" s="15"/>
      <c r="E46" s="15"/>
      <c r="F46" s="15"/>
      <c r="G46" s="15"/>
      <c r="H46" s="15"/>
      <c r="I46" s="15"/>
      <c r="J46" s="15"/>
      <c r="K46" s="15"/>
    </row>
    <row r="47" spans="2:11" ht="19" customHeight="1">
      <c r="B47" s="18">
        <v>1</v>
      </c>
      <c r="C47" s="19"/>
      <c r="D47" s="19"/>
      <c r="E47" s="19"/>
      <c r="F47" s="19"/>
      <c r="G47" s="19"/>
      <c r="H47" s="19"/>
      <c r="I47" s="19"/>
      <c r="J47" s="19"/>
      <c r="K47" s="19"/>
    </row>
    <row r="48" spans="2:11" ht="19" customHeight="1">
      <c r="B48" s="18">
        <v>2</v>
      </c>
      <c r="C48" s="19"/>
      <c r="D48" s="19"/>
      <c r="E48" s="19"/>
      <c r="F48" s="19"/>
      <c r="G48" s="19"/>
      <c r="H48" s="19"/>
      <c r="I48" s="19"/>
      <c r="J48" s="19"/>
      <c r="K48" s="19"/>
    </row>
    <row r="50" spans="2:11" ht="20" customHeight="1">
      <c r="B50" s="15" t="s">
        <v>258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>
        <v>1</v>
      </c>
      <c r="C51" s="19"/>
      <c r="D51" s="19"/>
      <c r="E51" s="19"/>
      <c r="F51" s="19"/>
      <c r="G51" s="19"/>
      <c r="H51" s="19"/>
      <c r="I51" s="19"/>
      <c r="J51" s="19"/>
      <c r="K51" s="19"/>
    </row>
    <row r="52" spans="2:11" ht="19" customHeight="1">
      <c r="B52" s="18">
        <v>2</v>
      </c>
      <c r="C52" s="19"/>
      <c r="D52" s="19"/>
      <c r="E52" s="19"/>
      <c r="F52" s="19"/>
      <c r="G52" s="19"/>
      <c r="H52" s="19"/>
      <c r="I52" s="19"/>
      <c r="J52" s="19"/>
      <c r="K52" s="19"/>
    </row>
    <row r="53" spans="2:11" ht="19" customHeight="1">
      <c r="B53" s="18">
        <v>3</v>
      </c>
      <c r="C53" s="19"/>
      <c r="D53" s="19"/>
      <c r="E53" s="19"/>
      <c r="F53" s="19"/>
      <c r="G53" s="19"/>
      <c r="H53" s="19"/>
      <c r="I53" s="19"/>
      <c r="J53" s="19"/>
      <c r="K53" s="19"/>
    </row>
    <row r="55" spans="2:11" ht="20" customHeight="1">
      <c r="B55" s="15" t="s">
        <v>259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19" customHeight="1">
      <c r="B56" s="18">
        <v>1</v>
      </c>
      <c r="C56" s="19"/>
      <c r="D56" s="19"/>
      <c r="E56" s="19"/>
      <c r="F56" s="19"/>
      <c r="G56" s="19"/>
      <c r="H56" s="19"/>
      <c r="I56" s="19"/>
      <c r="J56" s="19"/>
      <c r="K56" s="19"/>
    </row>
    <row r="57" spans="2:11" ht="19" customHeight="1">
      <c r="B57" s="18">
        <v>2</v>
      </c>
      <c r="C57" s="19"/>
      <c r="D57" s="19"/>
      <c r="E57" s="19"/>
      <c r="F57" s="19"/>
      <c r="G57" s="19"/>
      <c r="H57" s="19"/>
      <c r="I57" s="19"/>
      <c r="J57" s="19"/>
      <c r="K57" s="19"/>
    </row>
    <row r="58" spans="2:11" ht="19" customHeight="1">
      <c r="B58" s="18">
        <v>3</v>
      </c>
      <c r="C58" s="19"/>
      <c r="D58" s="19"/>
      <c r="E58" s="19"/>
      <c r="F58" s="19"/>
      <c r="G58" s="19"/>
      <c r="H58" s="19"/>
      <c r="I58" s="19"/>
      <c r="J58" s="19"/>
      <c r="K58" s="19"/>
    </row>
    <row r="60" spans="2:11" ht="20" customHeight="1">
      <c r="B60" s="15" t="s">
        <v>260</v>
      </c>
      <c r="C60" s="15"/>
      <c r="D60" s="15"/>
      <c r="E60" s="15"/>
      <c r="F60" s="15"/>
      <c r="G60" s="15"/>
      <c r="H60" s="15"/>
      <c r="I60" s="15"/>
      <c r="J60" s="15"/>
      <c r="K60" s="15"/>
    </row>
    <row r="61" spans="2:11" ht="19" customHeight="1">
      <c r="B61" s="18">
        <v>1</v>
      </c>
      <c r="C61" s="19"/>
      <c r="D61" s="19"/>
      <c r="E61" s="19"/>
      <c r="F61" s="19"/>
      <c r="G61" s="19"/>
      <c r="H61" s="19"/>
      <c r="I61" s="19"/>
      <c r="J61" s="19"/>
      <c r="K61" s="19"/>
    </row>
    <row r="62" spans="2:11" ht="19" customHeight="1">
      <c r="B62" s="18">
        <v>2</v>
      </c>
      <c r="C62" s="19"/>
      <c r="D62" s="19"/>
      <c r="E62" s="19"/>
      <c r="F62" s="19"/>
      <c r="G62" s="19"/>
      <c r="H62" s="19"/>
      <c r="I62" s="19"/>
      <c r="J62" s="19"/>
      <c r="K62" s="19"/>
    </row>
    <row r="63" spans="2:11" ht="19" customHeight="1">
      <c r="B63" s="18">
        <v>3</v>
      </c>
      <c r="C63" s="19"/>
      <c r="D63" s="19"/>
      <c r="E63" s="19"/>
      <c r="F63" s="19"/>
      <c r="G63" s="19"/>
      <c r="H63" s="19"/>
      <c r="I63" s="19"/>
      <c r="J63" s="19"/>
      <c r="K63" s="19"/>
    </row>
    <row r="64" spans="2:11" ht="19" customHeight="1">
      <c r="B64" s="18">
        <v>4</v>
      </c>
      <c r="C64" s="19"/>
      <c r="D64" s="19"/>
      <c r="E64" s="19"/>
      <c r="F64" s="19"/>
      <c r="G64" s="19"/>
      <c r="H64" s="19"/>
      <c r="I64" s="19"/>
      <c r="J64" s="19"/>
      <c r="K64" s="19"/>
    </row>
    <row r="66" spans="2:13" ht="20" customHeight="1">
      <c r="B66" s="15" t="s">
        <v>261</v>
      </c>
      <c r="C66" s="15"/>
      <c r="D66" s="15"/>
      <c r="E66" s="15"/>
      <c r="F66" s="15"/>
      <c r="G66" s="15"/>
      <c r="H66" s="15"/>
      <c r="I66" s="15"/>
      <c r="J66" s="15"/>
      <c r="K66" s="15"/>
    </row>
    <row r="67" spans="2:13" ht="19" customHeight="1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3" ht="19" customHeight="1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3" ht="19" customHeight="1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3" spans="2:13" ht="26" customHeight="1">
      <c r="B73" s="10" t="s">
        <v>262</v>
      </c>
      <c r="C73" s="10"/>
      <c r="D73" s="10"/>
      <c r="E73" s="10"/>
      <c r="F73" s="10"/>
      <c r="G73" s="10"/>
      <c r="H73" s="10"/>
      <c r="I73" s="10"/>
      <c r="J73" s="10"/>
      <c r="K73" s="10"/>
      <c r="M73" s="11" t="s">
        <v>263</v>
      </c>
    </row>
    <row r="74" spans="2:13" ht="22" customHeight="1">
      <c r="B74" s="5" t="s">
        <v>242</v>
      </c>
      <c r="C74" s="5"/>
      <c r="D74" s="12"/>
      <c r="E74" s="5" t="s">
        <v>243</v>
      </c>
      <c r="F74" s="13"/>
      <c r="G74" s="13"/>
      <c r="H74" s="13"/>
      <c r="I74" s="13"/>
      <c r="J74" s="13"/>
      <c r="K74" s="13"/>
    </row>
    <row r="75" spans="2:13" ht="22" customHeight="1">
      <c r="B75" s="5" t="s">
        <v>244</v>
      </c>
      <c r="C75" s="5"/>
      <c r="D75" s="14"/>
      <c r="E75" s="14"/>
      <c r="F75" s="14"/>
      <c r="G75" s="5" t="s">
        <v>245</v>
      </c>
      <c r="H75" s="5"/>
      <c r="I75" s="14"/>
      <c r="J75" s="14"/>
      <c r="K75" s="14"/>
    </row>
    <row r="77" spans="2:13" ht="20" customHeight="1">
      <c r="B77" s="15" t="s">
        <v>246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3" ht="19" customHeight="1">
      <c r="B78" s="16" t="s">
        <v>247</v>
      </c>
      <c r="C78" s="16"/>
      <c r="D78" s="16"/>
      <c r="E78" s="17"/>
      <c r="F78" s="17"/>
      <c r="G78" s="17"/>
      <c r="H78" s="17"/>
      <c r="I78" s="17"/>
      <c r="J78" s="17"/>
      <c r="K78" s="17"/>
    </row>
    <row r="79" spans="2:13" ht="19" customHeight="1">
      <c r="B79" s="16"/>
      <c r="C79" s="16"/>
      <c r="D79" s="16"/>
      <c r="E79" s="17"/>
      <c r="F79" s="17"/>
      <c r="G79" s="17"/>
      <c r="H79" s="17"/>
      <c r="I79" s="17"/>
      <c r="J79" s="17"/>
      <c r="K79" s="17"/>
    </row>
    <row r="80" spans="2:13" ht="19" customHeight="1">
      <c r="B80" s="16"/>
      <c r="C80" s="16"/>
      <c r="D80" s="16"/>
      <c r="E80" s="17"/>
      <c r="F80" s="17"/>
      <c r="G80" s="17"/>
      <c r="H80" s="17"/>
      <c r="I80" s="17"/>
      <c r="J80" s="17"/>
      <c r="K80" s="17"/>
    </row>
    <row r="81" spans="2:11" ht="19" customHeight="1">
      <c r="B81" s="16" t="s">
        <v>248</v>
      </c>
      <c r="C81" s="16"/>
      <c r="D81" s="16"/>
      <c r="E81" s="17"/>
      <c r="F81" s="17"/>
      <c r="G81" s="17"/>
      <c r="H81" s="17"/>
      <c r="I81" s="17"/>
      <c r="J81" s="17"/>
      <c r="K81" s="17"/>
    </row>
    <row r="82" spans="2:11" ht="19" customHeight="1">
      <c r="B82" s="16"/>
      <c r="C82" s="16"/>
      <c r="D82" s="16"/>
      <c r="E82" s="17"/>
      <c r="F82" s="17"/>
      <c r="G82" s="17"/>
      <c r="H82" s="17"/>
      <c r="I82" s="17"/>
      <c r="J82" s="17"/>
      <c r="K82" s="17"/>
    </row>
    <row r="83" spans="2:11" ht="19" customHeight="1">
      <c r="B83" s="16"/>
      <c r="C83" s="16"/>
      <c r="D83" s="16"/>
      <c r="E83" s="17"/>
      <c r="F83" s="17"/>
      <c r="G83" s="17"/>
      <c r="H83" s="17"/>
      <c r="I83" s="17"/>
      <c r="J83" s="17"/>
      <c r="K83" s="17"/>
    </row>
    <row r="85" spans="2:11" ht="20" customHeight="1">
      <c r="B85" s="15" t="s">
        <v>249</v>
      </c>
      <c r="C85" s="15"/>
      <c r="D85" s="15"/>
      <c r="E85" s="15"/>
      <c r="F85" s="15"/>
      <c r="G85" s="15"/>
      <c r="H85" s="15"/>
      <c r="I85" s="15"/>
      <c r="J85" s="15"/>
      <c r="K85" s="15"/>
    </row>
    <row r="86" spans="2:11" ht="19" customHeight="1">
      <c r="B86" s="18">
        <v>1</v>
      </c>
      <c r="C86" s="19"/>
      <c r="D86" s="19"/>
      <c r="E86" s="19"/>
      <c r="F86" s="19"/>
      <c r="G86" s="19"/>
      <c r="H86" s="19"/>
      <c r="I86" s="19"/>
      <c r="J86" s="19"/>
      <c r="K86" s="19"/>
    </row>
    <row r="87" spans="2:11" ht="19" customHeight="1">
      <c r="B87" s="18">
        <v>2</v>
      </c>
      <c r="C87" s="19"/>
      <c r="D87" s="19"/>
      <c r="E87" s="19"/>
      <c r="F87" s="19"/>
      <c r="G87" s="19"/>
      <c r="H87" s="19"/>
      <c r="I87" s="19"/>
      <c r="J87" s="19"/>
      <c r="K87" s="19"/>
    </row>
    <row r="88" spans="2:11" ht="19" customHeight="1">
      <c r="B88" s="18">
        <v>3</v>
      </c>
      <c r="C88" s="19"/>
      <c r="D88" s="19"/>
      <c r="E88" s="19"/>
      <c r="F88" s="19"/>
      <c r="G88" s="19"/>
      <c r="H88" s="19"/>
      <c r="I88" s="19"/>
      <c r="J88" s="19"/>
      <c r="K88" s="19"/>
    </row>
    <row r="90" spans="2:11" ht="20" customHeight="1">
      <c r="B90" s="15" t="s">
        <v>250</v>
      </c>
      <c r="C90" s="15"/>
      <c r="D90" s="15"/>
      <c r="E90" s="15"/>
      <c r="F90" s="15"/>
      <c r="G90" s="15"/>
      <c r="H90" s="15"/>
      <c r="I90" s="15"/>
      <c r="J90" s="15"/>
      <c r="K90" s="15"/>
    </row>
    <row r="91" spans="2:11" ht="20" customHeight="1">
      <c r="B91" s="5" t="s">
        <v>251</v>
      </c>
      <c r="C91" s="5"/>
      <c r="D91" s="20"/>
      <c r="E91" s="20"/>
      <c r="F91" s="5" t="s">
        <v>62</v>
      </c>
      <c r="G91" s="21"/>
      <c r="H91" s="5" t="s">
        <v>252</v>
      </c>
      <c r="I91" s="21"/>
      <c r="J91" s="5" t="s">
        <v>60</v>
      </c>
      <c r="K91" s="21"/>
    </row>
    <row r="92" spans="2:11" ht="20" customHeight="1">
      <c r="B92" s="5" t="s">
        <v>253</v>
      </c>
      <c r="C92" s="5"/>
      <c r="D92" s="21"/>
      <c r="E92" s="21"/>
      <c r="F92" s="5" t="s">
        <v>254</v>
      </c>
      <c r="G92" s="21"/>
    </row>
    <row r="93" spans="2:11" ht="19" customHeight="1">
      <c r="B93" s="18">
        <v>1</v>
      </c>
      <c r="C93" s="19"/>
      <c r="D93" s="19"/>
      <c r="E93" s="19"/>
      <c r="F93" s="19"/>
      <c r="G93" s="19"/>
      <c r="H93" s="19"/>
      <c r="I93" s="19"/>
      <c r="J93" s="19"/>
      <c r="K93" s="19"/>
    </row>
    <row r="94" spans="2:11" ht="19" customHeight="1">
      <c r="B94" s="18">
        <v>2</v>
      </c>
      <c r="C94" s="19"/>
      <c r="D94" s="19"/>
      <c r="E94" s="19"/>
      <c r="F94" s="19"/>
      <c r="G94" s="19"/>
      <c r="H94" s="19"/>
      <c r="I94" s="19"/>
      <c r="J94" s="19"/>
      <c r="K94" s="19"/>
    </row>
    <row r="96" spans="2:11" ht="20" customHeight="1">
      <c r="B96" s="15" t="s">
        <v>255</v>
      </c>
      <c r="C96" s="15"/>
      <c r="D96" s="15"/>
      <c r="E96" s="15"/>
      <c r="F96" s="15"/>
      <c r="G96" s="15"/>
      <c r="H96" s="15"/>
      <c r="I96" s="15"/>
      <c r="J96" s="15"/>
      <c r="K96" s="15"/>
    </row>
    <row r="97" spans="2:11" ht="19" customHeight="1">
      <c r="B97" s="18">
        <v>1</v>
      </c>
      <c r="C97" s="19"/>
      <c r="D97" s="19"/>
      <c r="E97" s="19"/>
      <c r="F97" s="19"/>
      <c r="G97" s="19"/>
      <c r="H97" s="19"/>
      <c r="I97" s="19"/>
      <c r="J97" s="19"/>
      <c r="K97" s="19"/>
    </row>
    <row r="98" spans="2:11" ht="19" customHeight="1">
      <c r="B98" s="18">
        <v>2</v>
      </c>
      <c r="C98" s="19"/>
      <c r="D98" s="19"/>
      <c r="E98" s="19"/>
      <c r="F98" s="19"/>
      <c r="G98" s="19"/>
      <c r="H98" s="19"/>
      <c r="I98" s="19"/>
      <c r="J98" s="19"/>
      <c r="K98" s="19"/>
    </row>
    <row r="99" spans="2:11" ht="19" customHeight="1">
      <c r="B99" s="18">
        <v>3</v>
      </c>
      <c r="C99" s="19"/>
      <c r="D99" s="19"/>
      <c r="E99" s="19"/>
      <c r="F99" s="19"/>
      <c r="G99" s="19"/>
      <c r="H99" s="19"/>
      <c r="I99" s="19"/>
      <c r="J99" s="19"/>
      <c r="K99" s="19"/>
    </row>
    <row r="100" spans="2:11" ht="19" customHeight="1">
      <c r="B100" s="18">
        <v>4</v>
      </c>
      <c r="C100" s="19"/>
      <c r="D100" s="19"/>
      <c r="E100" s="19"/>
      <c r="F100" s="19"/>
      <c r="G100" s="19"/>
      <c r="H100" s="19"/>
      <c r="I100" s="19"/>
      <c r="J100" s="19"/>
      <c r="K100" s="19"/>
    </row>
    <row r="101" spans="2:11" ht="19" customHeight="1">
      <c r="B101" s="18">
        <v>5</v>
      </c>
      <c r="C101" s="19"/>
      <c r="D101" s="19"/>
      <c r="E101" s="19"/>
      <c r="F101" s="19"/>
      <c r="G101" s="19"/>
      <c r="H101" s="19"/>
      <c r="I101" s="19"/>
      <c r="J101" s="19"/>
      <c r="K101" s="19"/>
    </row>
    <row r="102" spans="2:11" ht="19" customHeight="1">
      <c r="B102" s="18">
        <v>6</v>
      </c>
      <c r="C102" s="19"/>
      <c r="D102" s="19"/>
      <c r="E102" s="19"/>
      <c r="F102" s="19"/>
      <c r="G102" s="19"/>
      <c r="H102" s="19"/>
      <c r="I102" s="19"/>
      <c r="J102" s="19"/>
      <c r="K102" s="19"/>
    </row>
    <row r="104" spans="2:11" ht="20" customHeight="1">
      <c r="B104" s="15" t="s">
        <v>256</v>
      </c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2:11" ht="19" customHeight="1">
      <c r="B105" s="18">
        <v>1</v>
      </c>
      <c r="C105" s="19"/>
      <c r="D105" s="19"/>
      <c r="E105" s="19"/>
      <c r="F105" s="19"/>
      <c r="G105" s="19"/>
      <c r="H105" s="19"/>
      <c r="I105" s="19"/>
      <c r="J105" s="19"/>
      <c r="K105" s="19"/>
    </row>
    <row r="106" spans="2:11" ht="19" customHeight="1">
      <c r="B106" s="18">
        <v>2</v>
      </c>
      <c r="C106" s="19"/>
      <c r="D106" s="19"/>
      <c r="E106" s="19"/>
      <c r="F106" s="19"/>
      <c r="G106" s="19"/>
      <c r="H106" s="19"/>
      <c r="I106" s="19"/>
      <c r="J106" s="19"/>
      <c r="K106" s="19"/>
    </row>
    <row r="107" spans="2:11" ht="19" customHeight="1">
      <c r="B107" s="18">
        <v>3</v>
      </c>
      <c r="C107" s="19"/>
      <c r="D107" s="19"/>
      <c r="E107" s="19"/>
      <c r="F107" s="19"/>
      <c r="G107" s="19"/>
      <c r="H107" s="19"/>
      <c r="I107" s="19"/>
      <c r="J107" s="19"/>
      <c r="K107" s="19"/>
    </row>
    <row r="109" spans="2:11" ht="20" customHeight="1">
      <c r="B109" s="15" t="s">
        <v>257</v>
      </c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2:11" ht="19" customHeight="1">
      <c r="B110" s="18">
        <v>1</v>
      </c>
      <c r="C110" s="19"/>
      <c r="D110" s="19"/>
      <c r="E110" s="19"/>
      <c r="F110" s="19"/>
      <c r="G110" s="19"/>
      <c r="H110" s="19"/>
      <c r="I110" s="19"/>
      <c r="J110" s="19"/>
      <c r="K110" s="19"/>
    </row>
    <row r="111" spans="2:11" ht="19" customHeight="1">
      <c r="B111" s="18">
        <v>2</v>
      </c>
      <c r="C111" s="19"/>
      <c r="D111" s="19"/>
      <c r="E111" s="19"/>
      <c r="F111" s="19"/>
      <c r="G111" s="19"/>
      <c r="H111" s="19"/>
      <c r="I111" s="19"/>
      <c r="J111" s="19"/>
      <c r="K111" s="19"/>
    </row>
    <row r="113" spans="2:11" ht="20" customHeight="1">
      <c r="B113" s="15" t="s">
        <v>258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19" customHeight="1">
      <c r="B114" s="18">
        <v>1</v>
      </c>
      <c r="C114" s="19"/>
      <c r="D114" s="19"/>
      <c r="E114" s="19"/>
      <c r="F114" s="19"/>
      <c r="G114" s="19"/>
      <c r="H114" s="19"/>
      <c r="I114" s="19"/>
      <c r="J114" s="19"/>
      <c r="K114" s="19"/>
    </row>
    <row r="115" spans="2:11" ht="19" customHeight="1">
      <c r="B115" s="18">
        <v>2</v>
      </c>
      <c r="C115" s="19"/>
      <c r="D115" s="19"/>
      <c r="E115" s="19"/>
      <c r="F115" s="19"/>
      <c r="G115" s="19"/>
      <c r="H115" s="19"/>
      <c r="I115" s="19"/>
      <c r="J115" s="19"/>
      <c r="K115" s="19"/>
    </row>
    <row r="116" spans="2:11" ht="19" customHeight="1">
      <c r="B116" s="18">
        <v>3</v>
      </c>
      <c r="C116" s="19"/>
      <c r="D116" s="19"/>
      <c r="E116" s="19"/>
      <c r="F116" s="19"/>
      <c r="G116" s="19"/>
      <c r="H116" s="19"/>
      <c r="I116" s="19"/>
      <c r="J116" s="19"/>
      <c r="K116" s="19"/>
    </row>
    <row r="118" spans="2:11" ht="20" customHeight="1">
      <c r="B118" s="15" t="s">
        <v>259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8">
        <v>1</v>
      </c>
      <c r="C119" s="19"/>
      <c r="D119" s="19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>
        <v>2</v>
      </c>
      <c r="C120" s="19"/>
      <c r="D120" s="19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>
        <v>3</v>
      </c>
      <c r="C121" s="19"/>
      <c r="D121" s="19"/>
      <c r="E121" s="19"/>
      <c r="F121" s="19"/>
      <c r="G121" s="19"/>
      <c r="H121" s="19"/>
      <c r="I121" s="19"/>
      <c r="J121" s="19"/>
      <c r="K121" s="19"/>
    </row>
    <row r="123" spans="2:11" ht="20" customHeight="1">
      <c r="B123" s="15" t="s">
        <v>260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19" customHeight="1">
      <c r="B124" s="18">
        <v>1</v>
      </c>
      <c r="C124" s="19"/>
      <c r="D124" s="19"/>
      <c r="E124" s="19"/>
      <c r="F124" s="19"/>
      <c r="G124" s="19"/>
      <c r="H124" s="19"/>
      <c r="I124" s="19"/>
      <c r="J124" s="19"/>
      <c r="K124" s="19"/>
    </row>
    <row r="125" spans="2:11" ht="19" customHeight="1">
      <c r="B125" s="18">
        <v>2</v>
      </c>
      <c r="C125" s="19"/>
      <c r="D125" s="19"/>
      <c r="E125" s="19"/>
      <c r="F125" s="19"/>
      <c r="G125" s="19"/>
      <c r="H125" s="19"/>
      <c r="I125" s="19"/>
      <c r="J125" s="19"/>
      <c r="K125" s="19"/>
    </row>
    <row r="126" spans="2:11" ht="19" customHeight="1">
      <c r="B126" s="18">
        <v>3</v>
      </c>
      <c r="C126" s="19"/>
      <c r="D126" s="19"/>
      <c r="E126" s="19"/>
      <c r="F126" s="19"/>
      <c r="G126" s="19"/>
      <c r="H126" s="19"/>
      <c r="I126" s="19"/>
      <c r="J126" s="19"/>
      <c r="K126" s="19"/>
    </row>
    <row r="127" spans="2:11" ht="19" customHeight="1">
      <c r="B127" s="18">
        <v>4</v>
      </c>
      <c r="C127" s="19"/>
      <c r="D127" s="19"/>
      <c r="E127" s="19"/>
      <c r="F127" s="19"/>
      <c r="G127" s="19"/>
      <c r="H127" s="19"/>
      <c r="I127" s="19"/>
      <c r="J127" s="19"/>
      <c r="K127" s="19"/>
    </row>
    <row r="129" spans="2:11" ht="20" customHeight="1">
      <c r="B129" s="15" t="s">
        <v>261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19" customHeight="1">
      <c r="B130" s="17"/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7"/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7"/>
      <c r="C132" s="17"/>
      <c r="D132" s="17"/>
      <c r="E132" s="17"/>
      <c r="F132" s="17"/>
      <c r="G132" s="17"/>
      <c r="H132" s="17"/>
      <c r="I132" s="17"/>
      <c r="J132" s="17"/>
      <c r="K132" s="17"/>
    </row>
  </sheetData>
  <sheetProtection sheet="1" objects="1" scenarios="1" formatColumns="0" formatRows="0"/>
  <mergeCells count="109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B15:D17"/>
    <mergeCell ref="E15:K17"/>
    <mergeCell ref="B18:D20"/>
    <mergeCell ref="E18:K20"/>
    <mergeCell ref="B22:K22"/>
    <mergeCell ref="C23:K23"/>
    <mergeCell ref="C24:K24"/>
    <mergeCell ref="C25:K25"/>
    <mergeCell ref="B27:K27"/>
    <mergeCell ref="B28:C28"/>
    <mergeCell ref="D28:E28"/>
    <mergeCell ref="B29:C29"/>
    <mergeCell ref="D29:E29"/>
    <mergeCell ref="C30:K30"/>
    <mergeCell ref="C31:K31"/>
    <mergeCell ref="B33:K33"/>
    <mergeCell ref="C34:K34"/>
    <mergeCell ref="C35:K35"/>
    <mergeCell ref="C36:K36"/>
    <mergeCell ref="C37:K37"/>
    <mergeCell ref="C38:K38"/>
    <mergeCell ref="C39:K39"/>
    <mergeCell ref="B41:K41"/>
    <mergeCell ref="C42:K42"/>
    <mergeCell ref="C43:K43"/>
    <mergeCell ref="C44:K44"/>
    <mergeCell ref="B46:K46"/>
    <mergeCell ref="C47:K47"/>
    <mergeCell ref="C48:K48"/>
    <mergeCell ref="B50:K50"/>
    <mergeCell ref="C51:K51"/>
    <mergeCell ref="C52:K52"/>
    <mergeCell ref="C53:K53"/>
    <mergeCell ref="B55:K55"/>
    <mergeCell ref="C56:K56"/>
    <mergeCell ref="C57:K57"/>
    <mergeCell ref="C58:K58"/>
    <mergeCell ref="B60:K60"/>
    <mergeCell ref="C61:K61"/>
    <mergeCell ref="C62:K62"/>
    <mergeCell ref="C63:K63"/>
    <mergeCell ref="C64:K64"/>
    <mergeCell ref="B66:K66"/>
    <mergeCell ref="B67:K69"/>
    <mergeCell ref="B73:K73"/>
    <mergeCell ref="B74:C74"/>
    <mergeCell ref="F74:K74"/>
    <mergeCell ref="B75:C75"/>
    <mergeCell ref="D75:F75"/>
    <mergeCell ref="G75:H75"/>
    <mergeCell ref="I75:K75"/>
    <mergeCell ref="B77:K77"/>
    <mergeCell ref="B78:D80"/>
    <mergeCell ref="E78:K80"/>
    <mergeCell ref="B81:D83"/>
    <mergeCell ref="E81:K83"/>
    <mergeCell ref="B85:K85"/>
    <mergeCell ref="C86:K86"/>
    <mergeCell ref="C87:K87"/>
    <mergeCell ref="C88:K88"/>
    <mergeCell ref="B90:K90"/>
    <mergeCell ref="B91:C91"/>
    <mergeCell ref="D91:E91"/>
    <mergeCell ref="B92:C92"/>
    <mergeCell ref="D92:E92"/>
    <mergeCell ref="C93:K93"/>
    <mergeCell ref="C94:K94"/>
    <mergeCell ref="B96:K96"/>
    <mergeCell ref="C97:K97"/>
    <mergeCell ref="C98:K98"/>
    <mergeCell ref="C99:K99"/>
    <mergeCell ref="C100:K100"/>
    <mergeCell ref="C101:K101"/>
    <mergeCell ref="C102:K102"/>
    <mergeCell ref="B104:K104"/>
    <mergeCell ref="C105:K105"/>
    <mergeCell ref="C106:K106"/>
    <mergeCell ref="C107:K107"/>
    <mergeCell ref="B109:K109"/>
    <mergeCell ref="C110:K110"/>
    <mergeCell ref="C111:K111"/>
    <mergeCell ref="B113:K113"/>
    <mergeCell ref="C114:K114"/>
    <mergeCell ref="C115:K115"/>
    <mergeCell ref="C116:K116"/>
    <mergeCell ref="B118:K118"/>
    <mergeCell ref="C119:K119"/>
    <mergeCell ref="C120:K120"/>
    <mergeCell ref="C121:K121"/>
    <mergeCell ref="B123:K123"/>
    <mergeCell ref="C124:K124"/>
    <mergeCell ref="C125:K125"/>
    <mergeCell ref="C126:K126"/>
    <mergeCell ref="C127:K127"/>
    <mergeCell ref="B129:K129"/>
    <mergeCell ref="B130:K132"/>
  </mergeCells>
  <dataValidations count="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</dataValidations>
  <hyperlinks>
    <hyperlink ref="C8" location="'Preenchimento'!B73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3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114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236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237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267</v>
      </c>
      <c r="C6" s="22">
        <f>IF(pData="","—",TEXT(DAY(pData),"00")&amp;"/"&amp;TEXT(MONTH(pData),"00")&amp;"/"&amp;YEAR(pData))</f>
        <v>0</v>
      </c>
      <c r="D6" s="22"/>
      <c r="E6" s="16" t="s">
        <v>268</v>
      </c>
      <c r="F6" s="22">
        <f>"Dia  07:00 – 19:00"</f>
        <v>0</v>
      </c>
      <c r="G6" s="22"/>
      <c r="H6" s="22"/>
      <c r="I6" s="16" t="s">
        <v>242</v>
      </c>
      <c r="J6" s="16"/>
      <c r="K6" s="22">
        <f>IF(dLetra="","—",dLetra)</f>
        <v>0</v>
      </c>
      <c r="L6" s="22"/>
      <c r="M6" s="22"/>
    </row>
    <row r="7" spans="1:15" ht="22" customHeight="1">
      <c r="B7" s="16" t="s">
        <v>243</v>
      </c>
      <c r="C7" s="23">
        <f>IF(dTecnico="","—",dTecnico)</f>
        <v>0</v>
      </c>
      <c r="D7" s="23"/>
      <c r="E7" s="23"/>
      <c r="F7" s="23"/>
      <c r="G7" s="23"/>
      <c r="H7" s="16" t="s">
        <v>244</v>
      </c>
      <c r="I7" s="16"/>
      <c r="J7" s="22">
        <f>IF(dProdUS3="","—",dProdUS3)</f>
        <v>0</v>
      </c>
      <c r="K7" s="16" t="s">
        <v>245</v>
      </c>
      <c r="L7" s="16"/>
      <c r="M7" s="22">
        <f>IF(dProdUS4="","—",dProdUS4)</f>
        <v>0</v>
      </c>
    </row>
    <row r="9" spans="1:15" ht="21" customHeight="1">
      <c r="A9" s="24" t="s">
        <v>270</v>
      </c>
      <c r="B9" s="25" t="s">
        <v>269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271</v>
      </c>
      <c r="B10" s="26" t="s">
        <v>272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355</v>
      </c>
    </row>
    <row r="11" spans="1:15" ht="30" customHeight="1">
      <c r="A11" s="24" t="s">
        <v>273</v>
      </c>
      <c r="B11" s="16" t="s">
        <v>247</v>
      </c>
      <c r="C11" s="27">
        <f>IF(dComUS3="","",dComUS3)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273</v>
      </c>
      <c r="B12" s="16" t="s">
        <v>248</v>
      </c>
      <c r="C12" s="27">
        <f>IF(dComUS4="","",dComUS4)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274</v>
      </c>
    </row>
    <row r="14" spans="1:15" ht="19" customHeight="1">
      <c r="A14" s="24" t="s">
        <v>271</v>
      </c>
      <c r="B14" s="26" t="s">
        <v>275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276</v>
      </c>
      <c r="B15" s="28">
        <f>IF(TRIM('Preenchimento'!$C$23)="","",CHAR(149)&amp;"   "&amp;TRIM('Preenchimento'!$C$23))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276</v>
      </c>
      <c r="B16" s="28">
        <f>IF(TRIM('Preenchimento'!$C$24)="","",CHAR(149)&amp;"   "&amp;TRIM('Preenchimento'!$C$24))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276</v>
      </c>
      <c r="B17" s="28">
        <f>IF(TRIM('Preenchimento'!$C$25)="","",CHAR(149)&amp;"   "&amp;TRIM('Preenchimento'!$C$25))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274</v>
      </c>
    </row>
    <row r="19" spans="1:13" ht="19" customHeight="1">
      <c r="A19" s="24" t="s">
        <v>271</v>
      </c>
      <c r="B19" s="26" t="s">
        <v>277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276</v>
      </c>
      <c r="B20" s="28">
        <f>IF(AND(dBatch="",dBatchSiO2="",dBatchP="",dBatchPPC="",dBatchSE="",dBatchM325=""),"",CHAR(149)&amp;"   Processando batch "&amp;dBatch&amp;IF(AND(dBatchSiO2="",dBatchP="",dBatchPPC="",dBatchSE="",dBatchM325=""),""," com teores: "&amp;LEFT(IF(dBatchSiO2="","","SiO2: "&amp;dBatchSiO2&amp;"; ")&amp;IF(dBatchP="","","P: "&amp;dBatchP&amp;"; ")&amp;IF(dBatchPPC="","","PPC: "&amp;dBatchPPC&amp;"; ")&amp;IF(dBatchSE="","","SE: "&amp;dBatchSE&amp;"; ")&amp;IF(dBatchM325="","","-325#: "&amp;dBatchM325&amp;"; "),LEN(IF(dBatchSiO2="","","SiO2: "&amp;dBatchSiO2&amp;"; ")&amp;IF(dBatchP="","","P: "&amp;dBatchP&amp;"; ")&amp;IF(dBatchPPC="","","PPC: "&amp;dBatchPPC&amp;"; ")&amp;IF(dBatchSE="","","SE: "&amp;dBatchSE&amp;"; ")&amp;IF(dBatchM325="","","-325#: "&amp;dBatchM325&amp;";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276</v>
      </c>
      <c r="B21" s="28">
        <f>IF(TRIM('Preenchimento'!$C$30)="","",CHAR(149)&amp;"   "&amp;TRIM('Preenchimento'!$C$30))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276</v>
      </c>
      <c r="B22" s="28">
        <f>IF(TRIM('Preenchimento'!$C$31)="","",CHAR(149)&amp;"   "&amp;TRIM('Preenchimento'!$C$31))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274</v>
      </c>
    </row>
    <row r="24" spans="1:13" ht="19" customHeight="1">
      <c r="A24" s="24" t="s">
        <v>271</v>
      </c>
      <c r="B24" s="26" t="s">
        <v>278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276</v>
      </c>
      <c r="B25" s="28">
        <f>IF(TRIM('Preenchimento'!$C$34)="","",CHAR(149)&amp;"   "&amp;TRIM('Preenchimento'!$C$34))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276</v>
      </c>
      <c r="B26" s="28">
        <f>IF(TRIM('Preenchimento'!$C$35)="","",CHAR(149)&amp;"   "&amp;TRIM('Preenchimento'!$C$35))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276</v>
      </c>
      <c r="B27" s="28">
        <f>IF(TRIM('Preenchimento'!$C$36)="","",CHAR(149)&amp;"   "&amp;TRIM('Preenchimento'!$C$36))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276</v>
      </c>
      <c r="B28" s="28">
        <f>IF(TRIM('Preenchimento'!$C$37)="","",CHAR(149)&amp;"   "&amp;TRIM('Preenchimento'!$C$37))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276</v>
      </c>
      <c r="B29" s="28">
        <f>IF(TRIM('Preenchimento'!$C$38)="","",CHAR(149)&amp;"   "&amp;TRIM('Preenchimento'!$C$38))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276</v>
      </c>
      <c r="B30" s="28">
        <f>IF(TRIM('Preenchimento'!$C$39)="","",CHAR(149)&amp;"   "&amp;TRIM('Preenchimento'!$C$39))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274</v>
      </c>
    </row>
    <row r="32" spans="1:13" ht="19" customHeight="1">
      <c r="A32" s="24" t="s">
        <v>271</v>
      </c>
      <c r="B32" s="26" t="s">
        <v>279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276</v>
      </c>
      <c r="B33" s="28">
        <f>IF(TRIM('Preenchimento'!$C$42)="","",CHAR(149)&amp;"   "&amp;TRIM('Preenchimento'!$C$42))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276</v>
      </c>
      <c r="B34" s="28">
        <f>IF(TRIM('Preenchimento'!$C$43)="","",CHAR(149)&amp;"   "&amp;TRIM('Preenchimento'!$C$43))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276</v>
      </c>
      <c r="B35" s="28">
        <f>IF(TRIM('Preenchimento'!$C$44)="","",CHAR(149)&amp;"   "&amp;TRIM('Preenchimento'!$C$44))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274</v>
      </c>
    </row>
    <row r="37" spans="1:13" ht="19" customHeight="1">
      <c r="A37" s="24" t="s">
        <v>271</v>
      </c>
      <c r="B37" s="26" t="s">
        <v>280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276</v>
      </c>
      <c r="B38" s="28">
        <f>IF(TRIM('Preenchimento'!$C$47)="","",CHAR(149)&amp;"   "&amp;TRIM('Preenchimento'!$C$47))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276</v>
      </c>
      <c r="B39" s="28">
        <f>IF(TRIM('Preenchimento'!$C$48)="","",CHAR(149)&amp;"   "&amp;TRIM('Preenchimento'!$C$48))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274</v>
      </c>
    </row>
    <row r="41" spans="1:13" ht="19" customHeight="1">
      <c r="A41" s="24" t="s">
        <v>271</v>
      </c>
      <c r="B41" s="26" t="s">
        <v>281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276</v>
      </c>
      <c r="B42" s="28">
        <f>IF(TRIM('Preenchimento'!$C$51)="","",CHAR(149)&amp;"   "&amp;TRIM('Preenchimento'!$C$51))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276</v>
      </c>
      <c r="B43" s="28">
        <f>IF(TRIM('Preenchimento'!$C$52)="","",CHAR(149)&amp;"   "&amp;TRIM('Preenchimento'!$C$52))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276</v>
      </c>
      <c r="B44" s="28">
        <f>IF(TRIM('Preenchimento'!$C$53)="","",CHAR(149)&amp;"   "&amp;TRIM('Preenchimento'!$C$53))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274</v>
      </c>
    </row>
    <row r="46" spans="1:13" ht="19" customHeight="1">
      <c r="A46" s="24" t="s">
        <v>271</v>
      </c>
      <c r="B46" s="26" t="s">
        <v>282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276</v>
      </c>
      <c r="B47" s="28">
        <f>IF(TRIM('Preenchimento'!$C$56)="","",CHAR(149)&amp;"   "&amp;TRIM('Preenchimento'!$C$56))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276</v>
      </c>
      <c r="B48" s="28">
        <f>IF(TRIM('Preenchimento'!$C$57)="","",CHAR(149)&amp;"   "&amp;TRIM('Preenchimento'!$C$57))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276</v>
      </c>
      <c r="B49" s="28">
        <f>IF(TRIM('Preenchimento'!$C$58)="","",CHAR(149)&amp;"   "&amp;TRIM('Preenchimento'!$C$58))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274</v>
      </c>
    </row>
    <row r="51" spans="1:13" ht="19" customHeight="1">
      <c r="A51" s="24" t="s">
        <v>271</v>
      </c>
      <c r="B51" s="26" t="s">
        <v>283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276</v>
      </c>
      <c r="B52" s="28">
        <f>IF(TRIM('Preenchimento'!$C$61)="","",CHAR(149)&amp;"   "&amp;TRIM('Preenchimento'!$C$61))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276</v>
      </c>
      <c r="B53" s="28">
        <f>IF(TRIM('Preenchimento'!$C$62)="","",CHAR(149)&amp;"   "&amp;TRIM('Preenchimento'!$C$62))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276</v>
      </c>
      <c r="B54" s="28">
        <f>IF(TRIM('Preenchimento'!$C$63)="","",CHAR(149)&amp;"   "&amp;TRIM('Preenchimento'!$C$63))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276</v>
      </c>
      <c r="B55" s="28">
        <f>IF(TRIM('Preenchimento'!$C$64)="","",CHAR(149)&amp;"   "&amp;TRIM('Preenchimento'!$C$64))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274</v>
      </c>
    </row>
    <row r="57" spans="1:13" ht="19" customHeight="1">
      <c r="A57" s="24" t="s">
        <v>271</v>
      </c>
      <c r="B57" s="26" t="s">
        <v>284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273</v>
      </c>
      <c r="B58" s="16" t="s">
        <v>285</v>
      </c>
      <c r="C58" s="27">
        <f>IF(dObs="","",dObs)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274</v>
      </c>
    </row>
    <row r="60" spans="1:13" ht="21" customHeight="1">
      <c r="A60" s="24" t="s">
        <v>287</v>
      </c>
      <c r="B60" s="25" t="s">
        <v>286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288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289</v>
      </c>
      <c r="C62" s="30" t="s">
        <v>290</v>
      </c>
      <c r="D62" s="30" t="s">
        <v>291</v>
      </c>
      <c r="E62" s="30" t="s">
        <v>292</v>
      </c>
      <c r="F62" s="30" t="s">
        <v>293</v>
      </c>
      <c r="G62" s="30" t="s">
        <v>294</v>
      </c>
      <c r="H62" s="30" t="s">
        <v>295</v>
      </c>
      <c r="I62" s="30" t="s">
        <v>296</v>
      </c>
      <c r="J62" s="30" t="s">
        <v>297</v>
      </c>
      <c r="K62" s="30" t="s">
        <v>22</v>
      </c>
      <c r="L62" s="30" t="s">
        <v>298</v>
      </c>
      <c r="M62" s="30" t="s">
        <v>299</v>
      </c>
    </row>
    <row r="63" spans="1:13" ht="18" customHeight="1">
      <c r="A63" s="24" t="s">
        <v>300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301</v>
      </c>
      <c r="B64" s="32" t="s">
        <v>34</v>
      </c>
      <c r="C64" s="33" t="s">
        <v>35</v>
      </c>
      <c r="D64" s="34" t="s">
        <v>302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303</v>
      </c>
      <c r="B65" s="32"/>
      <c r="C65" s="33"/>
      <c r="D65" s="38" t="s">
        <v>304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305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306</v>
      </c>
      <c r="B67" s="39" t="s">
        <v>41</v>
      </c>
      <c r="C67" s="40" t="s">
        <v>42</v>
      </c>
      <c r="D67" s="41" t="s">
        <v>302</v>
      </c>
      <c r="E67" s="42"/>
      <c r="F67" s="42"/>
      <c r="G67" s="42"/>
      <c r="H67" s="42"/>
      <c r="I67" s="42"/>
      <c r="J67" s="42"/>
      <c r="K67" s="36">
        <f>IF(COUNT(E67:J67)=0,"",AVERAGE(E67:J67))</f>
        <v>0</v>
      </c>
      <c r="L67" s="43">
        <f>IF(COUNT(E67:J67)=0,"",MIN(E67:J67))</f>
        <v>0</v>
      </c>
      <c r="M67" s="43">
        <f>IF(COUNT(E67:J67)=0,"",MAX(E67:J67))</f>
        <v>0</v>
      </c>
    </row>
    <row r="68" spans="1:18" ht="17" customHeight="1">
      <c r="A68" s="24" t="s">
        <v>307</v>
      </c>
      <c r="B68" s="39"/>
      <c r="C68" s="40"/>
      <c r="D68" s="44" t="s">
        <v>304</v>
      </c>
      <c r="E68" s="42"/>
      <c r="F68" s="42"/>
      <c r="G68" s="42"/>
      <c r="H68" s="42"/>
      <c r="I68" s="42"/>
      <c r="J68" s="42"/>
      <c r="K68" s="36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</row>
    <row r="69" spans="1:18" ht="17" customHeight="1">
      <c r="A69" s="24" t="s">
        <v>308</v>
      </c>
      <c r="B69" s="32" t="s">
        <v>46</v>
      </c>
      <c r="C69" s="33" t="s">
        <v>42</v>
      </c>
      <c r="D69" s="34" t="s">
        <v>302</v>
      </c>
      <c r="E69" s="35"/>
      <c r="F69" s="35"/>
      <c r="G69" s="35"/>
      <c r="H69" s="35"/>
      <c r="I69" s="35"/>
      <c r="J69" s="35"/>
      <c r="K69" s="36">
        <f>IF(COUNT(E69:J69)=0,"",AVERAGE(E69:J69))</f>
        <v>0</v>
      </c>
      <c r="L69" s="37">
        <f>IF(COUNT(E69:J69)=0,"",MIN(E69:J69))</f>
        <v>0</v>
      </c>
      <c r="M69" s="37">
        <f>IF(COUNT(E69:J69)=0,"",MAX(E69:J69))</f>
        <v>0</v>
      </c>
    </row>
    <row r="70" spans="1:18" ht="17" customHeight="1">
      <c r="A70" s="24" t="s">
        <v>309</v>
      </c>
      <c r="B70" s="32"/>
      <c r="C70" s="33"/>
      <c r="D70" s="38" t="s">
        <v>304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7" customHeight="1">
      <c r="A71" s="24" t="s">
        <v>310</v>
      </c>
      <c r="B71" s="39" t="s">
        <v>49</v>
      </c>
      <c r="C71" s="40" t="s">
        <v>50</v>
      </c>
      <c r="D71" s="41" t="s">
        <v>302</v>
      </c>
      <c r="E71" s="45"/>
      <c r="F71" s="45"/>
      <c r="G71" s="45"/>
      <c r="H71" s="45"/>
      <c r="I71" s="45"/>
      <c r="J71" s="45"/>
      <c r="K71" s="46">
        <f>IF(COUNT(E71:J71)=0,"",AVERAGE(E71:J71))</f>
        <v>0</v>
      </c>
      <c r="L71" s="47">
        <f>IF(COUNT(E71:J71)=0,"",MIN(E71:J71))</f>
        <v>0</v>
      </c>
      <c r="M71" s="47">
        <f>IF(COUNT(E71:J71)=0,"",MAX(E71:J71))</f>
        <v>0</v>
      </c>
    </row>
    <row r="72" spans="1:18" ht="17" customHeight="1">
      <c r="A72" s="24" t="s">
        <v>311</v>
      </c>
      <c r="B72" s="39"/>
      <c r="C72" s="40"/>
      <c r="D72" s="44" t="s">
        <v>304</v>
      </c>
      <c r="E72" s="45"/>
      <c r="F72" s="45"/>
      <c r="G72" s="45"/>
      <c r="H72" s="45"/>
      <c r="I72" s="45"/>
      <c r="J72" s="45"/>
      <c r="K72" s="46">
        <f>IF(COUNT(E72:J72)=0,"",AVERAGE(E72:J72))</f>
        <v>0</v>
      </c>
      <c r="L72" s="47">
        <f>IF(COUNT(E72:J72)=0,"",MIN(E72:J72))</f>
        <v>0</v>
      </c>
      <c r="M72" s="47">
        <f>IF(COUNT(E72:J72)=0,"",MAX(E72:J72))</f>
        <v>0</v>
      </c>
    </row>
    <row r="73" spans="1:18" ht="17" customHeight="1">
      <c r="A73" s="24" t="s">
        <v>312</v>
      </c>
      <c r="B73" s="32" t="s">
        <v>53</v>
      </c>
      <c r="C73" s="33" t="s">
        <v>50</v>
      </c>
      <c r="D73" s="34" t="s">
        <v>302</v>
      </c>
      <c r="E73" s="48"/>
      <c r="F73" s="48"/>
      <c r="G73" s="48"/>
      <c r="H73" s="48"/>
      <c r="I73" s="48"/>
      <c r="J73" s="48"/>
      <c r="K73" s="49">
        <f>IF(COUNT(E73:J73)=0,"",AVERAGE(E73:J73))</f>
        <v>0</v>
      </c>
      <c r="L73" s="50">
        <f>IF(COUNT(E73:J73)=0,"",MIN(E73:J73))</f>
        <v>0</v>
      </c>
      <c r="M73" s="50">
        <f>IF(COUNT(E73:J73)=0,"",MAX(E73:J73))</f>
        <v>0</v>
      </c>
    </row>
    <row r="74" spans="1:18" ht="17" customHeight="1">
      <c r="A74" s="24" t="s">
        <v>313</v>
      </c>
      <c r="B74" s="32"/>
      <c r="C74" s="33"/>
      <c r="D74" s="38" t="s">
        <v>304</v>
      </c>
      <c r="E74" s="48"/>
      <c r="F74" s="48"/>
      <c r="G74" s="48"/>
      <c r="H74" s="48"/>
      <c r="I74" s="48"/>
      <c r="J74" s="48"/>
      <c r="K74" s="49">
        <f>IF(COUNT(E74:J74)=0,"",AVERAGE(E74:J74))</f>
        <v>0</v>
      </c>
      <c r="L74" s="50">
        <f>IF(COUNT(E74:J74)=0,"",MIN(E74:J74))</f>
        <v>0</v>
      </c>
      <c r="M74" s="50">
        <f>IF(COUNT(E74:J74)=0,"",MAX(E74:J74))</f>
        <v>0</v>
      </c>
    </row>
    <row r="75" spans="1:18" ht="17" customHeight="1">
      <c r="A75" s="24" t="s">
        <v>314</v>
      </c>
      <c r="B75" s="39" t="s">
        <v>56</v>
      </c>
      <c r="C75" s="40" t="s">
        <v>50</v>
      </c>
      <c r="D75" s="41" t="s">
        <v>302</v>
      </c>
      <c r="E75" s="51"/>
      <c r="F75" s="51"/>
      <c r="G75" s="51"/>
      <c r="H75" s="51"/>
      <c r="I75" s="51"/>
      <c r="J75" s="51"/>
      <c r="K75" s="49">
        <f>IF(COUNT(E75:J75)=0,"",AVERAGE(E75:J75))</f>
        <v>0</v>
      </c>
      <c r="L75" s="52">
        <f>IF(COUNT(E75:J75)=0,"",MIN(E75:J75))</f>
        <v>0</v>
      </c>
      <c r="M75" s="52">
        <f>IF(COUNT(E75:J75)=0,"",MAX(E75:J75))</f>
        <v>0</v>
      </c>
    </row>
    <row r="76" spans="1:18" ht="17" customHeight="1">
      <c r="A76" s="24" t="s">
        <v>315</v>
      </c>
      <c r="B76" s="39"/>
      <c r="C76" s="40"/>
      <c r="D76" s="44" t="s">
        <v>304</v>
      </c>
      <c r="E76" s="51"/>
      <c r="F76" s="51"/>
      <c r="G76" s="51"/>
      <c r="H76" s="51"/>
      <c r="I76" s="51"/>
      <c r="J76" s="51"/>
      <c r="K76" s="49">
        <f>IF(COUNT(E76:J76)=0,"",AVERAGE(E76:J76))</f>
        <v>0</v>
      </c>
      <c r="L76" s="52">
        <f>IF(COUNT(E76:J76)=0,"",MIN(E76:J76))</f>
        <v>0</v>
      </c>
      <c r="M76" s="52">
        <f>IF(COUNT(E76:J76)=0,"",MAX(E76:J76))</f>
        <v>0</v>
      </c>
    </row>
    <row r="77" spans="1:18" ht="18" customHeight="1">
      <c r="A77" s="24" t="s">
        <v>316</v>
      </c>
      <c r="B77" s="31" t="s">
        <v>59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</row>
    <row r="78" spans="1:18" ht="17" customHeight="1">
      <c r="A78" s="24" t="s">
        <v>317</v>
      </c>
      <c r="B78" s="32" t="s">
        <v>60</v>
      </c>
      <c r="C78" s="33" t="s">
        <v>50</v>
      </c>
      <c r="D78" s="34" t="s">
        <v>318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  <c r="Q78">
        <f>IFERROR(IF(INDEX('Limites'!$R:$R,MATCH(IF(dProdUS3="",dProdUS4,dProdUS3),'Limites'!$B:$B,0))="","",INDEX('Limites'!$R:$R,MATCH(IF(dProdUS3="",dProdUS4,dProdUS3),'Limites'!$B:$B,0))),"")</f>
        <v>0</v>
      </c>
      <c r="R78">
        <f>IFERROR(IF(INDEX('Limites'!$S:$S,MATCH(IF(dProdUS3="",dProdUS4,dProdUS3),'Limites'!$B:$B,0))="","",INDEX('Limites'!$S:$S,MATCH(IF(dProdUS3="",dProdUS4,dProdUS3),'Limites'!$B:$B,0))),"")</f>
        <v>0</v>
      </c>
    </row>
    <row r="79" spans="1:18" ht="17" customHeight="1">
      <c r="A79" s="24" t="s">
        <v>319</v>
      </c>
      <c r="B79" s="39" t="s">
        <v>62</v>
      </c>
      <c r="C79" s="40" t="s">
        <v>50</v>
      </c>
      <c r="D79" s="41" t="s">
        <v>318</v>
      </c>
      <c r="E79" s="51"/>
      <c r="F79" s="51"/>
      <c r="G79" s="51"/>
      <c r="H79" s="51"/>
      <c r="I79" s="51"/>
      <c r="J79" s="51"/>
      <c r="K79" s="49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  <c r="Q79">
        <f>IFERROR(IF(INDEX('Limites'!$P:$P,MATCH(IF(dProdUS3="",dProdUS4,dProdUS3),'Limites'!$B:$B,0))="","",INDEX('Limites'!$P:$P,MATCH(IF(dProdUS3="",dProdUS4,dProdUS3),'Limites'!$B:$B,0))),"")</f>
        <v>0</v>
      </c>
      <c r="R79">
        <f>IFERROR(IF(INDEX('Limites'!$Q:$Q,MATCH(IF(dProdUS3="",dProdUS4,dProdUS3),'Limites'!$B:$B,0))="","",INDEX('Limites'!$Q:$Q,MATCH(IF(dProdUS3="",dProdUS4,dProdUS3),'Limites'!$B:$B,0))),"")</f>
        <v>0</v>
      </c>
    </row>
    <row r="80" spans="1:18" ht="17" customHeight="1">
      <c r="A80" s="24" t="s">
        <v>320</v>
      </c>
      <c r="B80" s="32" t="s">
        <v>64</v>
      </c>
      <c r="C80" s="33" t="s">
        <v>50</v>
      </c>
      <c r="D80" s="34" t="s">
        <v>318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8" ht="18" customHeight="1">
      <c r="A81" s="24" t="s">
        <v>321</v>
      </c>
      <c r="B81" s="31" t="s">
        <v>66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8" ht="17" customHeight="1">
      <c r="A82" s="24" t="s">
        <v>322</v>
      </c>
      <c r="B82" s="39" t="s">
        <v>62</v>
      </c>
      <c r="C82" s="40" t="s">
        <v>50</v>
      </c>
      <c r="D82" s="41" t="s">
        <v>302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  <c r="Q82">
        <f>IFERROR(IF(INDEX('Limites'!$D:$D,MATCH(dProdUS3,'Limites'!$B:$B,0))="","",INDEX('Limites'!$D:$D,MATCH(dProdUS3,'Limites'!$B:$B,0))),"")</f>
        <v>0</v>
      </c>
      <c r="R82">
        <f>IFERROR(IF(INDEX('Limites'!$E:$E,MATCH(dProdUS3,'Limites'!$B:$B,0))="","",INDEX('Limites'!$E:$E,MATCH(dProdUS3,'Limites'!$B:$B,0))),"")</f>
        <v>0</v>
      </c>
    </row>
    <row r="83" spans="1:18" ht="17" customHeight="1">
      <c r="A83" s="24" t="s">
        <v>323</v>
      </c>
      <c r="B83" s="39"/>
      <c r="C83" s="40"/>
      <c r="D83" s="44" t="s">
        <v>304</v>
      </c>
      <c r="E83" s="51"/>
      <c r="F83" s="51"/>
      <c r="G83" s="51"/>
      <c r="H83" s="51"/>
      <c r="I83" s="51"/>
      <c r="J83" s="51"/>
      <c r="K83" s="49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  <c r="Q83">
        <f>IFERROR(IF(INDEX('Limites'!$D:$D,MATCH(dProdUS4,'Limites'!$B:$B,0))="","",INDEX('Limites'!$D:$D,MATCH(dProdUS4,'Limites'!$B:$B,0))),"")</f>
        <v>0</v>
      </c>
      <c r="R83">
        <f>IFERROR(IF(INDEX('Limites'!$E:$E,MATCH(dProdUS4,'Limites'!$B:$B,0))="","",INDEX('Limites'!$E:$E,MATCH(dProdUS4,'Limites'!$B:$B,0))),"")</f>
        <v>0</v>
      </c>
    </row>
    <row r="84" spans="1:18" ht="17" customHeight="1">
      <c r="A84" s="24" t="s">
        <v>324</v>
      </c>
      <c r="B84" s="32" t="s">
        <v>64</v>
      </c>
      <c r="C84" s="33" t="s">
        <v>50</v>
      </c>
      <c r="D84" s="34" t="s">
        <v>302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  <c r="Q84">
        <f>IFERROR(IF(INDEX('Limites'!$F:$F,MATCH(dProdUS3,'Limites'!$B:$B,0))="","",INDEX('Limites'!$F:$F,MATCH(dProdUS3,'Limites'!$B:$B,0))),"")</f>
        <v>0</v>
      </c>
      <c r="R84">
        <f>IFERROR(IF(INDEX('Limites'!$G:$G,MATCH(dProdUS3,'Limites'!$B:$B,0))="","",INDEX('Limites'!$G:$G,MATCH(dProdUS3,'Limites'!$B:$B,0))),"")</f>
        <v>0</v>
      </c>
    </row>
    <row r="85" spans="1:18" ht="17" customHeight="1">
      <c r="A85" s="24" t="s">
        <v>325</v>
      </c>
      <c r="B85" s="32"/>
      <c r="C85" s="33"/>
      <c r="D85" s="38" t="s">
        <v>304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  <c r="Q85">
        <f>IFERROR(IF(INDEX('Limites'!$F:$F,MATCH(dProdUS4,'Limites'!$B:$B,0))="","",INDEX('Limites'!$F:$F,MATCH(dProdUS4,'Limites'!$B:$B,0))),"")</f>
        <v>0</v>
      </c>
      <c r="R85">
        <f>IFERROR(IF(INDEX('Limites'!$G:$G,MATCH(dProdUS4,'Limites'!$B:$B,0))="","",INDEX('Limites'!$G:$G,MATCH(dProdUS4,'Limites'!$B:$B,0))),"")</f>
        <v>0</v>
      </c>
    </row>
    <row r="86" spans="1:18" ht="17" customHeight="1">
      <c r="A86" s="24" t="s">
        <v>326</v>
      </c>
      <c r="B86" s="39" t="s">
        <v>71</v>
      </c>
      <c r="C86" s="40" t="s">
        <v>72</v>
      </c>
      <c r="D86" s="41" t="s">
        <v>302</v>
      </c>
      <c r="E86" s="51"/>
      <c r="F86" s="51"/>
      <c r="G86" s="51"/>
      <c r="H86" s="51"/>
      <c r="I86" s="51"/>
      <c r="J86" s="51"/>
      <c r="K86" s="49">
        <f>IF(COUNT(E86:J86)=0,"",AVERAGE(E86:J86))</f>
        <v>0</v>
      </c>
      <c r="L86" s="52">
        <f>IF(COUNT(E86:J86)=0,"",MIN(E86:J86))</f>
        <v>0</v>
      </c>
      <c r="M86" s="52">
        <f>IF(COUNT(E86:J86)=0,"",MAX(E86:J86))</f>
        <v>0</v>
      </c>
      <c r="Q86">
        <f>IFERROR(IF(INDEX('Limites'!$H:$H,MATCH(dProdUS3,'Limites'!$B:$B,0))="","",INDEX('Limites'!$H:$H,MATCH(dProdUS3,'Limites'!$B:$B,0))),"")</f>
        <v>0</v>
      </c>
      <c r="R86">
        <f>IFERROR(IF(INDEX('Limites'!$I:$I,MATCH(dProdUS3,'Limites'!$B:$B,0))="","",INDEX('Limites'!$I:$I,MATCH(dProdUS3,'Limites'!$B:$B,0))),"")</f>
        <v>0</v>
      </c>
    </row>
    <row r="87" spans="1:18" ht="17" customHeight="1">
      <c r="A87" s="24" t="s">
        <v>327</v>
      </c>
      <c r="B87" s="39"/>
      <c r="C87" s="40"/>
      <c r="D87" s="44" t="s">
        <v>304</v>
      </c>
      <c r="E87" s="51"/>
      <c r="F87" s="51"/>
      <c r="G87" s="51"/>
      <c r="H87" s="51"/>
      <c r="I87" s="51"/>
      <c r="J87" s="51"/>
      <c r="K87" s="49">
        <f>IF(COUNT(E87:J87)=0,"",AVERAGE(E87:J87))</f>
        <v>0</v>
      </c>
      <c r="L87" s="52">
        <f>IF(COUNT(E87:J87)=0,"",MIN(E87:J87))</f>
        <v>0</v>
      </c>
      <c r="M87" s="52">
        <f>IF(COUNT(E87:J87)=0,"",MAX(E87:J87))</f>
        <v>0</v>
      </c>
      <c r="Q87">
        <f>IFERROR(IF(INDEX('Limites'!$H:$H,MATCH(dProdUS4,'Limites'!$B:$B,0))="","",INDEX('Limites'!$H:$H,MATCH(dProdUS4,'Limites'!$B:$B,0))),"")</f>
        <v>0</v>
      </c>
      <c r="R87">
        <f>IFERROR(IF(INDEX('Limites'!$I:$I,MATCH(dProdUS4,'Limites'!$B:$B,0))="","",INDEX('Limites'!$I:$I,MATCH(dProdUS4,'Limites'!$B:$B,0))),"")</f>
        <v>0</v>
      </c>
    </row>
    <row r="88" spans="1:18" ht="17" customHeight="1">
      <c r="A88" s="24" t="s">
        <v>328</v>
      </c>
      <c r="B88" s="32" t="s">
        <v>75</v>
      </c>
      <c r="C88" s="33" t="s">
        <v>76</v>
      </c>
      <c r="D88" s="34" t="s">
        <v>302</v>
      </c>
      <c r="E88" s="53"/>
      <c r="F88" s="53"/>
      <c r="G88" s="53"/>
      <c r="H88" s="53"/>
      <c r="I88" s="53"/>
      <c r="J88" s="53"/>
      <c r="K88" s="46">
        <f>IF(COUNT(E88:J88)=0,"",AVERAGE(E88:J88))</f>
        <v>0</v>
      </c>
      <c r="L88" s="54">
        <f>IF(COUNT(E88:J88)=0,"",MIN(E88:J88))</f>
        <v>0</v>
      </c>
      <c r="M88" s="54">
        <f>IF(COUNT(E88:J88)=0,"",MAX(E88:J88))</f>
        <v>0</v>
      </c>
    </row>
    <row r="89" spans="1:18" ht="17" customHeight="1">
      <c r="A89" s="24" t="s">
        <v>329</v>
      </c>
      <c r="B89" s="32"/>
      <c r="C89" s="33"/>
      <c r="D89" s="38" t="s">
        <v>304</v>
      </c>
      <c r="E89" s="53"/>
      <c r="F89" s="53"/>
      <c r="G89" s="53"/>
      <c r="H89" s="53"/>
      <c r="I89" s="53"/>
      <c r="J89" s="53"/>
      <c r="K89" s="46">
        <f>IF(COUNT(E89:J89)=0,"",AVERAGE(E89:J89))</f>
        <v>0</v>
      </c>
      <c r="L89" s="54">
        <f>IF(COUNT(E89:J89)=0,"",MIN(E89:J89))</f>
        <v>0</v>
      </c>
      <c r="M89" s="54">
        <f>IF(COUNT(E89:J89)=0,"",MAX(E89:J89))</f>
        <v>0</v>
      </c>
    </row>
    <row r="90" spans="1:18" ht="17" customHeight="1">
      <c r="A90" s="24" t="s">
        <v>330</v>
      </c>
      <c r="B90" s="39" t="s">
        <v>79</v>
      </c>
      <c r="C90" s="40" t="s">
        <v>50</v>
      </c>
      <c r="D90" s="41" t="s">
        <v>302</v>
      </c>
      <c r="E90" s="51"/>
      <c r="F90" s="51"/>
      <c r="G90" s="51"/>
      <c r="H90" s="51"/>
      <c r="I90" s="51"/>
      <c r="J90" s="51"/>
      <c r="K90" s="49">
        <f>IF(COUNT(E90:J90)=0,"",AVERAGE(E90:J90))</f>
        <v>0</v>
      </c>
      <c r="L90" s="52">
        <f>IF(COUNT(E90:J90)=0,"",MIN(E90:J90))</f>
        <v>0</v>
      </c>
      <c r="M90" s="52">
        <f>IF(COUNT(E90:J90)=0,"",MAX(E90:J90))</f>
        <v>0</v>
      </c>
    </row>
    <row r="91" spans="1:18" ht="17" customHeight="1">
      <c r="A91" s="24" t="s">
        <v>331</v>
      </c>
      <c r="B91" s="39"/>
      <c r="C91" s="40"/>
      <c r="D91" s="44" t="s">
        <v>304</v>
      </c>
      <c r="E91" s="51"/>
      <c r="F91" s="51"/>
      <c r="G91" s="51"/>
      <c r="H91" s="51"/>
      <c r="I91" s="51"/>
      <c r="J91" s="51"/>
      <c r="K91" s="49">
        <f>IF(COUNT(E91:J91)=0,"",AVERAGE(E91:J91))</f>
        <v>0</v>
      </c>
      <c r="L91" s="52">
        <f>IF(COUNT(E91:J91)=0,"",MIN(E91:J91))</f>
        <v>0</v>
      </c>
      <c r="M91" s="52">
        <f>IF(COUNT(E91:J91)=0,"",MAX(E91:J91))</f>
        <v>0</v>
      </c>
    </row>
    <row r="92" spans="1:18" ht="18" customHeight="1">
      <c r="A92" s="24" t="s">
        <v>332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8" ht="17" customHeight="1">
      <c r="A93" s="24" t="s">
        <v>333</v>
      </c>
      <c r="B93" s="32" t="s">
        <v>83</v>
      </c>
      <c r="C93" s="33" t="s">
        <v>50</v>
      </c>
      <c r="D93" s="34" t="s">
        <v>302</v>
      </c>
      <c r="E93" s="53"/>
      <c r="F93" s="53"/>
      <c r="G93" s="53"/>
      <c r="H93" s="53"/>
      <c r="I93" s="53"/>
      <c r="J93" s="53"/>
      <c r="K93" s="46">
        <f>IF(COUNT(E93:J93)=0,"",AVERAGE(E93:J93))</f>
        <v>0</v>
      </c>
      <c r="L93" s="54">
        <f>IF(COUNT(E93:J93)=0,"",MIN(E93:J93))</f>
        <v>0</v>
      </c>
      <c r="M93" s="54">
        <f>IF(COUNT(E93:J93)=0,"",MAX(E93:J93))</f>
        <v>0</v>
      </c>
    </row>
    <row r="94" spans="1:18" ht="17" customHeight="1">
      <c r="A94" s="24" t="s">
        <v>334</v>
      </c>
      <c r="B94" s="32"/>
      <c r="C94" s="33"/>
      <c r="D94" s="38" t="s">
        <v>304</v>
      </c>
      <c r="E94" s="53"/>
      <c r="F94" s="53"/>
      <c r="G94" s="53"/>
      <c r="H94" s="53"/>
      <c r="I94" s="53"/>
      <c r="J94" s="53"/>
      <c r="K94" s="46">
        <f>IF(COUNT(E94:J94)=0,"",AVERAGE(E94:J94))</f>
        <v>0</v>
      </c>
      <c r="L94" s="54">
        <f>IF(COUNT(E94:J94)=0,"",MIN(E94:J94))</f>
        <v>0</v>
      </c>
      <c r="M94" s="54">
        <f>IF(COUNT(E94:J94)=0,"",MAX(E94:J94))</f>
        <v>0</v>
      </c>
    </row>
    <row r="95" spans="1:18" ht="17" customHeight="1">
      <c r="A95" s="24" t="s">
        <v>335</v>
      </c>
      <c r="B95" s="39" t="s">
        <v>86</v>
      </c>
      <c r="C95" s="40" t="s">
        <v>72</v>
      </c>
      <c r="D95" s="41" t="s">
        <v>302</v>
      </c>
      <c r="E95" s="51"/>
      <c r="F95" s="51"/>
      <c r="G95" s="51"/>
      <c r="H95" s="51"/>
      <c r="I95" s="51"/>
      <c r="J95" s="51"/>
      <c r="K95" s="49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  <c r="Q95">
        <f>IFERROR(IF(INDEX('Limites'!$N:$N,MATCH(dProdUS3,'Limites'!$B:$B,0))="","",INDEX('Limites'!$N:$N,MATCH(dProdUS3,'Limites'!$B:$B,0))),"")</f>
        <v>0</v>
      </c>
      <c r="R95">
        <f>IFERROR(IF(INDEX('Limites'!$O:$O,MATCH(dProdUS3,'Limites'!$B:$B,0))="","",INDEX('Limites'!$O:$O,MATCH(dProdUS3,'Limites'!$B:$B,0))),"")</f>
        <v>0</v>
      </c>
    </row>
    <row r="96" spans="1:18" ht="17" customHeight="1">
      <c r="A96" s="24" t="s">
        <v>336</v>
      </c>
      <c r="B96" s="39"/>
      <c r="C96" s="40"/>
      <c r="D96" s="44" t="s">
        <v>304</v>
      </c>
      <c r="E96" s="51"/>
      <c r="F96" s="51"/>
      <c r="G96" s="51"/>
      <c r="H96" s="51"/>
      <c r="I96" s="51"/>
      <c r="J96" s="51"/>
      <c r="K96" s="49">
        <f>IF(COUNT(E96:J96)=0,"",AVERAGE(E96:J96))</f>
        <v>0</v>
      </c>
      <c r="L96" s="52">
        <f>IF(COUNT(E96:J96)=0,"",MIN(E96:J96))</f>
        <v>0</v>
      </c>
      <c r="M96" s="52">
        <f>IF(COUNT(E96:J96)=0,"",MAX(E96:J96))</f>
        <v>0</v>
      </c>
      <c r="Q96">
        <f>IFERROR(IF(INDEX('Limites'!$N:$N,MATCH(dProdUS4,'Limites'!$B:$B,0))="","",INDEX('Limites'!$N:$N,MATCH(dProdUS4,'Limites'!$B:$B,0))),"")</f>
        <v>0</v>
      </c>
      <c r="R96">
        <f>IFERROR(IF(INDEX('Limites'!$O:$O,MATCH(dProdUS4,'Limites'!$B:$B,0))="","",INDEX('Limites'!$O:$O,MATCH(dProdUS4,'Limites'!$B:$B,0))),"")</f>
        <v>0</v>
      </c>
    </row>
    <row r="97" spans="1:18" ht="17" customHeight="1">
      <c r="A97" s="24" t="s">
        <v>337</v>
      </c>
      <c r="B97" s="32" t="s">
        <v>89</v>
      </c>
      <c r="C97" s="33" t="s">
        <v>50</v>
      </c>
      <c r="D97" s="34" t="s">
        <v>302</v>
      </c>
      <c r="E97" s="53"/>
      <c r="F97" s="53"/>
      <c r="G97" s="53"/>
      <c r="H97" s="53"/>
      <c r="I97" s="53"/>
      <c r="J97" s="53"/>
      <c r="K97" s="46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  <c r="Q97">
        <f>IFERROR(IF(INDEX('Limites'!$J:$J,MATCH(dProdUS3,'Limites'!$B:$B,0))="","",INDEX('Limites'!$J:$J,MATCH(dProdUS3,'Limites'!$B:$B,0))),"")</f>
        <v>0</v>
      </c>
      <c r="R97">
        <f>IFERROR(IF(INDEX('Limites'!$K:$K,MATCH(dProdUS3,'Limites'!$B:$B,0))="","",INDEX('Limites'!$K:$K,MATCH(dProdUS3,'Limites'!$B:$B,0))),"")</f>
        <v>0</v>
      </c>
    </row>
    <row r="98" spans="1:18" ht="17" customHeight="1">
      <c r="A98" s="24" t="s">
        <v>338</v>
      </c>
      <c r="B98" s="32"/>
      <c r="C98" s="33"/>
      <c r="D98" s="38" t="s">
        <v>304</v>
      </c>
      <c r="E98" s="53"/>
      <c r="F98" s="53"/>
      <c r="G98" s="53"/>
      <c r="H98" s="53"/>
      <c r="I98" s="53"/>
      <c r="J98" s="53"/>
      <c r="K98" s="46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  <c r="Q98">
        <f>IFERROR(IF(INDEX('Limites'!$J:$J,MATCH(dProdUS4,'Limites'!$B:$B,0))="","",INDEX('Limites'!$J:$J,MATCH(dProdUS4,'Limites'!$B:$B,0))),"")</f>
        <v>0</v>
      </c>
      <c r="R98">
        <f>IFERROR(IF(INDEX('Limites'!$K:$K,MATCH(dProdUS4,'Limites'!$B:$B,0))="","",INDEX('Limites'!$K:$K,MATCH(dProdUS4,'Limites'!$B:$B,0))),"")</f>
        <v>0</v>
      </c>
    </row>
    <row r="99" spans="1:18" ht="17" customHeight="1">
      <c r="A99" s="24" t="s">
        <v>339</v>
      </c>
      <c r="B99" s="39" t="s">
        <v>92</v>
      </c>
      <c r="C99" s="40" t="s">
        <v>93</v>
      </c>
      <c r="D99" s="41" t="s">
        <v>302</v>
      </c>
      <c r="E99" s="42"/>
      <c r="F99" s="42"/>
      <c r="G99" s="42"/>
      <c r="H99" s="42"/>
      <c r="I99" s="42"/>
      <c r="J99" s="42"/>
      <c r="K99" s="36">
        <f>IF(COUNT(E99:J99)=0,"",AVERAGE(E99:J99))</f>
        <v>0</v>
      </c>
      <c r="L99" s="43">
        <f>IF(COUNT(E99:J99)=0,"",MIN(E99:J99))</f>
        <v>0</v>
      </c>
      <c r="M99" s="43">
        <f>IF(COUNT(E99:J99)=0,"",MAX(E99:J99))</f>
        <v>0</v>
      </c>
    </row>
    <row r="100" spans="1:18" ht="17" customHeight="1">
      <c r="A100" s="24" t="s">
        <v>340</v>
      </c>
      <c r="B100" s="39"/>
      <c r="C100" s="40"/>
      <c r="D100" s="44" t="s">
        <v>304</v>
      </c>
      <c r="E100" s="42"/>
      <c r="F100" s="42"/>
      <c r="G100" s="42"/>
      <c r="H100" s="42"/>
      <c r="I100" s="42"/>
      <c r="J100" s="42"/>
      <c r="K100" s="36">
        <f>IF(COUNT(E100:J100)=0,"",AVERAGE(E100:J100))</f>
        <v>0</v>
      </c>
      <c r="L100" s="43">
        <f>IF(COUNT(E100:J100)=0,"",MIN(E100:J100))</f>
        <v>0</v>
      </c>
      <c r="M100" s="43">
        <f>IF(COUNT(E100:J100)=0,"",MAX(E100:J100))</f>
        <v>0</v>
      </c>
    </row>
    <row r="101" spans="1:18" ht="17" customHeight="1">
      <c r="A101" s="24" t="s">
        <v>341</v>
      </c>
      <c r="B101" s="32" t="s">
        <v>96</v>
      </c>
      <c r="C101" s="33" t="s">
        <v>50</v>
      </c>
      <c r="D101" s="34" t="s">
        <v>302</v>
      </c>
      <c r="E101" s="35"/>
      <c r="F101" s="35"/>
      <c r="G101" s="35"/>
      <c r="H101" s="35"/>
      <c r="I101" s="35"/>
      <c r="J101" s="35"/>
      <c r="K101" s="36">
        <f>IF(COUNT(E101:J101)=0,"",AVERAGE(E101:J101))</f>
        <v>0</v>
      </c>
      <c r="L101" s="37">
        <f>IF(COUNT(E101:J101)=0,"",MIN(E101:J101))</f>
        <v>0</v>
      </c>
      <c r="M101" s="37">
        <f>IF(COUNT(E101:J101)=0,"",MAX(E101:J101))</f>
        <v>0</v>
      </c>
    </row>
    <row r="102" spans="1:18" ht="17" customHeight="1">
      <c r="A102" s="24" t="s">
        <v>342</v>
      </c>
      <c r="B102" s="32"/>
      <c r="C102" s="33"/>
      <c r="D102" s="38" t="s">
        <v>304</v>
      </c>
      <c r="E102" s="35"/>
      <c r="F102" s="35"/>
      <c r="G102" s="35"/>
      <c r="H102" s="35"/>
      <c r="I102" s="35"/>
      <c r="J102" s="35"/>
      <c r="K102" s="36">
        <f>IF(COUNT(E102:J102)=0,"",AVERAGE(E102:J102))</f>
        <v>0</v>
      </c>
      <c r="L102" s="37">
        <f>IF(COUNT(E102:J102)=0,"",MIN(E102:J102))</f>
        <v>0</v>
      </c>
      <c r="M102" s="37">
        <f>IF(COUNT(E102:J102)=0,"",MAX(E102:J102))</f>
        <v>0</v>
      </c>
    </row>
    <row r="103" spans="1:18" ht="17" customHeight="1">
      <c r="A103" s="24" t="s">
        <v>343</v>
      </c>
      <c r="B103" s="39" t="s">
        <v>99</v>
      </c>
      <c r="C103" s="40" t="s">
        <v>50</v>
      </c>
      <c r="D103" s="41" t="s">
        <v>302</v>
      </c>
      <c r="E103" s="45"/>
      <c r="F103" s="45"/>
      <c r="G103" s="45"/>
      <c r="H103" s="45"/>
      <c r="I103" s="45"/>
      <c r="J103" s="45"/>
      <c r="K103" s="46">
        <f>IF(COUNT(E103:J103)=0,"",AVERAGE(E103:J103))</f>
        <v>0</v>
      </c>
      <c r="L103" s="47">
        <f>IF(COUNT(E103:J103)=0,"",MIN(E103:J103))</f>
        <v>0</v>
      </c>
      <c r="M103" s="47">
        <f>IF(COUNT(E103:J103)=0,"",MAX(E103:J103))</f>
        <v>0</v>
      </c>
      <c r="Q103">
        <f>IFERROR(IF(INDEX('Limites'!$L:$L,MATCH(dProdUS3,'Limites'!$B:$B,0))="","",INDEX('Limites'!$L:$L,MATCH(dProdUS3,'Limites'!$B:$B,0))),"")</f>
        <v>0</v>
      </c>
      <c r="R103">
        <f>IFERROR(IF(INDEX('Limites'!$M:$M,MATCH(dProdUS3,'Limites'!$B:$B,0))="","",INDEX('Limites'!$M:$M,MATCH(dProdUS3,'Limites'!$B:$B,0))),"")</f>
        <v>0</v>
      </c>
    </row>
    <row r="104" spans="1:18" ht="17" customHeight="1">
      <c r="A104" s="24" t="s">
        <v>344</v>
      </c>
      <c r="B104" s="39"/>
      <c r="C104" s="40"/>
      <c r="D104" s="44" t="s">
        <v>304</v>
      </c>
      <c r="E104" s="45"/>
      <c r="F104" s="45"/>
      <c r="G104" s="45"/>
      <c r="H104" s="45"/>
      <c r="I104" s="45"/>
      <c r="J104" s="45"/>
      <c r="K104" s="46">
        <f>IF(COUNT(E104:J104)=0,"",AVERAGE(E104:J104))</f>
        <v>0</v>
      </c>
      <c r="L104" s="47">
        <f>IF(COUNT(E104:J104)=0,"",MIN(E104:J104))</f>
        <v>0</v>
      </c>
      <c r="M104" s="47">
        <f>IF(COUNT(E104:J104)=0,"",MAX(E104:J104))</f>
        <v>0</v>
      </c>
      <c r="Q104">
        <f>IFERROR(IF(INDEX('Limites'!$L:$L,MATCH(dProdUS4,'Limites'!$B:$B,0))="","",INDEX('Limites'!$L:$L,MATCH(dProdUS4,'Limites'!$B:$B,0))),"")</f>
        <v>0</v>
      </c>
      <c r="R104">
        <f>IFERROR(IF(INDEX('Limites'!$M:$M,MATCH(dProdUS4,'Limites'!$B:$B,0))="","",INDEX('Limites'!$M:$M,MATCH(dProdUS4,'Limites'!$B:$B,0))),"")</f>
        <v>0</v>
      </c>
    </row>
    <row r="105" spans="1:18" ht="17" customHeight="1">
      <c r="A105" s="24" t="s">
        <v>345</v>
      </c>
      <c r="B105" s="32" t="s">
        <v>62</v>
      </c>
      <c r="C105" s="33" t="s">
        <v>50</v>
      </c>
      <c r="D105" s="34" t="s">
        <v>302</v>
      </c>
      <c r="E105" s="48"/>
      <c r="F105" s="48"/>
      <c r="G105" s="48"/>
      <c r="H105" s="48"/>
      <c r="I105" s="48"/>
      <c r="J105" s="48"/>
      <c r="K105" s="49">
        <f>IF(COUNT(E105:J105)=0,"",AVERAGE(E105:J105))</f>
        <v>0</v>
      </c>
      <c r="L105" s="50">
        <f>IF(COUNT(E105:J105)=0,"",MIN(E105:J105))</f>
        <v>0</v>
      </c>
      <c r="M105" s="50">
        <f>IF(COUNT(E105:J105)=0,"",MAX(E105:J105))</f>
        <v>0</v>
      </c>
      <c r="Q105">
        <f>IFERROR(IF(INDEX('Limites'!$D:$D,MATCH(dProdUS3,'Limites'!$B:$B,0))="","",INDEX('Limites'!$D:$D,MATCH(dProdUS3,'Limites'!$B:$B,0))),"")</f>
        <v>0</v>
      </c>
      <c r="R105">
        <f>IFERROR(IF(INDEX('Limites'!$E:$E,MATCH(dProdUS3,'Limites'!$B:$B,0))="","",INDEX('Limites'!$E:$E,MATCH(dProdUS3,'Limites'!$B:$B,0))),"")</f>
        <v>0</v>
      </c>
    </row>
    <row r="106" spans="1:18" ht="17" customHeight="1">
      <c r="A106" s="24" t="s">
        <v>346</v>
      </c>
      <c r="B106" s="32"/>
      <c r="C106" s="33"/>
      <c r="D106" s="38" t="s">
        <v>304</v>
      </c>
      <c r="E106" s="48"/>
      <c r="F106" s="48"/>
      <c r="G106" s="48"/>
      <c r="H106" s="48"/>
      <c r="I106" s="48"/>
      <c r="J106" s="48"/>
      <c r="K106" s="49">
        <f>IF(COUNT(E106:J106)=0,"",AVERAGE(E106:J106))</f>
        <v>0</v>
      </c>
      <c r="L106" s="50">
        <f>IF(COUNT(E106:J106)=0,"",MIN(E106:J106))</f>
        <v>0</v>
      </c>
      <c r="M106" s="50">
        <f>IF(COUNT(E106:J106)=0,"",MAX(E106:J106))</f>
        <v>0</v>
      </c>
      <c r="Q106">
        <f>IFERROR(IF(INDEX('Limites'!$D:$D,MATCH(dProdUS4,'Limites'!$B:$B,0))="","",INDEX('Limites'!$D:$D,MATCH(dProdUS4,'Limites'!$B:$B,0))),"")</f>
        <v>0</v>
      </c>
      <c r="R106">
        <f>IFERROR(IF(INDEX('Limites'!$E:$E,MATCH(dProdUS4,'Limites'!$B:$B,0))="","",INDEX('Limites'!$E:$E,MATCH(dProdUS4,'Limites'!$B:$B,0))),"")</f>
        <v>0</v>
      </c>
    </row>
    <row r="107" spans="1:18" ht="18" customHeight="1">
      <c r="A107" s="24" t="s">
        <v>347</v>
      </c>
      <c r="B107" s="31" t="s">
        <v>104</v>
      </c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</row>
    <row r="108" spans="1:18" ht="17" customHeight="1">
      <c r="A108" s="24" t="s">
        <v>348</v>
      </c>
      <c r="B108" s="39" t="s">
        <v>104</v>
      </c>
      <c r="C108" s="40" t="s">
        <v>105</v>
      </c>
      <c r="D108" s="41" t="s">
        <v>302</v>
      </c>
      <c r="E108" s="42"/>
      <c r="F108" s="42"/>
      <c r="G108" s="42"/>
      <c r="H108" s="42"/>
      <c r="I108" s="42"/>
      <c r="J108" s="42"/>
      <c r="K108" s="36">
        <f>IF(COUNT(E108:J108)=0,"",SUM(E108:J108))</f>
        <v>0</v>
      </c>
      <c r="L108" s="43">
        <f>IF(COUNT(E108:J108)=0,"",MIN(E108:J108))</f>
        <v>0</v>
      </c>
      <c r="M108" s="43">
        <f>IF(COUNT(E108:J108)=0,"",MAX(E108:J108))</f>
        <v>0</v>
      </c>
    </row>
    <row r="109" spans="1:18" ht="17" customHeight="1">
      <c r="A109" s="24" t="s">
        <v>349</v>
      </c>
      <c r="B109" s="39"/>
      <c r="C109" s="40"/>
      <c r="D109" s="44" t="s">
        <v>304</v>
      </c>
      <c r="E109" s="42"/>
      <c r="F109" s="42"/>
      <c r="G109" s="42"/>
      <c r="H109" s="42"/>
      <c r="I109" s="42"/>
      <c r="J109" s="42"/>
      <c r="K109" s="36">
        <f>IF(COUNT(E109:J109)=0,"",SUM(E109:J109))</f>
        <v>0</v>
      </c>
      <c r="L109" s="43">
        <f>IF(COUNT(E109:J109)=0,"",MIN(E109:J109))</f>
        <v>0</v>
      </c>
      <c r="M109" s="43">
        <f>IF(COUNT(E109:J109)=0,"",MAX(E109:J109))</f>
        <v>0</v>
      </c>
    </row>
    <row r="110" spans="1:18" ht="17" customHeight="1">
      <c r="A110" s="24" t="s">
        <v>350</v>
      </c>
      <c r="B110" s="32" t="s">
        <v>109</v>
      </c>
      <c r="C110" s="33" t="s">
        <v>110</v>
      </c>
      <c r="D110" s="34" t="s">
        <v>302</v>
      </c>
      <c r="E110" s="35"/>
      <c r="F110" s="35"/>
      <c r="G110" s="35"/>
      <c r="H110" s="35"/>
      <c r="I110" s="35"/>
      <c r="J110" s="35"/>
      <c r="K110" s="36">
        <f>IF(COUNT(E110:J110)=0,"",LOOKUP(2,1/ISNUMBER(E110:J110),E110:J110))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351</v>
      </c>
      <c r="B111" s="32"/>
      <c r="C111" s="33"/>
      <c r="D111" s="38" t="s">
        <v>304</v>
      </c>
      <c r="E111" s="35"/>
      <c r="F111" s="35"/>
      <c r="G111" s="35"/>
      <c r="H111" s="35"/>
      <c r="I111" s="35"/>
      <c r="J111" s="35"/>
      <c r="K111" s="36">
        <f>IF(COUNT(E111:J111)=0,"",LOOKUP(2,1/ISNUMBER(E111:J111),E111:J111))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352</v>
      </c>
      <c r="B112" s="39" t="s">
        <v>114</v>
      </c>
      <c r="C112" s="40" t="s">
        <v>110</v>
      </c>
      <c r="D112" s="41" t="s">
        <v>302</v>
      </c>
      <c r="E112" s="42"/>
      <c r="F112" s="42"/>
      <c r="G112" s="42"/>
      <c r="H112" s="42"/>
      <c r="I112" s="42"/>
      <c r="J112" s="42"/>
      <c r="K112" s="36">
        <f>IF(COUNT(E112:J112)=0,"",LOOKUP(2,1/ISNUMBER(E112:J112),E112:J112))</f>
        <v>0</v>
      </c>
      <c r="L112" s="43">
        <f>IF(COUNT(E112:J112)=0,"",MIN(E112:J112))</f>
        <v>0</v>
      </c>
      <c r="M112" s="43">
        <f>IF(COUNT(E112:J112)=0,"",MAX(E112:J112))</f>
        <v>0</v>
      </c>
    </row>
    <row r="113" spans="1:13" ht="17" customHeight="1">
      <c r="A113" s="24" t="s">
        <v>353</v>
      </c>
      <c r="B113" s="39"/>
      <c r="C113" s="40"/>
      <c r="D113" s="44" t="s">
        <v>304</v>
      </c>
      <c r="E113" s="42"/>
      <c r="F113" s="42"/>
      <c r="G113" s="42"/>
      <c r="H113" s="42"/>
      <c r="I113" s="42"/>
      <c r="J113" s="42"/>
      <c r="K113" s="36">
        <f>IF(COUNT(E113:J113)=0,"",LOOKUP(2,1/ISNUMBER(E113:J113),E113:J113))</f>
        <v>0</v>
      </c>
      <c r="L113" s="43">
        <f>IF(COUNT(E113:J113)=0,"",MIN(E113:J113))</f>
        <v>0</v>
      </c>
      <c r="M113" s="43">
        <f>IF(COUNT(E113:J113)=0,"",MAX(E113:J113))</f>
        <v>0</v>
      </c>
    </row>
    <row r="114" spans="1:13" ht="17" customHeight="1">
      <c r="B114" s="55" t="s">
        <v>354</v>
      </c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</row>
  </sheetData>
  <sheetProtection sheet="1" objects="1" scenarios="1" formatColumns="0" formatRows="0"/>
  <mergeCells count="101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M77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B106"/>
    <mergeCell ref="C105:C106"/>
    <mergeCell ref="B107:M107"/>
    <mergeCell ref="B108:B109"/>
    <mergeCell ref="C108:C109"/>
    <mergeCell ref="B110:B111"/>
    <mergeCell ref="C110:C111"/>
    <mergeCell ref="B112:B113"/>
    <mergeCell ref="C112:C113"/>
    <mergeCell ref="B114:M114"/>
  </mergeCells>
  <conditionalFormatting sqref="E103:K103">
    <cfRule type="expression" dxfId="1" priority="25">
      <formula>AND(ISNUMBER(E103),OR(AND(ISNUMBER($Q103),ROUND(E103,1)&lt;$Q103),AND(ISNUMBER($R103),ROUND(E103,1)&gt;$R103)))</formula>
    </cfRule>
    <cfRule type="expression" dxfId="2" priority="26">
      <formula>AND(ISNUMBER(E103),OR(ISNUMBER($Q103),ISNUMBER($R103)),NOT(OR(AND(ISNUMBER($Q103),ROUND(E103,1)&lt;$Q103),AND(ISNUMBER($R103),ROUND(E103,1)&gt;$R103))))</formula>
    </cfRule>
  </conditionalFormatting>
  <conditionalFormatting sqref="E104:K104">
    <cfRule type="expression" dxfId="1" priority="27">
      <formula>AND(ISNUMBER(E104),OR(AND(ISNUMBER($Q104),ROUND(E104,1)&lt;$Q104),AND(ISNUMBER($R104),ROUND(E104,1)&gt;$R104)))</formula>
    </cfRule>
    <cfRule type="expression" dxfId="2" priority="28">
      <formula>AND(ISNUMBER(E104),OR(ISNUMBER($Q104),ISNUMBER($R104)),NOT(OR(AND(ISNUMBER($Q104),ROUND(E104,1)&lt;$Q104),AND(ISNUMBER($R104),ROUND(E104,1)&gt;$R104))))</formula>
    </cfRule>
  </conditionalFormatting>
  <conditionalFormatting sqref="E105:K105">
    <cfRule type="expression" dxfId="1" priority="29">
      <formula>AND(ISNUMBER(E105),OR(AND(ISNUMBER($Q105),ROUND(E105,2)&lt;$Q105),AND(ISNUMBER($R105),ROUND(E105,2)&gt;$R105)))</formula>
    </cfRule>
    <cfRule type="expression" dxfId="2" priority="30">
      <formula>AND(ISNUMBER(E105),OR(ISNUMBER($Q105),ISNUMBER($R105)),NOT(OR(AND(ISNUMBER($Q105),ROUND(E105,2)&lt;$Q105),AND(ISNUMBER($R105),ROUND(E105,2)&gt;$R105))))</formula>
    </cfRule>
  </conditionalFormatting>
  <conditionalFormatting sqref="E106:K106">
    <cfRule type="expression" dxfId="1" priority="31">
      <formula>AND(ISNUMBER(E106),OR(AND(ISNUMBER($Q106),ROUND(E106,2)&lt;$Q106),AND(ISNUMBER($R106),ROUND(E106,2)&gt;$R106)))</formula>
    </cfRule>
    <cfRule type="expression" dxfId="2" priority="32">
      <formula>AND(ISNUMBER(E106),OR(ISNUMBER($Q106),ISNUMBER($R106)),NOT(OR(AND(ISNUMBER($Q106),ROUND(E106,2)&lt;$Q106),AND(ISNUMBER($R106),ROUND(E106,2)&gt;$R106))))</formula>
    </cfRule>
  </conditionalFormatting>
  <conditionalFormatting sqref="E78:K78">
    <cfRule type="expression" dxfId="1" priority="1">
      <formula>AND(ISNUMBER(E78),OR(AND(ISNUMBER($Q78),ROUND(E78,2)&lt;$Q78),AND(ISNUMBER($R78),ROUND(E78,2)&gt;$R78)))</formula>
    </cfRule>
    <cfRule type="expression" dxfId="2" priority="2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3">
      <formula>AND(ISNUMBER(E79),OR(AND(ISNUMBER($Q79),ROUND(E79,2)&lt;$Q79),AND(ISNUMBER($R79),ROUND(E79,2)&gt;$R79)))</formula>
    </cfRule>
    <cfRule type="expression" dxfId="2" priority="4">
      <formula>AND(ISNUMBER(E79),OR(ISNUMBER($Q79),ISNUMBER($R79)),NOT(OR(AND(ISNUMBER($Q79),ROUND(E79,2)&lt;$Q79),AND(ISNUMBER($R79),ROUND(E79,2)&gt;$R79))))</formula>
    </cfRule>
  </conditionalFormatting>
  <conditionalFormatting sqref="E82:K82">
    <cfRule type="expression" dxfId="1" priority="5">
      <formula>AND(ISNUMBER(E82),OR(AND(ISNUMBER($Q82),ROUND(E82,2)&lt;$Q82),AND(ISNUMBER($R82),ROUND(E82,2)&gt;$R82)))</formula>
    </cfRule>
    <cfRule type="expression" dxfId="2" priority="6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7">
      <formula>AND(ISNUMBER(E83),OR(AND(ISNUMBER($Q83),ROUND(E83,2)&lt;$Q83),AND(ISNUMBER($R83),ROUND(E83,2)&gt;$R83)))</formula>
    </cfRule>
    <cfRule type="expression" dxfId="2" priority="8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9">
      <formula>AND(ISNUMBER(E84),OR(AND(ISNUMBER($Q84),ROUND(E84,2)&lt;$Q84),AND(ISNUMBER($R84),ROUND(E84,2)&gt;$R84)))</formula>
    </cfRule>
    <cfRule type="expression" dxfId="2" priority="10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1">
      <formula>AND(ISNUMBER(E85),OR(AND(ISNUMBER($Q85),ROUND(E85,2)&lt;$Q85),AND(ISNUMBER($R85),ROUND(E85,2)&gt;$R85)))</formula>
    </cfRule>
    <cfRule type="expression" dxfId="2" priority="12">
      <formula>AND(ISNUMBER(E85),OR(ISNUMBER($Q85),ISNUMBER($R85)),NOT(OR(AND(ISNUMBER($Q85),ROUND(E85,2)&lt;$Q85),AND(ISNUMBER($R85),ROUND(E85,2)&gt;$R85))))</formula>
    </cfRule>
  </conditionalFormatting>
  <conditionalFormatting sqref="E86:K86">
    <cfRule type="expression" dxfId="1" priority="13">
      <formula>AND(ISNUMBER(E86),OR(AND(ISNUMBER($Q86),ROUND(E86,2)&lt;$Q86),AND(ISNUMBER($R86),ROUND(E86,2)&gt;$R86)))</formula>
    </cfRule>
    <cfRule type="expression" dxfId="2" priority="14">
      <formula>AND(ISNUMBER(E86),OR(ISNUMBER($Q86),ISNUMBER($R86)),NOT(OR(AND(ISNUMBER($Q86),ROUND(E86,2)&lt;$Q86),AND(ISNUMBER($R86),ROUND(E86,2)&gt;$R86))))</formula>
    </cfRule>
  </conditionalFormatting>
  <conditionalFormatting sqref="E87:K87">
    <cfRule type="expression" dxfId="1" priority="15">
      <formula>AND(ISNUMBER(E87),OR(AND(ISNUMBER($Q87),ROUND(E87,2)&lt;$Q87),AND(ISNUMBER($R87),ROUND(E87,2)&gt;$R87)))</formula>
    </cfRule>
    <cfRule type="expression" dxfId="2" priority="16">
      <formula>AND(ISNUMBER(E87),OR(ISNUMBER($Q87),ISNUMBER($R87)),NOT(OR(AND(ISNUMBER($Q87),ROUND(E87,2)&lt;$Q87),AND(ISNUMBER($R87),ROUND(E87,2)&gt;$R87))))</formula>
    </cfRule>
  </conditionalFormatting>
  <conditionalFormatting sqref="E95:K95">
    <cfRule type="expression" dxfId="1" priority="17">
      <formula>AND(ISNUMBER(E95),OR(AND(ISNUMBER($Q95),ROUND(E95,2)&lt;$Q95),AND(ISNUMBER($R95),ROUND(E95,2)&gt;$R95)))</formula>
    </cfRule>
    <cfRule type="expression" dxfId="2" priority="18">
      <formula>AND(ISNUMBER(E95),OR(ISNUMBER($Q95),ISNUMBER($R95)),NOT(OR(AND(ISNUMBER($Q95),ROUND(E95,2)&lt;$Q95),AND(ISNUMBER($R95),ROUND(E95,2)&gt;$R95))))</formula>
    </cfRule>
  </conditionalFormatting>
  <conditionalFormatting sqref="E96:K96">
    <cfRule type="expression" dxfId="1" priority="19">
      <formula>AND(ISNUMBER(E96),OR(AND(ISNUMBER($Q96),ROUND(E96,2)&lt;$Q96),AND(ISNUMBER($R96),ROUND(E96,2)&gt;$R96)))</formula>
    </cfRule>
    <cfRule type="expression" dxfId="2" priority="20">
      <formula>AND(ISNUMBER(E96),OR(ISNUMBER($Q96),ISNUMBER($R96)),NOT(OR(AND(ISNUMBER($Q96),ROUND(E96,2)&lt;$Q96),AND(ISNUMBER($R96),ROUND(E96,2)&gt;$R96))))</formula>
    </cfRule>
  </conditionalFormatting>
  <conditionalFormatting sqref="E97:K97">
    <cfRule type="expression" dxfId="1" priority="21">
      <formula>AND(ISNUMBER(E97),OR(AND(ISNUMBER($Q97),ROUND(E97,1)&lt;$Q97),AND(ISNUMBER($R97),ROUND(E97,1)&gt;$R97)))</formula>
    </cfRule>
    <cfRule type="expression" dxfId="2" priority="22">
      <formula>AND(ISNUMBER(E97),OR(ISNUMBER($Q97),ISNUMBER($R97)),NOT(OR(AND(ISNUMBER($Q97),ROUND(E97,1)&lt;$Q97),AND(ISNUMBER($R97),ROUND(E97,1)&gt;$R97))))</formula>
    </cfRule>
  </conditionalFormatting>
  <conditionalFormatting sqref="E98:K98">
    <cfRule type="expression" dxfId="1" priority="23">
      <formula>AND(ISNUMBER(E98),OR(AND(ISNUMBER($Q98),ROUND(E98,1)&lt;$Q98),AND(ISNUMBER($R98),ROUND(E98,1)&gt;$R98)))</formula>
    </cfRule>
    <cfRule type="expression" dxfId="2" priority="24">
      <formula>AND(ISNUMBER(E98),OR(ISNUMBER($Q98),ISNUMBER($R98)),NOT(OR(AND(ISNUMBER($Q98),ROUND(E98,1)&lt;$Q98),AND(ISNUMBER($R98),ROUND(E98,1)&gt;$R98))))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114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236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237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267</v>
      </c>
      <c r="C6" s="22">
        <f>IF(pData="","—",TEXT(DAY(pData),"00")&amp;"/"&amp;TEXT(MONTH(pData),"00")&amp;"/"&amp;YEAR(pData))</f>
        <v>0</v>
      </c>
      <c r="D6" s="22"/>
      <c r="E6" s="16" t="s">
        <v>268</v>
      </c>
      <c r="F6" s="22">
        <f>"Noite  19:00 – 07:00"</f>
        <v>0</v>
      </c>
      <c r="G6" s="22"/>
      <c r="H6" s="22"/>
      <c r="I6" s="16" t="s">
        <v>242</v>
      </c>
      <c r="J6" s="16"/>
      <c r="K6" s="22">
        <f>IF(nLetra="","—",nLetra)</f>
        <v>0</v>
      </c>
      <c r="L6" s="22"/>
      <c r="M6" s="22"/>
    </row>
    <row r="7" spans="1:15" ht="22" customHeight="1">
      <c r="B7" s="16" t="s">
        <v>243</v>
      </c>
      <c r="C7" s="23">
        <f>IF(nTecnico="","—",nTecnico)</f>
        <v>0</v>
      </c>
      <c r="D7" s="23"/>
      <c r="E7" s="23"/>
      <c r="F7" s="23"/>
      <c r="G7" s="23"/>
      <c r="H7" s="16" t="s">
        <v>244</v>
      </c>
      <c r="I7" s="16"/>
      <c r="J7" s="22">
        <f>IF(nProdUS3="","—",nProdUS3)</f>
        <v>0</v>
      </c>
      <c r="K7" s="16" t="s">
        <v>245</v>
      </c>
      <c r="L7" s="16"/>
      <c r="M7" s="22">
        <f>IF(nProdUS4="","—",nProdUS4)</f>
        <v>0</v>
      </c>
    </row>
    <row r="9" spans="1:15" ht="21" customHeight="1">
      <c r="A9" s="24" t="s">
        <v>270</v>
      </c>
      <c r="B9" s="25" t="s">
        <v>269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271</v>
      </c>
      <c r="B10" s="26" t="s">
        <v>272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355</v>
      </c>
    </row>
    <row r="11" spans="1:15" ht="30" customHeight="1">
      <c r="A11" s="24" t="s">
        <v>273</v>
      </c>
      <c r="B11" s="16" t="s">
        <v>247</v>
      </c>
      <c r="C11" s="27">
        <f>IF(nComUS3="","",nComUS3)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273</v>
      </c>
      <c r="B12" s="16" t="s">
        <v>248</v>
      </c>
      <c r="C12" s="27">
        <f>IF(nComUS4="","",nComUS4)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274</v>
      </c>
    </row>
    <row r="14" spans="1:15" ht="19" customHeight="1">
      <c r="A14" s="24" t="s">
        <v>271</v>
      </c>
      <c r="B14" s="26" t="s">
        <v>275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276</v>
      </c>
      <c r="B15" s="28">
        <f>IF(TRIM('Preenchimento'!$C$86)="","",CHAR(149)&amp;"   "&amp;TRIM('Preenchimento'!$C$86))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276</v>
      </c>
      <c r="B16" s="28">
        <f>IF(TRIM('Preenchimento'!$C$87)="","",CHAR(149)&amp;"   "&amp;TRIM('Preenchimento'!$C$87))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276</v>
      </c>
      <c r="B17" s="28">
        <f>IF(TRIM('Preenchimento'!$C$88)="","",CHAR(149)&amp;"   "&amp;TRIM('Preenchimento'!$C$88))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274</v>
      </c>
    </row>
    <row r="19" spans="1:13" ht="19" customHeight="1">
      <c r="A19" s="24" t="s">
        <v>271</v>
      </c>
      <c r="B19" s="26" t="s">
        <v>277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276</v>
      </c>
      <c r="B20" s="28">
        <f>IF(AND(nBatch="",nBatchSiO2="",nBatchP="",nBatchPPC="",nBatchSE="",nBatchM325=""),"",CHAR(149)&amp;"   Processando batch "&amp;nBatch&amp;IF(AND(nBatchSiO2="",nBatchP="",nBatchPPC="",nBatchSE="",nBatchM325=""),""," com teores: "&amp;LEFT(IF(nBatchSiO2="","","SiO2: "&amp;nBatchSiO2&amp;"; ")&amp;IF(nBatchP="","","P: "&amp;nBatchP&amp;"; ")&amp;IF(nBatchPPC="","","PPC: "&amp;nBatchPPC&amp;"; ")&amp;IF(nBatchSE="","","SE: "&amp;nBatchSE&amp;"; ")&amp;IF(nBatchM325="","","-325#: "&amp;nBatchM325&amp;"; "),LEN(IF(nBatchSiO2="","","SiO2: "&amp;nBatchSiO2&amp;"; ")&amp;IF(nBatchP="","","P: "&amp;nBatchP&amp;"; ")&amp;IF(nBatchPPC="","","PPC: "&amp;nBatchPPC&amp;"; ")&amp;IF(nBatchSE="","","SE: "&amp;nBatchSE&amp;"; ")&amp;IF(nBatchM325="","","-325#: "&amp;nBatchM325&amp;";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276</v>
      </c>
      <c r="B21" s="28">
        <f>IF(TRIM('Preenchimento'!$C$93)="","",CHAR(149)&amp;"   "&amp;TRIM('Preenchimento'!$C$93))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276</v>
      </c>
      <c r="B22" s="28">
        <f>IF(TRIM('Preenchimento'!$C$94)="","",CHAR(149)&amp;"   "&amp;TRIM('Preenchimento'!$C$94))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274</v>
      </c>
    </row>
    <row r="24" spans="1:13" ht="19" customHeight="1">
      <c r="A24" s="24" t="s">
        <v>271</v>
      </c>
      <c r="B24" s="26" t="s">
        <v>278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276</v>
      </c>
      <c r="B25" s="28">
        <f>IF(TRIM('Preenchimento'!$C$97)="","",CHAR(149)&amp;"   "&amp;TRIM('Preenchimento'!$C$97))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276</v>
      </c>
      <c r="B26" s="28">
        <f>IF(TRIM('Preenchimento'!$C$98)="","",CHAR(149)&amp;"   "&amp;TRIM('Preenchimento'!$C$98))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276</v>
      </c>
      <c r="B27" s="28">
        <f>IF(TRIM('Preenchimento'!$C$99)="","",CHAR(149)&amp;"   "&amp;TRIM('Preenchimento'!$C$99))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276</v>
      </c>
      <c r="B28" s="28">
        <f>IF(TRIM('Preenchimento'!$C$100)="","",CHAR(149)&amp;"   "&amp;TRIM('Preenchimento'!$C$100))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276</v>
      </c>
      <c r="B29" s="28">
        <f>IF(TRIM('Preenchimento'!$C$101)="","",CHAR(149)&amp;"   "&amp;TRIM('Preenchimento'!$C$101))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276</v>
      </c>
      <c r="B30" s="28">
        <f>IF(TRIM('Preenchimento'!$C$102)="","",CHAR(149)&amp;"   "&amp;TRIM('Preenchimento'!$C$102))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274</v>
      </c>
    </row>
    <row r="32" spans="1:13" ht="19" customHeight="1">
      <c r="A32" s="24" t="s">
        <v>271</v>
      </c>
      <c r="B32" s="26" t="s">
        <v>279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276</v>
      </c>
      <c r="B33" s="28">
        <f>IF(TRIM('Preenchimento'!$C$105)="","",CHAR(149)&amp;"   "&amp;TRIM('Preenchimento'!$C$105))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276</v>
      </c>
      <c r="B34" s="28">
        <f>IF(TRIM('Preenchimento'!$C$106)="","",CHAR(149)&amp;"   "&amp;TRIM('Preenchimento'!$C$106))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276</v>
      </c>
      <c r="B35" s="28">
        <f>IF(TRIM('Preenchimento'!$C$107)="","",CHAR(149)&amp;"   "&amp;TRIM('Preenchimento'!$C$107))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274</v>
      </c>
    </row>
    <row r="37" spans="1:13" ht="19" customHeight="1">
      <c r="A37" s="24" t="s">
        <v>271</v>
      </c>
      <c r="B37" s="26" t="s">
        <v>280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276</v>
      </c>
      <c r="B38" s="28">
        <f>IF(TRIM('Preenchimento'!$C$110)="","",CHAR(149)&amp;"   "&amp;TRIM('Preenchimento'!$C$110))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276</v>
      </c>
      <c r="B39" s="28">
        <f>IF(TRIM('Preenchimento'!$C$111)="","",CHAR(149)&amp;"   "&amp;TRIM('Preenchimento'!$C$111))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274</v>
      </c>
    </row>
    <row r="41" spans="1:13" ht="19" customHeight="1">
      <c r="A41" s="24" t="s">
        <v>271</v>
      </c>
      <c r="B41" s="26" t="s">
        <v>281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276</v>
      </c>
      <c r="B42" s="28">
        <f>IF(TRIM('Preenchimento'!$C$114)="","",CHAR(149)&amp;"   "&amp;TRIM('Preenchimento'!$C$114))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276</v>
      </c>
      <c r="B43" s="28">
        <f>IF(TRIM('Preenchimento'!$C$115)="","",CHAR(149)&amp;"   "&amp;TRIM('Preenchimento'!$C$115))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276</v>
      </c>
      <c r="B44" s="28">
        <f>IF(TRIM('Preenchimento'!$C$116)="","",CHAR(149)&amp;"   "&amp;TRIM('Preenchimento'!$C$116))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274</v>
      </c>
    </row>
    <row r="46" spans="1:13" ht="19" customHeight="1">
      <c r="A46" s="24" t="s">
        <v>271</v>
      </c>
      <c r="B46" s="26" t="s">
        <v>282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276</v>
      </c>
      <c r="B47" s="28">
        <f>IF(TRIM('Preenchimento'!$C$119)="","",CHAR(149)&amp;"   "&amp;TRIM('Preenchimento'!$C$119))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276</v>
      </c>
      <c r="B48" s="28">
        <f>IF(TRIM('Preenchimento'!$C$120)="","",CHAR(149)&amp;"   "&amp;TRIM('Preenchimento'!$C$120))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276</v>
      </c>
      <c r="B49" s="28">
        <f>IF(TRIM('Preenchimento'!$C$121)="","",CHAR(149)&amp;"   "&amp;TRIM('Preenchimento'!$C$121))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274</v>
      </c>
    </row>
    <row r="51" spans="1:13" ht="19" customHeight="1">
      <c r="A51" s="24" t="s">
        <v>271</v>
      </c>
      <c r="B51" s="26" t="s">
        <v>283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276</v>
      </c>
      <c r="B52" s="28">
        <f>IF(TRIM('Preenchimento'!$C$124)="","",CHAR(149)&amp;"   "&amp;TRIM('Preenchimento'!$C$124))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276</v>
      </c>
      <c r="B53" s="28">
        <f>IF(TRIM('Preenchimento'!$C$125)="","",CHAR(149)&amp;"   "&amp;TRIM('Preenchimento'!$C$125))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276</v>
      </c>
      <c r="B54" s="28">
        <f>IF(TRIM('Preenchimento'!$C$126)="","",CHAR(149)&amp;"   "&amp;TRIM('Preenchimento'!$C$126))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276</v>
      </c>
      <c r="B55" s="28">
        <f>IF(TRIM('Preenchimento'!$C$127)="","",CHAR(149)&amp;"   "&amp;TRIM('Preenchimento'!$C$127))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274</v>
      </c>
    </row>
    <row r="57" spans="1:13" ht="19" customHeight="1">
      <c r="A57" s="24" t="s">
        <v>271</v>
      </c>
      <c r="B57" s="26" t="s">
        <v>284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273</v>
      </c>
      <c r="B58" s="16" t="s">
        <v>285</v>
      </c>
      <c r="C58" s="27">
        <f>IF(nObs="","",nObs)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274</v>
      </c>
    </row>
    <row r="60" spans="1:13" ht="21" customHeight="1">
      <c r="A60" s="24" t="s">
        <v>287</v>
      </c>
      <c r="B60" s="25" t="s">
        <v>286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288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289</v>
      </c>
      <c r="C62" s="30" t="s">
        <v>290</v>
      </c>
      <c r="D62" s="30" t="s">
        <v>291</v>
      </c>
      <c r="E62" s="30" t="s">
        <v>356</v>
      </c>
      <c r="F62" s="30" t="s">
        <v>357</v>
      </c>
      <c r="G62" s="30" t="s">
        <v>358</v>
      </c>
      <c r="H62" s="30" t="s">
        <v>359</v>
      </c>
      <c r="I62" s="30" t="s">
        <v>360</v>
      </c>
      <c r="J62" s="30" t="s">
        <v>361</v>
      </c>
      <c r="K62" s="30" t="s">
        <v>22</v>
      </c>
      <c r="L62" s="30" t="s">
        <v>298</v>
      </c>
      <c r="M62" s="30" t="s">
        <v>299</v>
      </c>
    </row>
    <row r="63" spans="1:13" ht="18" customHeight="1">
      <c r="A63" s="24" t="s">
        <v>300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301</v>
      </c>
      <c r="B64" s="32" t="s">
        <v>34</v>
      </c>
      <c r="C64" s="33" t="s">
        <v>35</v>
      </c>
      <c r="D64" s="34" t="s">
        <v>302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303</v>
      </c>
      <c r="B65" s="32"/>
      <c r="C65" s="33"/>
      <c r="D65" s="38" t="s">
        <v>304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305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306</v>
      </c>
      <c r="B67" s="39" t="s">
        <v>41</v>
      </c>
      <c r="C67" s="40" t="s">
        <v>42</v>
      </c>
      <c r="D67" s="41" t="s">
        <v>302</v>
      </c>
      <c r="E67" s="42"/>
      <c r="F67" s="42"/>
      <c r="G67" s="42"/>
      <c r="H67" s="42"/>
      <c r="I67" s="42"/>
      <c r="J67" s="42"/>
      <c r="K67" s="36">
        <f>IF(COUNT(E67:J67)=0,"",AVERAGE(E67:J67))</f>
        <v>0</v>
      </c>
      <c r="L67" s="43">
        <f>IF(COUNT(E67:J67)=0,"",MIN(E67:J67))</f>
        <v>0</v>
      </c>
      <c r="M67" s="43">
        <f>IF(COUNT(E67:J67)=0,"",MAX(E67:J67))</f>
        <v>0</v>
      </c>
    </row>
    <row r="68" spans="1:18" ht="17" customHeight="1">
      <c r="A68" s="24" t="s">
        <v>307</v>
      </c>
      <c r="B68" s="39"/>
      <c r="C68" s="40"/>
      <c r="D68" s="44" t="s">
        <v>304</v>
      </c>
      <c r="E68" s="42"/>
      <c r="F68" s="42"/>
      <c r="G68" s="42"/>
      <c r="H68" s="42"/>
      <c r="I68" s="42"/>
      <c r="J68" s="42"/>
      <c r="K68" s="36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</row>
    <row r="69" spans="1:18" ht="17" customHeight="1">
      <c r="A69" s="24" t="s">
        <v>308</v>
      </c>
      <c r="B69" s="32" t="s">
        <v>46</v>
      </c>
      <c r="C69" s="33" t="s">
        <v>42</v>
      </c>
      <c r="D69" s="34" t="s">
        <v>302</v>
      </c>
      <c r="E69" s="35"/>
      <c r="F69" s="35"/>
      <c r="G69" s="35"/>
      <c r="H69" s="35"/>
      <c r="I69" s="35"/>
      <c r="J69" s="35"/>
      <c r="K69" s="36">
        <f>IF(COUNT(E69:J69)=0,"",AVERAGE(E69:J69))</f>
        <v>0</v>
      </c>
      <c r="L69" s="37">
        <f>IF(COUNT(E69:J69)=0,"",MIN(E69:J69))</f>
        <v>0</v>
      </c>
      <c r="M69" s="37">
        <f>IF(COUNT(E69:J69)=0,"",MAX(E69:J69))</f>
        <v>0</v>
      </c>
    </row>
    <row r="70" spans="1:18" ht="17" customHeight="1">
      <c r="A70" s="24" t="s">
        <v>309</v>
      </c>
      <c r="B70" s="32"/>
      <c r="C70" s="33"/>
      <c r="D70" s="38" t="s">
        <v>304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7" customHeight="1">
      <c r="A71" s="24" t="s">
        <v>310</v>
      </c>
      <c r="B71" s="39" t="s">
        <v>49</v>
      </c>
      <c r="C71" s="40" t="s">
        <v>50</v>
      </c>
      <c r="D71" s="41" t="s">
        <v>302</v>
      </c>
      <c r="E71" s="45"/>
      <c r="F71" s="45"/>
      <c r="G71" s="45"/>
      <c r="H71" s="45"/>
      <c r="I71" s="45"/>
      <c r="J71" s="45"/>
      <c r="K71" s="46">
        <f>IF(COUNT(E71:J71)=0,"",AVERAGE(E71:J71))</f>
        <v>0</v>
      </c>
      <c r="L71" s="47">
        <f>IF(COUNT(E71:J71)=0,"",MIN(E71:J71))</f>
        <v>0</v>
      </c>
      <c r="M71" s="47">
        <f>IF(COUNT(E71:J71)=0,"",MAX(E71:J71))</f>
        <v>0</v>
      </c>
    </row>
    <row r="72" spans="1:18" ht="17" customHeight="1">
      <c r="A72" s="24" t="s">
        <v>311</v>
      </c>
      <c r="B72" s="39"/>
      <c r="C72" s="40"/>
      <c r="D72" s="44" t="s">
        <v>304</v>
      </c>
      <c r="E72" s="45"/>
      <c r="F72" s="45"/>
      <c r="G72" s="45"/>
      <c r="H72" s="45"/>
      <c r="I72" s="45"/>
      <c r="J72" s="45"/>
      <c r="K72" s="46">
        <f>IF(COUNT(E72:J72)=0,"",AVERAGE(E72:J72))</f>
        <v>0</v>
      </c>
      <c r="L72" s="47">
        <f>IF(COUNT(E72:J72)=0,"",MIN(E72:J72))</f>
        <v>0</v>
      </c>
      <c r="M72" s="47">
        <f>IF(COUNT(E72:J72)=0,"",MAX(E72:J72))</f>
        <v>0</v>
      </c>
    </row>
    <row r="73" spans="1:18" ht="17" customHeight="1">
      <c r="A73" s="24" t="s">
        <v>312</v>
      </c>
      <c r="B73" s="32" t="s">
        <v>53</v>
      </c>
      <c r="C73" s="33" t="s">
        <v>50</v>
      </c>
      <c r="D73" s="34" t="s">
        <v>302</v>
      </c>
      <c r="E73" s="48"/>
      <c r="F73" s="48"/>
      <c r="G73" s="48"/>
      <c r="H73" s="48"/>
      <c r="I73" s="48"/>
      <c r="J73" s="48"/>
      <c r="K73" s="49">
        <f>IF(COUNT(E73:J73)=0,"",AVERAGE(E73:J73))</f>
        <v>0</v>
      </c>
      <c r="L73" s="50">
        <f>IF(COUNT(E73:J73)=0,"",MIN(E73:J73))</f>
        <v>0</v>
      </c>
      <c r="M73" s="50">
        <f>IF(COUNT(E73:J73)=0,"",MAX(E73:J73))</f>
        <v>0</v>
      </c>
    </row>
    <row r="74" spans="1:18" ht="17" customHeight="1">
      <c r="A74" s="24" t="s">
        <v>313</v>
      </c>
      <c r="B74" s="32"/>
      <c r="C74" s="33"/>
      <c r="D74" s="38" t="s">
        <v>304</v>
      </c>
      <c r="E74" s="48"/>
      <c r="F74" s="48"/>
      <c r="G74" s="48"/>
      <c r="H74" s="48"/>
      <c r="I74" s="48"/>
      <c r="J74" s="48"/>
      <c r="K74" s="49">
        <f>IF(COUNT(E74:J74)=0,"",AVERAGE(E74:J74))</f>
        <v>0</v>
      </c>
      <c r="L74" s="50">
        <f>IF(COUNT(E74:J74)=0,"",MIN(E74:J74))</f>
        <v>0</v>
      </c>
      <c r="M74" s="50">
        <f>IF(COUNT(E74:J74)=0,"",MAX(E74:J74))</f>
        <v>0</v>
      </c>
    </row>
    <row r="75" spans="1:18" ht="17" customHeight="1">
      <c r="A75" s="24" t="s">
        <v>314</v>
      </c>
      <c r="B75" s="39" t="s">
        <v>56</v>
      </c>
      <c r="C75" s="40" t="s">
        <v>50</v>
      </c>
      <c r="D75" s="41" t="s">
        <v>302</v>
      </c>
      <c r="E75" s="51"/>
      <c r="F75" s="51"/>
      <c r="G75" s="51"/>
      <c r="H75" s="51"/>
      <c r="I75" s="51"/>
      <c r="J75" s="51"/>
      <c r="K75" s="49">
        <f>IF(COUNT(E75:J75)=0,"",AVERAGE(E75:J75))</f>
        <v>0</v>
      </c>
      <c r="L75" s="52">
        <f>IF(COUNT(E75:J75)=0,"",MIN(E75:J75))</f>
        <v>0</v>
      </c>
      <c r="M75" s="52">
        <f>IF(COUNT(E75:J75)=0,"",MAX(E75:J75))</f>
        <v>0</v>
      </c>
    </row>
    <row r="76" spans="1:18" ht="17" customHeight="1">
      <c r="A76" s="24" t="s">
        <v>315</v>
      </c>
      <c r="B76" s="39"/>
      <c r="C76" s="40"/>
      <c r="D76" s="44" t="s">
        <v>304</v>
      </c>
      <c r="E76" s="51"/>
      <c r="F76" s="51"/>
      <c r="G76" s="51"/>
      <c r="H76" s="51"/>
      <c r="I76" s="51"/>
      <c r="J76" s="51"/>
      <c r="K76" s="49">
        <f>IF(COUNT(E76:J76)=0,"",AVERAGE(E76:J76))</f>
        <v>0</v>
      </c>
      <c r="L76" s="52">
        <f>IF(COUNT(E76:J76)=0,"",MIN(E76:J76))</f>
        <v>0</v>
      </c>
      <c r="M76" s="52">
        <f>IF(COUNT(E76:J76)=0,"",MAX(E76:J76))</f>
        <v>0</v>
      </c>
    </row>
    <row r="77" spans="1:18" ht="18" customHeight="1">
      <c r="A77" s="24" t="s">
        <v>316</v>
      </c>
      <c r="B77" s="31" t="s">
        <v>59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</row>
    <row r="78" spans="1:18" ht="17" customHeight="1">
      <c r="A78" s="24" t="s">
        <v>317</v>
      </c>
      <c r="B78" s="32" t="s">
        <v>60</v>
      </c>
      <c r="C78" s="33" t="s">
        <v>50</v>
      </c>
      <c r="D78" s="34" t="s">
        <v>318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  <c r="Q78">
        <f>IFERROR(IF(INDEX('Limites'!$R:$R,MATCH(IF(nProdUS3="",nProdUS4,nProdUS3),'Limites'!$B:$B,0))="","",INDEX('Limites'!$R:$R,MATCH(IF(nProdUS3="",nProdUS4,nProdUS3),'Limites'!$B:$B,0))),"")</f>
        <v>0</v>
      </c>
      <c r="R78">
        <f>IFERROR(IF(INDEX('Limites'!$S:$S,MATCH(IF(nProdUS3="",nProdUS4,nProdUS3),'Limites'!$B:$B,0))="","",INDEX('Limites'!$S:$S,MATCH(IF(nProdUS3="",nProdUS4,nProdUS3),'Limites'!$B:$B,0))),"")</f>
        <v>0</v>
      </c>
    </row>
    <row r="79" spans="1:18" ht="17" customHeight="1">
      <c r="A79" s="24" t="s">
        <v>319</v>
      </c>
      <c r="B79" s="39" t="s">
        <v>62</v>
      </c>
      <c r="C79" s="40" t="s">
        <v>50</v>
      </c>
      <c r="D79" s="41" t="s">
        <v>318</v>
      </c>
      <c r="E79" s="51"/>
      <c r="F79" s="51"/>
      <c r="G79" s="51"/>
      <c r="H79" s="51"/>
      <c r="I79" s="51"/>
      <c r="J79" s="51"/>
      <c r="K79" s="49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  <c r="Q79">
        <f>IFERROR(IF(INDEX('Limites'!$P:$P,MATCH(IF(nProdUS3="",nProdUS4,nProdUS3),'Limites'!$B:$B,0))="","",INDEX('Limites'!$P:$P,MATCH(IF(nProdUS3="",nProdUS4,nProdUS3),'Limites'!$B:$B,0))),"")</f>
        <v>0</v>
      </c>
      <c r="R79">
        <f>IFERROR(IF(INDEX('Limites'!$Q:$Q,MATCH(IF(nProdUS3="",nProdUS4,nProdUS3),'Limites'!$B:$B,0))="","",INDEX('Limites'!$Q:$Q,MATCH(IF(nProdUS3="",nProdUS4,nProdUS3),'Limites'!$B:$B,0))),"")</f>
        <v>0</v>
      </c>
    </row>
    <row r="80" spans="1:18" ht="17" customHeight="1">
      <c r="A80" s="24" t="s">
        <v>320</v>
      </c>
      <c r="B80" s="32" t="s">
        <v>64</v>
      </c>
      <c r="C80" s="33" t="s">
        <v>50</v>
      </c>
      <c r="D80" s="34" t="s">
        <v>318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8" ht="18" customHeight="1">
      <c r="A81" s="24" t="s">
        <v>321</v>
      </c>
      <c r="B81" s="31" t="s">
        <v>66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8" ht="17" customHeight="1">
      <c r="A82" s="24" t="s">
        <v>322</v>
      </c>
      <c r="B82" s="39" t="s">
        <v>62</v>
      </c>
      <c r="C82" s="40" t="s">
        <v>50</v>
      </c>
      <c r="D82" s="41" t="s">
        <v>302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  <c r="Q82">
        <f>IFERROR(IF(INDEX('Limites'!$D:$D,MATCH(nProdUS3,'Limites'!$B:$B,0))="","",INDEX('Limites'!$D:$D,MATCH(nProdUS3,'Limites'!$B:$B,0))),"")</f>
        <v>0</v>
      </c>
      <c r="R82">
        <f>IFERROR(IF(INDEX('Limites'!$E:$E,MATCH(nProdUS3,'Limites'!$B:$B,0))="","",INDEX('Limites'!$E:$E,MATCH(nProdUS3,'Limites'!$B:$B,0))),"")</f>
        <v>0</v>
      </c>
    </row>
    <row r="83" spans="1:18" ht="17" customHeight="1">
      <c r="A83" s="24" t="s">
        <v>323</v>
      </c>
      <c r="B83" s="39"/>
      <c r="C83" s="40"/>
      <c r="D83" s="44" t="s">
        <v>304</v>
      </c>
      <c r="E83" s="51"/>
      <c r="F83" s="51"/>
      <c r="G83" s="51"/>
      <c r="H83" s="51"/>
      <c r="I83" s="51"/>
      <c r="J83" s="51"/>
      <c r="K83" s="49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  <c r="Q83">
        <f>IFERROR(IF(INDEX('Limites'!$D:$D,MATCH(nProdUS4,'Limites'!$B:$B,0))="","",INDEX('Limites'!$D:$D,MATCH(nProdUS4,'Limites'!$B:$B,0))),"")</f>
        <v>0</v>
      </c>
      <c r="R83">
        <f>IFERROR(IF(INDEX('Limites'!$E:$E,MATCH(nProdUS4,'Limites'!$B:$B,0))="","",INDEX('Limites'!$E:$E,MATCH(nProdUS4,'Limites'!$B:$B,0))),"")</f>
        <v>0</v>
      </c>
    </row>
    <row r="84" spans="1:18" ht="17" customHeight="1">
      <c r="A84" s="24" t="s">
        <v>324</v>
      </c>
      <c r="B84" s="32" t="s">
        <v>64</v>
      </c>
      <c r="C84" s="33" t="s">
        <v>50</v>
      </c>
      <c r="D84" s="34" t="s">
        <v>302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  <c r="Q84">
        <f>IFERROR(IF(INDEX('Limites'!$F:$F,MATCH(nProdUS3,'Limites'!$B:$B,0))="","",INDEX('Limites'!$F:$F,MATCH(nProdUS3,'Limites'!$B:$B,0))),"")</f>
        <v>0</v>
      </c>
      <c r="R84">
        <f>IFERROR(IF(INDEX('Limites'!$G:$G,MATCH(nProdUS3,'Limites'!$B:$B,0))="","",INDEX('Limites'!$G:$G,MATCH(nProdUS3,'Limites'!$B:$B,0))),"")</f>
        <v>0</v>
      </c>
    </row>
    <row r="85" spans="1:18" ht="17" customHeight="1">
      <c r="A85" s="24" t="s">
        <v>325</v>
      </c>
      <c r="B85" s="32"/>
      <c r="C85" s="33"/>
      <c r="D85" s="38" t="s">
        <v>304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  <c r="Q85">
        <f>IFERROR(IF(INDEX('Limites'!$F:$F,MATCH(nProdUS4,'Limites'!$B:$B,0))="","",INDEX('Limites'!$F:$F,MATCH(nProdUS4,'Limites'!$B:$B,0))),"")</f>
        <v>0</v>
      </c>
      <c r="R85">
        <f>IFERROR(IF(INDEX('Limites'!$G:$G,MATCH(nProdUS4,'Limites'!$B:$B,0))="","",INDEX('Limites'!$G:$G,MATCH(nProdUS4,'Limites'!$B:$B,0))),"")</f>
        <v>0</v>
      </c>
    </row>
    <row r="86" spans="1:18" ht="17" customHeight="1">
      <c r="A86" s="24" t="s">
        <v>326</v>
      </c>
      <c r="B86" s="39" t="s">
        <v>71</v>
      </c>
      <c r="C86" s="40" t="s">
        <v>72</v>
      </c>
      <c r="D86" s="41" t="s">
        <v>302</v>
      </c>
      <c r="E86" s="51"/>
      <c r="F86" s="51"/>
      <c r="G86" s="51"/>
      <c r="H86" s="51"/>
      <c r="I86" s="51"/>
      <c r="J86" s="51"/>
      <c r="K86" s="49">
        <f>IF(COUNT(E86:J86)=0,"",AVERAGE(E86:J86))</f>
        <v>0</v>
      </c>
      <c r="L86" s="52">
        <f>IF(COUNT(E86:J86)=0,"",MIN(E86:J86))</f>
        <v>0</v>
      </c>
      <c r="M86" s="52">
        <f>IF(COUNT(E86:J86)=0,"",MAX(E86:J86))</f>
        <v>0</v>
      </c>
      <c r="Q86">
        <f>IFERROR(IF(INDEX('Limites'!$H:$H,MATCH(nProdUS3,'Limites'!$B:$B,0))="","",INDEX('Limites'!$H:$H,MATCH(nProdUS3,'Limites'!$B:$B,0))),"")</f>
        <v>0</v>
      </c>
      <c r="R86">
        <f>IFERROR(IF(INDEX('Limites'!$I:$I,MATCH(nProdUS3,'Limites'!$B:$B,0))="","",INDEX('Limites'!$I:$I,MATCH(nProdUS3,'Limites'!$B:$B,0))),"")</f>
        <v>0</v>
      </c>
    </row>
    <row r="87" spans="1:18" ht="17" customHeight="1">
      <c r="A87" s="24" t="s">
        <v>327</v>
      </c>
      <c r="B87" s="39"/>
      <c r="C87" s="40"/>
      <c r="D87" s="44" t="s">
        <v>304</v>
      </c>
      <c r="E87" s="51"/>
      <c r="F87" s="51"/>
      <c r="G87" s="51"/>
      <c r="H87" s="51"/>
      <c r="I87" s="51"/>
      <c r="J87" s="51"/>
      <c r="K87" s="49">
        <f>IF(COUNT(E87:J87)=0,"",AVERAGE(E87:J87))</f>
        <v>0</v>
      </c>
      <c r="L87" s="52">
        <f>IF(COUNT(E87:J87)=0,"",MIN(E87:J87))</f>
        <v>0</v>
      </c>
      <c r="M87" s="52">
        <f>IF(COUNT(E87:J87)=0,"",MAX(E87:J87))</f>
        <v>0</v>
      </c>
      <c r="Q87">
        <f>IFERROR(IF(INDEX('Limites'!$H:$H,MATCH(nProdUS4,'Limites'!$B:$B,0))="","",INDEX('Limites'!$H:$H,MATCH(nProdUS4,'Limites'!$B:$B,0))),"")</f>
        <v>0</v>
      </c>
      <c r="R87">
        <f>IFERROR(IF(INDEX('Limites'!$I:$I,MATCH(nProdUS4,'Limites'!$B:$B,0))="","",INDEX('Limites'!$I:$I,MATCH(nProdUS4,'Limites'!$B:$B,0))),"")</f>
        <v>0</v>
      </c>
    </row>
    <row r="88" spans="1:18" ht="17" customHeight="1">
      <c r="A88" s="24" t="s">
        <v>328</v>
      </c>
      <c r="B88" s="32" t="s">
        <v>75</v>
      </c>
      <c r="C88" s="33" t="s">
        <v>76</v>
      </c>
      <c r="D88" s="34" t="s">
        <v>302</v>
      </c>
      <c r="E88" s="53"/>
      <c r="F88" s="53"/>
      <c r="G88" s="53"/>
      <c r="H88" s="53"/>
      <c r="I88" s="53"/>
      <c r="J88" s="53"/>
      <c r="K88" s="46">
        <f>IF(COUNT(E88:J88)=0,"",AVERAGE(E88:J88))</f>
        <v>0</v>
      </c>
      <c r="L88" s="54">
        <f>IF(COUNT(E88:J88)=0,"",MIN(E88:J88))</f>
        <v>0</v>
      </c>
      <c r="M88" s="54">
        <f>IF(COUNT(E88:J88)=0,"",MAX(E88:J88))</f>
        <v>0</v>
      </c>
    </row>
    <row r="89" spans="1:18" ht="17" customHeight="1">
      <c r="A89" s="24" t="s">
        <v>329</v>
      </c>
      <c r="B89" s="32"/>
      <c r="C89" s="33"/>
      <c r="D89" s="38" t="s">
        <v>304</v>
      </c>
      <c r="E89" s="53"/>
      <c r="F89" s="53"/>
      <c r="G89" s="53"/>
      <c r="H89" s="53"/>
      <c r="I89" s="53"/>
      <c r="J89" s="53"/>
      <c r="K89" s="46">
        <f>IF(COUNT(E89:J89)=0,"",AVERAGE(E89:J89))</f>
        <v>0</v>
      </c>
      <c r="L89" s="54">
        <f>IF(COUNT(E89:J89)=0,"",MIN(E89:J89))</f>
        <v>0</v>
      </c>
      <c r="M89" s="54">
        <f>IF(COUNT(E89:J89)=0,"",MAX(E89:J89))</f>
        <v>0</v>
      </c>
    </row>
    <row r="90" spans="1:18" ht="17" customHeight="1">
      <c r="A90" s="24" t="s">
        <v>330</v>
      </c>
      <c r="B90" s="39" t="s">
        <v>79</v>
      </c>
      <c r="C90" s="40" t="s">
        <v>50</v>
      </c>
      <c r="D90" s="41" t="s">
        <v>302</v>
      </c>
      <c r="E90" s="51"/>
      <c r="F90" s="51"/>
      <c r="G90" s="51"/>
      <c r="H90" s="51"/>
      <c r="I90" s="51"/>
      <c r="J90" s="51"/>
      <c r="K90" s="49">
        <f>IF(COUNT(E90:J90)=0,"",AVERAGE(E90:J90))</f>
        <v>0</v>
      </c>
      <c r="L90" s="52">
        <f>IF(COUNT(E90:J90)=0,"",MIN(E90:J90))</f>
        <v>0</v>
      </c>
      <c r="M90" s="52">
        <f>IF(COUNT(E90:J90)=0,"",MAX(E90:J90))</f>
        <v>0</v>
      </c>
    </row>
    <row r="91" spans="1:18" ht="17" customHeight="1">
      <c r="A91" s="24" t="s">
        <v>331</v>
      </c>
      <c r="B91" s="39"/>
      <c r="C91" s="40"/>
      <c r="D91" s="44" t="s">
        <v>304</v>
      </c>
      <c r="E91" s="51"/>
      <c r="F91" s="51"/>
      <c r="G91" s="51"/>
      <c r="H91" s="51"/>
      <c r="I91" s="51"/>
      <c r="J91" s="51"/>
      <c r="K91" s="49">
        <f>IF(COUNT(E91:J91)=0,"",AVERAGE(E91:J91))</f>
        <v>0</v>
      </c>
      <c r="L91" s="52">
        <f>IF(COUNT(E91:J91)=0,"",MIN(E91:J91))</f>
        <v>0</v>
      </c>
      <c r="M91" s="52">
        <f>IF(COUNT(E91:J91)=0,"",MAX(E91:J91))</f>
        <v>0</v>
      </c>
    </row>
    <row r="92" spans="1:18" ht="18" customHeight="1">
      <c r="A92" s="24" t="s">
        <v>332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8" ht="17" customHeight="1">
      <c r="A93" s="24" t="s">
        <v>333</v>
      </c>
      <c r="B93" s="32" t="s">
        <v>83</v>
      </c>
      <c r="C93" s="33" t="s">
        <v>50</v>
      </c>
      <c r="D93" s="34" t="s">
        <v>302</v>
      </c>
      <c r="E93" s="53"/>
      <c r="F93" s="53"/>
      <c r="G93" s="53"/>
      <c r="H93" s="53"/>
      <c r="I93" s="53"/>
      <c r="J93" s="53"/>
      <c r="K93" s="46">
        <f>IF(COUNT(E93:J93)=0,"",AVERAGE(E93:J93))</f>
        <v>0</v>
      </c>
      <c r="L93" s="54">
        <f>IF(COUNT(E93:J93)=0,"",MIN(E93:J93))</f>
        <v>0</v>
      </c>
      <c r="M93" s="54">
        <f>IF(COUNT(E93:J93)=0,"",MAX(E93:J93))</f>
        <v>0</v>
      </c>
    </row>
    <row r="94" spans="1:18" ht="17" customHeight="1">
      <c r="A94" s="24" t="s">
        <v>334</v>
      </c>
      <c r="B94" s="32"/>
      <c r="C94" s="33"/>
      <c r="D94" s="38" t="s">
        <v>304</v>
      </c>
      <c r="E94" s="53"/>
      <c r="F94" s="53"/>
      <c r="G94" s="53"/>
      <c r="H94" s="53"/>
      <c r="I94" s="53"/>
      <c r="J94" s="53"/>
      <c r="K94" s="46">
        <f>IF(COUNT(E94:J94)=0,"",AVERAGE(E94:J94))</f>
        <v>0</v>
      </c>
      <c r="L94" s="54">
        <f>IF(COUNT(E94:J94)=0,"",MIN(E94:J94))</f>
        <v>0</v>
      </c>
      <c r="M94" s="54">
        <f>IF(COUNT(E94:J94)=0,"",MAX(E94:J94))</f>
        <v>0</v>
      </c>
    </row>
    <row r="95" spans="1:18" ht="17" customHeight="1">
      <c r="A95" s="24" t="s">
        <v>335</v>
      </c>
      <c r="B95" s="39" t="s">
        <v>86</v>
      </c>
      <c r="C95" s="40" t="s">
        <v>72</v>
      </c>
      <c r="D95" s="41" t="s">
        <v>302</v>
      </c>
      <c r="E95" s="51"/>
      <c r="F95" s="51"/>
      <c r="G95" s="51"/>
      <c r="H95" s="51"/>
      <c r="I95" s="51"/>
      <c r="J95" s="51"/>
      <c r="K95" s="49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  <c r="Q95">
        <f>IFERROR(IF(INDEX('Limites'!$N:$N,MATCH(nProdUS3,'Limites'!$B:$B,0))="","",INDEX('Limites'!$N:$N,MATCH(nProdUS3,'Limites'!$B:$B,0))),"")</f>
        <v>0</v>
      </c>
      <c r="R95">
        <f>IFERROR(IF(INDEX('Limites'!$O:$O,MATCH(nProdUS3,'Limites'!$B:$B,0))="","",INDEX('Limites'!$O:$O,MATCH(nProdUS3,'Limites'!$B:$B,0))),"")</f>
        <v>0</v>
      </c>
    </row>
    <row r="96" spans="1:18" ht="17" customHeight="1">
      <c r="A96" s="24" t="s">
        <v>336</v>
      </c>
      <c r="B96" s="39"/>
      <c r="C96" s="40"/>
      <c r="D96" s="44" t="s">
        <v>304</v>
      </c>
      <c r="E96" s="51"/>
      <c r="F96" s="51"/>
      <c r="G96" s="51"/>
      <c r="H96" s="51"/>
      <c r="I96" s="51"/>
      <c r="J96" s="51"/>
      <c r="K96" s="49">
        <f>IF(COUNT(E96:J96)=0,"",AVERAGE(E96:J96))</f>
        <v>0</v>
      </c>
      <c r="L96" s="52">
        <f>IF(COUNT(E96:J96)=0,"",MIN(E96:J96))</f>
        <v>0</v>
      </c>
      <c r="M96" s="52">
        <f>IF(COUNT(E96:J96)=0,"",MAX(E96:J96))</f>
        <v>0</v>
      </c>
      <c r="Q96">
        <f>IFERROR(IF(INDEX('Limites'!$N:$N,MATCH(nProdUS4,'Limites'!$B:$B,0))="","",INDEX('Limites'!$N:$N,MATCH(nProdUS4,'Limites'!$B:$B,0))),"")</f>
        <v>0</v>
      </c>
      <c r="R96">
        <f>IFERROR(IF(INDEX('Limites'!$O:$O,MATCH(nProdUS4,'Limites'!$B:$B,0))="","",INDEX('Limites'!$O:$O,MATCH(nProdUS4,'Limites'!$B:$B,0))),"")</f>
        <v>0</v>
      </c>
    </row>
    <row r="97" spans="1:18" ht="17" customHeight="1">
      <c r="A97" s="24" t="s">
        <v>337</v>
      </c>
      <c r="B97" s="32" t="s">
        <v>89</v>
      </c>
      <c r="C97" s="33" t="s">
        <v>50</v>
      </c>
      <c r="D97" s="34" t="s">
        <v>302</v>
      </c>
      <c r="E97" s="53"/>
      <c r="F97" s="53"/>
      <c r="G97" s="53"/>
      <c r="H97" s="53"/>
      <c r="I97" s="53"/>
      <c r="J97" s="53"/>
      <c r="K97" s="46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  <c r="Q97">
        <f>IFERROR(IF(INDEX('Limites'!$J:$J,MATCH(nProdUS3,'Limites'!$B:$B,0))="","",INDEX('Limites'!$J:$J,MATCH(nProdUS3,'Limites'!$B:$B,0))),"")</f>
        <v>0</v>
      </c>
      <c r="R97">
        <f>IFERROR(IF(INDEX('Limites'!$K:$K,MATCH(nProdUS3,'Limites'!$B:$B,0))="","",INDEX('Limites'!$K:$K,MATCH(nProdUS3,'Limites'!$B:$B,0))),"")</f>
        <v>0</v>
      </c>
    </row>
    <row r="98" spans="1:18" ht="17" customHeight="1">
      <c r="A98" s="24" t="s">
        <v>338</v>
      </c>
      <c r="B98" s="32"/>
      <c r="C98" s="33"/>
      <c r="D98" s="38" t="s">
        <v>304</v>
      </c>
      <c r="E98" s="53"/>
      <c r="F98" s="53"/>
      <c r="G98" s="53"/>
      <c r="H98" s="53"/>
      <c r="I98" s="53"/>
      <c r="J98" s="53"/>
      <c r="K98" s="46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  <c r="Q98">
        <f>IFERROR(IF(INDEX('Limites'!$J:$J,MATCH(nProdUS4,'Limites'!$B:$B,0))="","",INDEX('Limites'!$J:$J,MATCH(nProdUS4,'Limites'!$B:$B,0))),"")</f>
        <v>0</v>
      </c>
      <c r="R98">
        <f>IFERROR(IF(INDEX('Limites'!$K:$K,MATCH(nProdUS4,'Limites'!$B:$B,0))="","",INDEX('Limites'!$K:$K,MATCH(nProdUS4,'Limites'!$B:$B,0))),"")</f>
        <v>0</v>
      </c>
    </row>
    <row r="99" spans="1:18" ht="17" customHeight="1">
      <c r="A99" s="24" t="s">
        <v>339</v>
      </c>
      <c r="B99" s="39" t="s">
        <v>92</v>
      </c>
      <c r="C99" s="40" t="s">
        <v>93</v>
      </c>
      <c r="D99" s="41" t="s">
        <v>302</v>
      </c>
      <c r="E99" s="42"/>
      <c r="F99" s="42"/>
      <c r="G99" s="42"/>
      <c r="H99" s="42"/>
      <c r="I99" s="42"/>
      <c r="J99" s="42"/>
      <c r="K99" s="36">
        <f>IF(COUNT(E99:J99)=0,"",AVERAGE(E99:J99))</f>
        <v>0</v>
      </c>
      <c r="L99" s="43">
        <f>IF(COUNT(E99:J99)=0,"",MIN(E99:J99))</f>
        <v>0</v>
      </c>
      <c r="M99" s="43">
        <f>IF(COUNT(E99:J99)=0,"",MAX(E99:J99))</f>
        <v>0</v>
      </c>
    </row>
    <row r="100" spans="1:18" ht="17" customHeight="1">
      <c r="A100" s="24" t="s">
        <v>340</v>
      </c>
      <c r="B100" s="39"/>
      <c r="C100" s="40"/>
      <c r="D100" s="44" t="s">
        <v>304</v>
      </c>
      <c r="E100" s="42"/>
      <c r="F100" s="42"/>
      <c r="G100" s="42"/>
      <c r="H100" s="42"/>
      <c r="I100" s="42"/>
      <c r="J100" s="42"/>
      <c r="K100" s="36">
        <f>IF(COUNT(E100:J100)=0,"",AVERAGE(E100:J100))</f>
        <v>0</v>
      </c>
      <c r="L100" s="43">
        <f>IF(COUNT(E100:J100)=0,"",MIN(E100:J100))</f>
        <v>0</v>
      </c>
      <c r="M100" s="43">
        <f>IF(COUNT(E100:J100)=0,"",MAX(E100:J100))</f>
        <v>0</v>
      </c>
    </row>
    <row r="101" spans="1:18" ht="17" customHeight="1">
      <c r="A101" s="24" t="s">
        <v>341</v>
      </c>
      <c r="B101" s="32" t="s">
        <v>96</v>
      </c>
      <c r="C101" s="33" t="s">
        <v>50</v>
      </c>
      <c r="D101" s="34" t="s">
        <v>302</v>
      </c>
      <c r="E101" s="35"/>
      <c r="F101" s="35"/>
      <c r="G101" s="35"/>
      <c r="H101" s="35"/>
      <c r="I101" s="35"/>
      <c r="J101" s="35"/>
      <c r="K101" s="36">
        <f>IF(COUNT(E101:J101)=0,"",AVERAGE(E101:J101))</f>
        <v>0</v>
      </c>
      <c r="L101" s="37">
        <f>IF(COUNT(E101:J101)=0,"",MIN(E101:J101))</f>
        <v>0</v>
      </c>
      <c r="M101" s="37">
        <f>IF(COUNT(E101:J101)=0,"",MAX(E101:J101))</f>
        <v>0</v>
      </c>
    </row>
    <row r="102" spans="1:18" ht="17" customHeight="1">
      <c r="A102" s="24" t="s">
        <v>342</v>
      </c>
      <c r="B102" s="32"/>
      <c r="C102" s="33"/>
      <c r="D102" s="38" t="s">
        <v>304</v>
      </c>
      <c r="E102" s="35"/>
      <c r="F102" s="35"/>
      <c r="G102" s="35"/>
      <c r="H102" s="35"/>
      <c r="I102" s="35"/>
      <c r="J102" s="35"/>
      <c r="K102" s="36">
        <f>IF(COUNT(E102:J102)=0,"",AVERAGE(E102:J102))</f>
        <v>0</v>
      </c>
      <c r="L102" s="37">
        <f>IF(COUNT(E102:J102)=0,"",MIN(E102:J102))</f>
        <v>0</v>
      </c>
      <c r="M102" s="37">
        <f>IF(COUNT(E102:J102)=0,"",MAX(E102:J102))</f>
        <v>0</v>
      </c>
    </row>
    <row r="103" spans="1:18" ht="17" customHeight="1">
      <c r="A103" s="24" t="s">
        <v>343</v>
      </c>
      <c r="B103" s="39" t="s">
        <v>99</v>
      </c>
      <c r="C103" s="40" t="s">
        <v>50</v>
      </c>
      <c r="D103" s="41" t="s">
        <v>302</v>
      </c>
      <c r="E103" s="45"/>
      <c r="F103" s="45"/>
      <c r="G103" s="45"/>
      <c r="H103" s="45"/>
      <c r="I103" s="45"/>
      <c r="J103" s="45"/>
      <c r="K103" s="46">
        <f>IF(COUNT(E103:J103)=0,"",AVERAGE(E103:J103))</f>
        <v>0</v>
      </c>
      <c r="L103" s="47">
        <f>IF(COUNT(E103:J103)=0,"",MIN(E103:J103))</f>
        <v>0</v>
      </c>
      <c r="M103" s="47">
        <f>IF(COUNT(E103:J103)=0,"",MAX(E103:J103))</f>
        <v>0</v>
      </c>
      <c r="Q103">
        <f>IFERROR(IF(INDEX('Limites'!$L:$L,MATCH(nProdUS3,'Limites'!$B:$B,0))="","",INDEX('Limites'!$L:$L,MATCH(nProdUS3,'Limites'!$B:$B,0))),"")</f>
        <v>0</v>
      </c>
      <c r="R103">
        <f>IFERROR(IF(INDEX('Limites'!$M:$M,MATCH(nProdUS3,'Limites'!$B:$B,0))="","",INDEX('Limites'!$M:$M,MATCH(nProdUS3,'Limites'!$B:$B,0))),"")</f>
        <v>0</v>
      </c>
    </row>
    <row r="104" spans="1:18" ht="17" customHeight="1">
      <c r="A104" s="24" t="s">
        <v>344</v>
      </c>
      <c r="B104" s="39"/>
      <c r="C104" s="40"/>
      <c r="D104" s="44" t="s">
        <v>304</v>
      </c>
      <c r="E104" s="45"/>
      <c r="F104" s="45"/>
      <c r="G104" s="45"/>
      <c r="H104" s="45"/>
      <c r="I104" s="45"/>
      <c r="J104" s="45"/>
      <c r="K104" s="46">
        <f>IF(COUNT(E104:J104)=0,"",AVERAGE(E104:J104))</f>
        <v>0</v>
      </c>
      <c r="L104" s="47">
        <f>IF(COUNT(E104:J104)=0,"",MIN(E104:J104))</f>
        <v>0</v>
      </c>
      <c r="M104" s="47">
        <f>IF(COUNT(E104:J104)=0,"",MAX(E104:J104))</f>
        <v>0</v>
      </c>
      <c r="Q104">
        <f>IFERROR(IF(INDEX('Limites'!$L:$L,MATCH(nProdUS4,'Limites'!$B:$B,0))="","",INDEX('Limites'!$L:$L,MATCH(nProdUS4,'Limites'!$B:$B,0))),"")</f>
        <v>0</v>
      </c>
      <c r="R104">
        <f>IFERROR(IF(INDEX('Limites'!$M:$M,MATCH(nProdUS4,'Limites'!$B:$B,0))="","",INDEX('Limites'!$M:$M,MATCH(nProdUS4,'Limites'!$B:$B,0))),"")</f>
        <v>0</v>
      </c>
    </row>
    <row r="105" spans="1:18" ht="17" customHeight="1">
      <c r="A105" s="24" t="s">
        <v>345</v>
      </c>
      <c r="B105" s="32" t="s">
        <v>62</v>
      </c>
      <c r="C105" s="33" t="s">
        <v>50</v>
      </c>
      <c r="D105" s="34" t="s">
        <v>302</v>
      </c>
      <c r="E105" s="48"/>
      <c r="F105" s="48"/>
      <c r="G105" s="48"/>
      <c r="H105" s="48"/>
      <c r="I105" s="48"/>
      <c r="J105" s="48"/>
      <c r="K105" s="49">
        <f>IF(COUNT(E105:J105)=0,"",AVERAGE(E105:J105))</f>
        <v>0</v>
      </c>
      <c r="L105" s="50">
        <f>IF(COUNT(E105:J105)=0,"",MIN(E105:J105))</f>
        <v>0</v>
      </c>
      <c r="M105" s="50">
        <f>IF(COUNT(E105:J105)=0,"",MAX(E105:J105))</f>
        <v>0</v>
      </c>
      <c r="Q105">
        <f>IFERROR(IF(INDEX('Limites'!$D:$D,MATCH(nProdUS3,'Limites'!$B:$B,0))="","",INDEX('Limites'!$D:$D,MATCH(nProdUS3,'Limites'!$B:$B,0))),"")</f>
        <v>0</v>
      </c>
      <c r="R105">
        <f>IFERROR(IF(INDEX('Limites'!$E:$E,MATCH(nProdUS3,'Limites'!$B:$B,0))="","",INDEX('Limites'!$E:$E,MATCH(nProdUS3,'Limites'!$B:$B,0))),"")</f>
        <v>0</v>
      </c>
    </row>
    <row r="106" spans="1:18" ht="17" customHeight="1">
      <c r="A106" s="24" t="s">
        <v>346</v>
      </c>
      <c r="B106" s="32"/>
      <c r="C106" s="33"/>
      <c r="D106" s="38" t="s">
        <v>304</v>
      </c>
      <c r="E106" s="48"/>
      <c r="F106" s="48"/>
      <c r="G106" s="48"/>
      <c r="H106" s="48"/>
      <c r="I106" s="48"/>
      <c r="J106" s="48"/>
      <c r="K106" s="49">
        <f>IF(COUNT(E106:J106)=0,"",AVERAGE(E106:J106))</f>
        <v>0</v>
      </c>
      <c r="L106" s="50">
        <f>IF(COUNT(E106:J106)=0,"",MIN(E106:J106))</f>
        <v>0</v>
      </c>
      <c r="M106" s="50">
        <f>IF(COUNT(E106:J106)=0,"",MAX(E106:J106))</f>
        <v>0</v>
      </c>
      <c r="Q106">
        <f>IFERROR(IF(INDEX('Limites'!$D:$D,MATCH(nProdUS4,'Limites'!$B:$B,0))="","",INDEX('Limites'!$D:$D,MATCH(nProdUS4,'Limites'!$B:$B,0))),"")</f>
        <v>0</v>
      </c>
      <c r="R106">
        <f>IFERROR(IF(INDEX('Limites'!$E:$E,MATCH(nProdUS4,'Limites'!$B:$B,0))="","",INDEX('Limites'!$E:$E,MATCH(nProdUS4,'Limites'!$B:$B,0))),"")</f>
        <v>0</v>
      </c>
    </row>
    <row r="107" spans="1:18" ht="18" customHeight="1">
      <c r="A107" s="24" t="s">
        <v>347</v>
      </c>
      <c r="B107" s="31" t="s">
        <v>104</v>
      </c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</row>
    <row r="108" spans="1:18" ht="17" customHeight="1">
      <c r="A108" s="24" t="s">
        <v>348</v>
      </c>
      <c r="B108" s="39" t="s">
        <v>104</v>
      </c>
      <c r="C108" s="40" t="s">
        <v>105</v>
      </c>
      <c r="D108" s="41" t="s">
        <v>302</v>
      </c>
      <c r="E108" s="42"/>
      <c r="F108" s="42"/>
      <c r="G108" s="42"/>
      <c r="H108" s="42"/>
      <c r="I108" s="42"/>
      <c r="J108" s="42"/>
      <c r="K108" s="36">
        <f>IF(COUNT(E108:J108)=0,"",SUM(E108:J108))</f>
        <v>0</v>
      </c>
      <c r="L108" s="43">
        <f>IF(COUNT(E108:J108)=0,"",MIN(E108:J108))</f>
        <v>0</v>
      </c>
      <c r="M108" s="43">
        <f>IF(COUNT(E108:J108)=0,"",MAX(E108:J108))</f>
        <v>0</v>
      </c>
    </row>
    <row r="109" spans="1:18" ht="17" customHeight="1">
      <c r="A109" s="24" t="s">
        <v>349</v>
      </c>
      <c r="B109" s="39"/>
      <c r="C109" s="40"/>
      <c r="D109" s="44" t="s">
        <v>304</v>
      </c>
      <c r="E109" s="42"/>
      <c r="F109" s="42"/>
      <c r="G109" s="42"/>
      <c r="H109" s="42"/>
      <c r="I109" s="42"/>
      <c r="J109" s="42"/>
      <c r="K109" s="36">
        <f>IF(COUNT(E109:J109)=0,"",SUM(E109:J109))</f>
        <v>0</v>
      </c>
      <c r="L109" s="43">
        <f>IF(COUNT(E109:J109)=0,"",MIN(E109:J109))</f>
        <v>0</v>
      </c>
      <c r="M109" s="43">
        <f>IF(COUNT(E109:J109)=0,"",MAX(E109:J109))</f>
        <v>0</v>
      </c>
    </row>
    <row r="110" spans="1:18" ht="17" customHeight="1">
      <c r="A110" s="24" t="s">
        <v>350</v>
      </c>
      <c r="B110" s="32" t="s">
        <v>109</v>
      </c>
      <c r="C110" s="33" t="s">
        <v>110</v>
      </c>
      <c r="D110" s="34" t="s">
        <v>302</v>
      </c>
      <c r="E110" s="35"/>
      <c r="F110" s="35"/>
      <c r="G110" s="35"/>
      <c r="H110" s="35"/>
      <c r="I110" s="35"/>
      <c r="J110" s="35"/>
      <c r="K110" s="36">
        <f>IF(COUNT(E110:J110)=0,"",LOOKUP(2,1/ISNUMBER(E110:J110),E110:J110))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351</v>
      </c>
      <c r="B111" s="32"/>
      <c r="C111" s="33"/>
      <c r="D111" s="38" t="s">
        <v>304</v>
      </c>
      <c r="E111" s="35"/>
      <c r="F111" s="35"/>
      <c r="G111" s="35"/>
      <c r="H111" s="35"/>
      <c r="I111" s="35"/>
      <c r="J111" s="35"/>
      <c r="K111" s="36">
        <f>IF(COUNT(E111:J111)=0,"",LOOKUP(2,1/ISNUMBER(E111:J111),E111:J111))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352</v>
      </c>
      <c r="B112" s="39" t="s">
        <v>114</v>
      </c>
      <c r="C112" s="40" t="s">
        <v>110</v>
      </c>
      <c r="D112" s="41" t="s">
        <v>302</v>
      </c>
      <c r="E112" s="42"/>
      <c r="F112" s="42"/>
      <c r="G112" s="42"/>
      <c r="H112" s="42"/>
      <c r="I112" s="42"/>
      <c r="J112" s="42"/>
      <c r="K112" s="36">
        <f>IF(COUNT(E112:J112)=0,"",LOOKUP(2,1/ISNUMBER(E112:J112),E112:J112))</f>
        <v>0</v>
      </c>
      <c r="L112" s="43">
        <f>IF(COUNT(E112:J112)=0,"",MIN(E112:J112))</f>
        <v>0</v>
      </c>
      <c r="M112" s="43">
        <f>IF(COUNT(E112:J112)=0,"",MAX(E112:J112))</f>
        <v>0</v>
      </c>
    </row>
    <row r="113" spans="1:13" ht="17" customHeight="1">
      <c r="A113" s="24" t="s">
        <v>353</v>
      </c>
      <c r="B113" s="39"/>
      <c r="C113" s="40"/>
      <c r="D113" s="44" t="s">
        <v>304</v>
      </c>
      <c r="E113" s="42"/>
      <c r="F113" s="42"/>
      <c r="G113" s="42"/>
      <c r="H113" s="42"/>
      <c r="I113" s="42"/>
      <c r="J113" s="42"/>
      <c r="K113" s="36">
        <f>IF(COUNT(E113:J113)=0,"",LOOKUP(2,1/ISNUMBER(E113:J113),E113:J113))</f>
        <v>0</v>
      </c>
      <c r="L113" s="43">
        <f>IF(COUNT(E113:J113)=0,"",MIN(E113:J113))</f>
        <v>0</v>
      </c>
      <c r="M113" s="43">
        <f>IF(COUNT(E113:J113)=0,"",MAX(E113:J113))</f>
        <v>0</v>
      </c>
    </row>
    <row r="114" spans="1:13" ht="17" customHeight="1">
      <c r="B114" s="55" t="s">
        <v>354</v>
      </c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</row>
  </sheetData>
  <sheetProtection sheet="1" objects="1" scenarios="1" formatColumns="0" formatRows="0"/>
  <mergeCells count="101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M77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B106"/>
    <mergeCell ref="C105:C106"/>
    <mergeCell ref="B107:M107"/>
    <mergeCell ref="B108:B109"/>
    <mergeCell ref="C108:C109"/>
    <mergeCell ref="B110:B111"/>
    <mergeCell ref="C110:C111"/>
    <mergeCell ref="B112:B113"/>
    <mergeCell ref="C112:C113"/>
    <mergeCell ref="B114:M114"/>
  </mergeCells>
  <conditionalFormatting sqref="E103:K103">
    <cfRule type="expression" dxfId="1" priority="25">
      <formula>AND(ISNUMBER(E103),OR(AND(ISNUMBER($Q103),ROUND(E103,1)&lt;$Q103),AND(ISNUMBER($R103),ROUND(E103,1)&gt;$R103)))</formula>
    </cfRule>
    <cfRule type="expression" dxfId="2" priority="26">
      <formula>AND(ISNUMBER(E103),OR(ISNUMBER($Q103),ISNUMBER($R103)),NOT(OR(AND(ISNUMBER($Q103),ROUND(E103,1)&lt;$Q103),AND(ISNUMBER($R103),ROUND(E103,1)&gt;$R103))))</formula>
    </cfRule>
  </conditionalFormatting>
  <conditionalFormatting sqref="E104:K104">
    <cfRule type="expression" dxfId="1" priority="27">
      <formula>AND(ISNUMBER(E104),OR(AND(ISNUMBER($Q104),ROUND(E104,1)&lt;$Q104),AND(ISNUMBER($R104),ROUND(E104,1)&gt;$R104)))</formula>
    </cfRule>
    <cfRule type="expression" dxfId="2" priority="28">
      <formula>AND(ISNUMBER(E104),OR(ISNUMBER($Q104),ISNUMBER($R104)),NOT(OR(AND(ISNUMBER($Q104),ROUND(E104,1)&lt;$Q104),AND(ISNUMBER($R104),ROUND(E104,1)&gt;$R104))))</formula>
    </cfRule>
  </conditionalFormatting>
  <conditionalFormatting sqref="E105:K105">
    <cfRule type="expression" dxfId="1" priority="29">
      <formula>AND(ISNUMBER(E105),OR(AND(ISNUMBER($Q105),ROUND(E105,2)&lt;$Q105),AND(ISNUMBER($R105),ROUND(E105,2)&gt;$R105)))</formula>
    </cfRule>
    <cfRule type="expression" dxfId="2" priority="30">
      <formula>AND(ISNUMBER(E105),OR(ISNUMBER($Q105),ISNUMBER($R105)),NOT(OR(AND(ISNUMBER($Q105),ROUND(E105,2)&lt;$Q105),AND(ISNUMBER($R105),ROUND(E105,2)&gt;$R105))))</formula>
    </cfRule>
  </conditionalFormatting>
  <conditionalFormatting sqref="E106:K106">
    <cfRule type="expression" dxfId="1" priority="31">
      <formula>AND(ISNUMBER(E106),OR(AND(ISNUMBER($Q106),ROUND(E106,2)&lt;$Q106),AND(ISNUMBER($R106),ROUND(E106,2)&gt;$R106)))</formula>
    </cfRule>
    <cfRule type="expression" dxfId="2" priority="32">
      <formula>AND(ISNUMBER(E106),OR(ISNUMBER($Q106),ISNUMBER($R106)),NOT(OR(AND(ISNUMBER($Q106),ROUND(E106,2)&lt;$Q106),AND(ISNUMBER($R106),ROUND(E106,2)&gt;$R106))))</formula>
    </cfRule>
  </conditionalFormatting>
  <conditionalFormatting sqref="E78:K78">
    <cfRule type="expression" dxfId="1" priority="1">
      <formula>AND(ISNUMBER(E78),OR(AND(ISNUMBER($Q78),ROUND(E78,2)&lt;$Q78),AND(ISNUMBER($R78),ROUND(E78,2)&gt;$R78)))</formula>
    </cfRule>
    <cfRule type="expression" dxfId="2" priority="2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3">
      <formula>AND(ISNUMBER(E79),OR(AND(ISNUMBER($Q79),ROUND(E79,2)&lt;$Q79),AND(ISNUMBER($R79),ROUND(E79,2)&gt;$R79)))</formula>
    </cfRule>
    <cfRule type="expression" dxfId="2" priority="4">
      <formula>AND(ISNUMBER(E79),OR(ISNUMBER($Q79),ISNUMBER($R79)),NOT(OR(AND(ISNUMBER($Q79),ROUND(E79,2)&lt;$Q79),AND(ISNUMBER($R79),ROUND(E79,2)&gt;$R79))))</formula>
    </cfRule>
  </conditionalFormatting>
  <conditionalFormatting sqref="E82:K82">
    <cfRule type="expression" dxfId="1" priority="5">
      <formula>AND(ISNUMBER(E82),OR(AND(ISNUMBER($Q82),ROUND(E82,2)&lt;$Q82),AND(ISNUMBER($R82),ROUND(E82,2)&gt;$R82)))</formula>
    </cfRule>
    <cfRule type="expression" dxfId="2" priority="6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7">
      <formula>AND(ISNUMBER(E83),OR(AND(ISNUMBER($Q83),ROUND(E83,2)&lt;$Q83),AND(ISNUMBER($R83),ROUND(E83,2)&gt;$R83)))</formula>
    </cfRule>
    <cfRule type="expression" dxfId="2" priority="8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9">
      <formula>AND(ISNUMBER(E84),OR(AND(ISNUMBER($Q84),ROUND(E84,2)&lt;$Q84),AND(ISNUMBER($R84),ROUND(E84,2)&gt;$R84)))</formula>
    </cfRule>
    <cfRule type="expression" dxfId="2" priority="10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1">
      <formula>AND(ISNUMBER(E85),OR(AND(ISNUMBER($Q85),ROUND(E85,2)&lt;$Q85),AND(ISNUMBER($R85),ROUND(E85,2)&gt;$R85)))</formula>
    </cfRule>
    <cfRule type="expression" dxfId="2" priority="12">
      <formula>AND(ISNUMBER(E85),OR(ISNUMBER($Q85),ISNUMBER($R85)),NOT(OR(AND(ISNUMBER($Q85),ROUND(E85,2)&lt;$Q85),AND(ISNUMBER($R85),ROUND(E85,2)&gt;$R85))))</formula>
    </cfRule>
  </conditionalFormatting>
  <conditionalFormatting sqref="E86:K86">
    <cfRule type="expression" dxfId="1" priority="13">
      <formula>AND(ISNUMBER(E86),OR(AND(ISNUMBER($Q86),ROUND(E86,2)&lt;$Q86),AND(ISNUMBER($R86),ROUND(E86,2)&gt;$R86)))</formula>
    </cfRule>
    <cfRule type="expression" dxfId="2" priority="14">
      <formula>AND(ISNUMBER(E86),OR(ISNUMBER($Q86),ISNUMBER($R86)),NOT(OR(AND(ISNUMBER($Q86),ROUND(E86,2)&lt;$Q86),AND(ISNUMBER($R86),ROUND(E86,2)&gt;$R86))))</formula>
    </cfRule>
  </conditionalFormatting>
  <conditionalFormatting sqref="E87:K87">
    <cfRule type="expression" dxfId="1" priority="15">
      <formula>AND(ISNUMBER(E87),OR(AND(ISNUMBER($Q87),ROUND(E87,2)&lt;$Q87),AND(ISNUMBER($R87),ROUND(E87,2)&gt;$R87)))</formula>
    </cfRule>
    <cfRule type="expression" dxfId="2" priority="16">
      <formula>AND(ISNUMBER(E87),OR(ISNUMBER($Q87),ISNUMBER($R87)),NOT(OR(AND(ISNUMBER($Q87),ROUND(E87,2)&lt;$Q87),AND(ISNUMBER($R87),ROUND(E87,2)&gt;$R87))))</formula>
    </cfRule>
  </conditionalFormatting>
  <conditionalFormatting sqref="E95:K95">
    <cfRule type="expression" dxfId="1" priority="17">
      <formula>AND(ISNUMBER(E95),OR(AND(ISNUMBER($Q95),ROUND(E95,2)&lt;$Q95),AND(ISNUMBER($R95),ROUND(E95,2)&gt;$R95)))</formula>
    </cfRule>
    <cfRule type="expression" dxfId="2" priority="18">
      <formula>AND(ISNUMBER(E95),OR(ISNUMBER($Q95),ISNUMBER($R95)),NOT(OR(AND(ISNUMBER($Q95),ROUND(E95,2)&lt;$Q95),AND(ISNUMBER($R95),ROUND(E95,2)&gt;$R95))))</formula>
    </cfRule>
  </conditionalFormatting>
  <conditionalFormatting sqref="E96:K96">
    <cfRule type="expression" dxfId="1" priority="19">
      <formula>AND(ISNUMBER(E96),OR(AND(ISNUMBER($Q96),ROUND(E96,2)&lt;$Q96),AND(ISNUMBER($R96),ROUND(E96,2)&gt;$R96)))</formula>
    </cfRule>
    <cfRule type="expression" dxfId="2" priority="20">
      <formula>AND(ISNUMBER(E96),OR(ISNUMBER($Q96),ISNUMBER($R96)),NOT(OR(AND(ISNUMBER($Q96),ROUND(E96,2)&lt;$Q96),AND(ISNUMBER($R96),ROUND(E96,2)&gt;$R96))))</formula>
    </cfRule>
  </conditionalFormatting>
  <conditionalFormatting sqref="E97:K97">
    <cfRule type="expression" dxfId="1" priority="21">
      <formula>AND(ISNUMBER(E97),OR(AND(ISNUMBER($Q97),ROUND(E97,1)&lt;$Q97),AND(ISNUMBER($R97),ROUND(E97,1)&gt;$R97)))</formula>
    </cfRule>
    <cfRule type="expression" dxfId="2" priority="22">
      <formula>AND(ISNUMBER(E97),OR(ISNUMBER($Q97),ISNUMBER($R97)),NOT(OR(AND(ISNUMBER($Q97),ROUND(E97,1)&lt;$Q97),AND(ISNUMBER($R97),ROUND(E97,1)&gt;$R97))))</formula>
    </cfRule>
  </conditionalFormatting>
  <conditionalFormatting sqref="E98:K98">
    <cfRule type="expression" dxfId="1" priority="23">
      <formula>AND(ISNUMBER(E98),OR(AND(ISNUMBER($Q98),ROUND(E98,1)&lt;$Q98),AND(ISNUMBER($R98),ROUND(E98,1)&gt;$R98)))</formula>
    </cfRule>
    <cfRule type="expression" dxfId="2" priority="24">
      <formula>AND(ISNUMBER(E98),OR(ISNUMBER($Q98),ISNUMBER($R98)),NOT(OR(AND(ISNUMBER($Q98),ROUND(E98,1)&lt;$Q98),AND(ISNUMBER($R98),ROUND(E98,1)&gt;$R98))))</formula>
    </cfRule>
  </conditionalFormatting>
  <hyperlinks>
    <hyperlink ref="O10" location="'Preenchimento'!B73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6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1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34" customHeight="1">
      <c r="B2" s="1"/>
      <c r="C2" s="1"/>
      <c r="D2" s="1"/>
      <c r="E2" s="2" t="s">
        <v>236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4" customHeight="1">
      <c r="B3" s="1"/>
      <c r="C3" s="1"/>
      <c r="D3" s="1"/>
      <c r="E3" s="3" t="s">
        <v>237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56" t="s">
        <v>362</v>
      </c>
      <c r="C6" s="57" t="s">
        <v>180</v>
      </c>
      <c r="D6" s="57"/>
      <c r="E6" s="58"/>
      <c r="F6" s="58"/>
      <c r="G6" s="58"/>
      <c r="H6" s="59" t="s">
        <v>181</v>
      </c>
      <c r="I6" s="58"/>
      <c r="J6" s="58"/>
      <c r="K6" s="58"/>
      <c r="L6" s="60" t="s">
        <v>363</v>
      </c>
      <c r="M6" s="60"/>
      <c r="N6" s="60"/>
      <c r="O6" s="60"/>
      <c r="P6" s="60"/>
      <c r="Q6" s="60"/>
      <c r="R6" s="60"/>
      <c r="S6" s="60"/>
    </row>
    <row r="7" spans="1:21" ht="6" customHeight="1"/>
    <row r="8" spans="1:21" ht="20" customHeight="1">
      <c r="B8" s="56" t="s">
        <v>244</v>
      </c>
      <c r="C8" s="61">
        <f>IF(dProdUS3="","",dProdUS3)</f>
        <v>0</v>
      </c>
      <c r="D8" s="61"/>
    </row>
    <row r="9" spans="1:21" ht="20" customHeight="1">
      <c r="B9" s="56" t="s">
        <v>245</v>
      </c>
      <c r="C9" s="61">
        <f>IF(dProdUS4="","",dProdUS4)</f>
        <v>0</v>
      </c>
      <c r="D9" s="61"/>
    </row>
    <row r="10" spans="1:21">
      <c r="B10" s="62" t="s">
        <v>288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U10" s="11" t="s">
        <v>355</v>
      </c>
    </row>
    <row r="11" spans="1:21" ht="30" customHeight="1">
      <c r="B11" s="30" t="s">
        <v>289</v>
      </c>
      <c r="C11" s="30" t="s">
        <v>290</v>
      </c>
      <c r="D11" s="30" t="s">
        <v>291</v>
      </c>
      <c r="E11" s="30" t="s">
        <v>364</v>
      </c>
      <c r="F11" s="30" t="s">
        <v>364</v>
      </c>
      <c r="G11" s="30" t="s">
        <v>364</v>
      </c>
      <c r="H11" s="30" t="s">
        <v>364</v>
      </c>
      <c r="I11" s="30" t="s">
        <v>364</v>
      </c>
      <c r="J11" s="30" t="s">
        <v>364</v>
      </c>
      <c r="K11" s="30" t="s">
        <v>364</v>
      </c>
      <c r="L11" s="30" t="s">
        <v>364</v>
      </c>
      <c r="M11" s="30" t="s">
        <v>364</v>
      </c>
      <c r="N11" s="30" t="s">
        <v>364</v>
      </c>
      <c r="O11" s="30" t="s">
        <v>364</v>
      </c>
      <c r="P11" s="30" t="s">
        <v>364</v>
      </c>
      <c r="Q11" s="30" t="s">
        <v>365</v>
      </c>
      <c r="R11" s="30" t="s">
        <v>298</v>
      </c>
      <c r="S11" s="30" t="s">
        <v>299</v>
      </c>
    </row>
    <row r="12" spans="1:21" ht="18" customHeight="1">
      <c r="A12" s="24" t="s">
        <v>300</v>
      </c>
      <c r="B12" s="31" t="s">
        <v>33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21" ht="17" customHeight="1">
      <c r="A13" s="24" t="s">
        <v>301</v>
      </c>
      <c r="B13" s="32" t="s">
        <v>34</v>
      </c>
      <c r="C13" s="33" t="s">
        <v>35</v>
      </c>
      <c r="D13" s="34" t="s">
        <v>302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1" ht="17" customHeight="1">
      <c r="A14" s="24" t="s">
        <v>303</v>
      </c>
      <c r="B14" s="32"/>
      <c r="C14" s="33"/>
      <c r="D14" s="38" t="s">
        <v>304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</row>
    <row r="15" spans="1:21" ht="18" customHeight="1">
      <c r="A15" s="24" t="s">
        <v>305</v>
      </c>
      <c r="B15" s="31" t="s">
        <v>40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</row>
    <row r="16" spans="1:21" ht="17" customHeight="1">
      <c r="A16" s="24" t="s">
        <v>306</v>
      </c>
      <c r="B16" s="39" t="s">
        <v>41</v>
      </c>
      <c r="C16" s="40" t="s">
        <v>42</v>
      </c>
      <c r="D16" s="41" t="s">
        <v>302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36">
        <f>IF(COUNT(E16:P16)=0,"",AVERAGE(E16:P16))</f>
        <v>0</v>
      </c>
      <c r="R16" s="43">
        <f>IF(COUNT(E16:P16)=0,"",MIN(E16:P16))</f>
        <v>0</v>
      </c>
      <c r="S16" s="43">
        <f>IF(COUNT(E16:P16)=0,"",MAX(E16:P16))</f>
        <v>0</v>
      </c>
    </row>
    <row r="17" spans="1:24" ht="17" customHeight="1">
      <c r="A17" s="24" t="s">
        <v>307</v>
      </c>
      <c r="B17" s="39"/>
      <c r="C17" s="40"/>
      <c r="D17" s="44" t="s">
        <v>304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6">
        <f>IF(COUNT(E17:P17)=0,"",AVERAGE(E17:P17))</f>
        <v>0</v>
      </c>
      <c r="R17" s="43">
        <f>IF(COUNT(E17:P17)=0,"",MIN(E17:P17))</f>
        <v>0</v>
      </c>
      <c r="S17" s="43">
        <f>IF(COUNT(E17:P17)=0,"",MAX(E17:P17))</f>
        <v>0</v>
      </c>
    </row>
    <row r="18" spans="1:24" ht="17" customHeight="1">
      <c r="A18" s="24" t="s">
        <v>308</v>
      </c>
      <c r="B18" s="32" t="s">
        <v>46</v>
      </c>
      <c r="C18" s="33" t="s">
        <v>42</v>
      </c>
      <c r="D18" s="34" t="s">
        <v>302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6">
        <f>IF(COUNT(E18:P18)=0,"",AVERAGE(E18:P18))</f>
        <v>0</v>
      </c>
      <c r="R18" s="37">
        <f>IF(COUNT(E18:P18)=0,"",MIN(E18:P18))</f>
        <v>0</v>
      </c>
      <c r="S18" s="37">
        <f>IF(COUNT(E18:P18)=0,"",MAX(E18:P18))</f>
        <v>0</v>
      </c>
    </row>
    <row r="19" spans="1:24" ht="17" customHeight="1">
      <c r="A19" s="24" t="s">
        <v>309</v>
      </c>
      <c r="B19" s="32"/>
      <c r="C19" s="33"/>
      <c r="D19" s="38" t="s">
        <v>304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6">
        <f>IF(COUNT(E19:P19)=0,"",AVERAGE(E19:P19))</f>
        <v>0</v>
      </c>
      <c r="R19" s="37">
        <f>IF(COUNT(E19:P19)=0,"",MIN(E19:P19))</f>
        <v>0</v>
      </c>
      <c r="S19" s="37">
        <f>IF(COUNT(E19:P19)=0,"",MAX(E19:P19))</f>
        <v>0</v>
      </c>
    </row>
    <row r="20" spans="1:24" ht="17" customHeight="1">
      <c r="A20" s="24" t="s">
        <v>310</v>
      </c>
      <c r="B20" s="39" t="s">
        <v>49</v>
      </c>
      <c r="C20" s="40" t="s">
        <v>50</v>
      </c>
      <c r="D20" s="41" t="s">
        <v>302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6">
        <f>IF(COUNT(E20:P20)=0,"",AVERAGE(E20:P20))</f>
        <v>0</v>
      </c>
      <c r="R20" s="47">
        <f>IF(COUNT(E20:P20)=0,"",MIN(E20:P20))</f>
        <v>0</v>
      </c>
      <c r="S20" s="47">
        <f>IF(COUNT(E20:P20)=0,"",MAX(E20:P20))</f>
        <v>0</v>
      </c>
    </row>
    <row r="21" spans="1:24" ht="17" customHeight="1">
      <c r="A21" s="24" t="s">
        <v>311</v>
      </c>
      <c r="B21" s="39"/>
      <c r="C21" s="40"/>
      <c r="D21" s="44" t="s">
        <v>304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6">
        <f>IF(COUNT(E21:P21)=0,"",AVERAGE(E21:P21))</f>
        <v>0</v>
      </c>
      <c r="R21" s="47">
        <f>IF(COUNT(E21:P21)=0,"",MIN(E21:P21))</f>
        <v>0</v>
      </c>
      <c r="S21" s="47">
        <f>IF(COUNT(E21:P21)=0,"",MAX(E21:P21))</f>
        <v>0</v>
      </c>
    </row>
    <row r="22" spans="1:24" ht="17" customHeight="1">
      <c r="A22" s="24" t="s">
        <v>312</v>
      </c>
      <c r="B22" s="32" t="s">
        <v>53</v>
      </c>
      <c r="C22" s="33" t="s">
        <v>50</v>
      </c>
      <c r="D22" s="34" t="s">
        <v>302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9">
        <f>IF(COUNT(E22:P22)=0,"",AVERAGE(E22:P22))</f>
        <v>0</v>
      </c>
      <c r="R22" s="50">
        <f>IF(COUNT(E22:P22)=0,"",MIN(E22:P22))</f>
        <v>0</v>
      </c>
      <c r="S22" s="50">
        <f>IF(COUNT(E22:P22)=0,"",MAX(E22:P22))</f>
        <v>0</v>
      </c>
    </row>
    <row r="23" spans="1:24" ht="17" customHeight="1">
      <c r="A23" s="24" t="s">
        <v>313</v>
      </c>
      <c r="B23" s="32"/>
      <c r="C23" s="33"/>
      <c r="D23" s="38" t="s">
        <v>304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9">
        <f>IF(COUNT(E23:P23)=0,"",AVERAGE(E23:P23))</f>
        <v>0</v>
      </c>
      <c r="R23" s="50">
        <f>IF(COUNT(E23:P23)=0,"",MIN(E23:P23))</f>
        <v>0</v>
      </c>
      <c r="S23" s="50">
        <f>IF(COUNT(E23:P23)=0,"",MAX(E23:P23))</f>
        <v>0</v>
      </c>
    </row>
    <row r="24" spans="1:24" ht="17" customHeight="1">
      <c r="A24" s="24" t="s">
        <v>314</v>
      </c>
      <c r="B24" s="39" t="s">
        <v>56</v>
      </c>
      <c r="C24" s="40" t="s">
        <v>50</v>
      </c>
      <c r="D24" s="41" t="s">
        <v>302</v>
      </c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49">
        <f>IF(COUNT(E24:P24)=0,"",AVERAGE(E24:P24))</f>
        <v>0</v>
      </c>
      <c r="R24" s="52">
        <f>IF(COUNT(E24:P24)=0,"",MIN(E24:P24))</f>
        <v>0</v>
      </c>
      <c r="S24" s="52">
        <f>IF(COUNT(E24:P24)=0,"",MAX(E24:P24))</f>
        <v>0</v>
      </c>
    </row>
    <row r="25" spans="1:24" ht="17" customHeight="1">
      <c r="A25" s="24" t="s">
        <v>315</v>
      </c>
      <c r="B25" s="39"/>
      <c r="C25" s="40"/>
      <c r="D25" s="44" t="s">
        <v>304</v>
      </c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49">
        <f>IF(COUNT(E25:P25)=0,"",AVERAGE(E25:P25))</f>
        <v>0</v>
      </c>
      <c r="R25" s="52">
        <f>IF(COUNT(E25:P25)=0,"",MIN(E25:P25))</f>
        <v>0</v>
      </c>
      <c r="S25" s="52">
        <f>IF(COUNT(E25:P25)=0,"",MAX(E25:P25))</f>
        <v>0</v>
      </c>
    </row>
    <row r="26" spans="1:24" ht="18" customHeight="1">
      <c r="A26" s="24" t="s">
        <v>316</v>
      </c>
      <c r="B26" s="31" t="s">
        <v>59</v>
      </c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</row>
    <row r="27" spans="1:24" ht="17" customHeight="1">
      <c r="A27" s="24" t="s">
        <v>317</v>
      </c>
      <c r="B27" s="32" t="s">
        <v>60</v>
      </c>
      <c r="C27" s="33" t="s">
        <v>50</v>
      </c>
      <c r="D27" s="34" t="s">
        <v>318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9">
        <f>IF(COUNT(E27:P27)=0,"",AVERAGE(E27:P27))</f>
        <v>0</v>
      </c>
      <c r="R27" s="50">
        <f>IF(COUNT(E27:P27)=0,"",MIN(E27:P27))</f>
        <v>0</v>
      </c>
      <c r="S27" s="50">
        <f>IF(COUNT(E27:P27)=0,"",MAX(E27:P27))</f>
        <v>0</v>
      </c>
      <c r="W27">
        <f>IFERROR(IF(INDEX('Limites'!$R:$R,MATCH(IF(gProdUS3="",gProdUS4,gProdUS3),'Limites'!$B:$B,0))="","",INDEX('Limites'!$R:$R,MATCH(IF(gProdUS3="",gProdUS4,gProdUS3),'Limites'!$B:$B,0))),"")</f>
        <v>0</v>
      </c>
      <c r="X27">
        <f>IFERROR(IF(INDEX('Limites'!$S:$S,MATCH(IF(gProdUS3="",gProdUS4,gProdUS3),'Limites'!$B:$B,0))="","",INDEX('Limites'!$S:$S,MATCH(IF(gProdUS3="",gProdUS4,gProdUS3),'Limites'!$B:$B,0))),"")</f>
        <v>0</v>
      </c>
    </row>
    <row r="28" spans="1:24" ht="17" customHeight="1">
      <c r="A28" s="24" t="s">
        <v>319</v>
      </c>
      <c r="B28" s="39" t="s">
        <v>62</v>
      </c>
      <c r="C28" s="40" t="s">
        <v>50</v>
      </c>
      <c r="D28" s="41" t="s">
        <v>318</v>
      </c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49">
        <f>IF(COUNT(E28:P28)=0,"",AVERAGE(E28:P28))</f>
        <v>0</v>
      </c>
      <c r="R28" s="52">
        <f>IF(COUNT(E28:P28)=0,"",MIN(E28:P28))</f>
        <v>0</v>
      </c>
      <c r="S28" s="52">
        <f>IF(COUNT(E28:P28)=0,"",MAX(E28:P28))</f>
        <v>0</v>
      </c>
      <c r="W28">
        <f>IFERROR(IF(INDEX('Limites'!$P:$P,MATCH(IF(gProdUS3="",gProdUS4,gProdUS3),'Limites'!$B:$B,0))="","",INDEX('Limites'!$P:$P,MATCH(IF(gProdUS3="",gProdUS4,gProdUS3),'Limites'!$B:$B,0))),"")</f>
        <v>0</v>
      </c>
      <c r="X28">
        <f>IFERROR(IF(INDEX('Limites'!$Q:$Q,MATCH(IF(gProdUS3="",gProdUS4,gProdUS3),'Limites'!$B:$B,0))="","",INDEX('Limites'!$Q:$Q,MATCH(IF(gProdUS3="",gProdUS4,gProdUS3),'Limites'!$B:$B,0))),"")</f>
        <v>0</v>
      </c>
    </row>
    <row r="29" spans="1:24" ht="17" customHeight="1">
      <c r="A29" s="24" t="s">
        <v>320</v>
      </c>
      <c r="B29" s="32" t="s">
        <v>64</v>
      </c>
      <c r="C29" s="33" t="s">
        <v>50</v>
      </c>
      <c r="D29" s="34" t="s">
        <v>318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9">
        <f>IF(COUNT(E29:P29)=0,"",AVERAGE(E29:P29))</f>
        <v>0</v>
      </c>
      <c r="R29" s="50">
        <f>IF(COUNT(E29:P29)=0,"",MIN(E29:P29))</f>
        <v>0</v>
      </c>
      <c r="S29" s="50">
        <f>IF(COUNT(E29:P29)=0,"",MAX(E29:P29))</f>
        <v>0</v>
      </c>
    </row>
    <row r="30" spans="1:24" ht="18" customHeight="1">
      <c r="A30" s="24" t="s">
        <v>321</v>
      </c>
      <c r="B30" s="31" t="s">
        <v>66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</row>
    <row r="31" spans="1:24" ht="17" customHeight="1">
      <c r="A31" s="24" t="s">
        <v>322</v>
      </c>
      <c r="B31" s="39" t="s">
        <v>62</v>
      </c>
      <c r="C31" s="40" t="s">
        <v>50</v>
      </c>
      <c r="D31" s="41" t="s">
        <v>302</v>
      </c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49">
        <f>IF(COUNT(E31:P31)=0,"",AVERAGE(E31:P31))</f>
        <v>0</v>
      </c>
      <c r="R31" s="52">
        <f>IF(COUNT(E31:P31)=0,"",MIN(E31:P31))</f>
        <v>0</v>
      </c>
      <c r="S31" s="52">
        <f>IF(COUNT(E31:P31)=0,"",MAX(E31:P31))</f>
        <v>0</v>
      </c>
      <c r="W31">
        <f>IFERROR(IF(INDEX('Limites'!$D:$D,MATCH(gProdUS3,'Limites'!$B:$B,0))="","",INDEX('Limites'!$D:$D,MATCH(gProdUS3,'Limites'!$B:$B,0))),"")</f>
        <v>0</v>
      </c>
      <c r="X31">
        <f>IFERROR(IF(INDEX('Limites'!$E:$E,MATCH(gProdUS3,'Limites'!$B:$B,0))="","",INDEX('Limites'!$E:$E,MATCH(gProdUS3,'Limites'!$B:$B,0))),"")</f>
        <v>0</v>
      </c>
    </row>
    <row r="32" spans="1:24" ht="17" customHeight="1">
      <c r="A32" s="24" t="s">
        <v>323</v>
      </c>
      <c r="B32" s="39"/>
      <c r="C32" s="40"/>
      <c r="D32" s="44" t="s">
        <v>304</v>
      </c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49">
        <f>IF(COUNT(E32:P32)=0,"",AVERAGE(E32:P32))</f>
        <v>0</v>
      </c>
      <c r="R32" s="52">
        <f>IF(COUNT(E32:P32)=0,"",MIN(E32:P32))</f>
        <v>0</v>
      </c>
      <c r="S32" s="52">
        <f>IF(COUNT(E32:P32)=0,"",MAX(E32:P32))</f>
        <v>0</v>
      </c>
      <c r="W32">
        <f>IFERROR(IF(INDEX('Limites'!$D:$D,MATCH(gProdUS4,'Limites'!$B:$B,0))="","",INDEX('Limites'!$D:$D,MATCH(gProdUS4,'Limites'!$B:$B,0))),"")</f>
        <v>0</v>
      </c>
      <c r="X32">
        <f>IFERROR(IF(INDEX('Limites'!$E:$E,MATCH(gProdUS4,'Limites'!$B:$B,0))="","",INDEX('Limites'!$E:$E,MATCH(gProdUS4,'Limites'!$B:$B,0))),"")</f>
        <v>0</v>
      </c>
    </row>
    <row r="33" spans="1:24" ht="17" customHeight="1">
      <c r="A33" s="24" t="s">
        <v>324</v>
      </c>
      <c r="B33" s="32" t="s">
        <v>64</v>
      </c>
      <c r="C33" s="33" t="s">
        <v>50</v>
      </c>
      <c r="D33" s="34" t="s">
        <v>302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9">
        <f>IF(COUNT(E33:P33)=0,"",AVERAGE(E33:P33))</f>
        <v>0</v>
      </c>
      <c r="R33" s="50">
        <f>IF(COUNT(E33:P33)=0,"",MIN(E33:P33))</f>
        <v>0</v>
      </c>
      <c r="S33" s="50">
        <f>IF(COUNT(E33:P33)=0,"",MAX(E33:P33))</f>
        <v>0</v>
      </c>
      <c r="W33">
        <f>IFERROR(IF(INDEX('Limites'!$F:$F,MATCH(gProdUS3,'Limites'!$B:$B,0))="","",INDEX('Limites'!$F:$F,MATCH(gProdUS3,'Limites'!$B:$B,0))),"")</f>
        <v>0</v>
      </c>
      <c r="X33">
        <f>IFERROR(IF(INDEX('Limites'!$G:$G,MATCH(gProdUS3,'Limites'!$B:$B,0))="","",INDEX('Limites'!$G:$G,MATCH(gProdUS3,'Limites'!$B:$B,0))),"")</f>
        <v>0</v>
      </c>
    </row>
    <row r="34" spans="1:24" ht="17" customHeight="1">
      <c r="A34" s="24" t="s">
        <v>325</v>
      </c>
      <c r="B34" s="32"/>
      <c r="C34" s="33"/>
      <c r="D34" s="38" t="s">
        <v>304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9">
        <f>IF(COUNT(E34:P34)=0,"",AVERAGE(E34:P34))</f>
        <v>0</v>
      </c>
      <c r="R34" s="50">
        <f>IF(COUNT(E34:P34)=0,"",MIN(E34:P34))</f>
        <v>0</v>
      </c>
      <c r="S34" s="50">
        <f>IF(COUNT(E34:P34)=0,"",MAX(E34:P34))</f>
        <v>0</v>
      </c>
      <c r="W34">
        <f>IFERROR(IF(INDEX('Limites'!$F:$F,MATCH(gProdUS4,'Limites'!$B:$B,0))="","",INDEX('Limites'!$F:$F,MATCH(gProdUS4,'Limites'!$B:$B,0))),"")</f>
        <v>0</v>
      </c>
      <c r="X34">
        <f>IFERROR(IF(INDEX('Limites'!$G:$G,MATCH(gProdUS4,'Limites'!$B:$B,0))="","",INDEX('Limites'!$G:$G,MATCH(gProdUS4,'Limites'!$B:$B,0))),"")</f>
        <v>0</v>
      </c>
    </row>
    <row r="35" spans="1:24" ht="17" customHeight="1">
      <c r="A35" s="24" t="s">
        <v>326</v>
      </c>
      <c r="B35" s="39" t="s">
        <v>71</v>
      </c>
      <c r="C35" s="40" t="s">
        <v>72</v>
      </c>
      <c r="D35" s="41" t="s">
        <v>302</v>
      </c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49">
        <f>IF(COUNT(E35:P35)=0,"",AVERAGE(E35:P35))</f>
        <v>0</v>
      </c>
      <c r="R35" s="52">
        <f>IF(COUNT(E35:P35)=0,"",MIN(E35:P35))</f>
        <v>0</v>
      </c>
      <c r="S35" s="52">
        <f>IF(COUNT(E35:P35)=0,"",MAX(E35:P35))</f>
        <v>0</v>
      </c>
      <c r="W35">
        <f>IFERROR(IF(INDEX('Limites'!$H:$H,MATCH(gProdUS3,'Limites'!$B:$B,0))="","",INDEX('Limites'!$H:$H,MATCH(gProdUS3,'Limites'!$B:$B,0))),"")</f>
        <v>0</v>
      </c>
      <c r="X35">
        <f>IFERROR(IF(INDEX('Limites'!$I:$I,MATCH(gProdUS3,'Limites'!$B:$B,0))="","",INDEX('Limites'!$I:$I,MATCH(gProdUS3,'Limites'!$B:$B,0))),"")</f>
        <v>0</v>
      </c>
    </row>
    <row r="36" spans="1:24" ht="17" customHeight="1">
      <c r="A36" s="24" t="s">
        <v>327</v>
      </c>
      <c r="B36" s="39"/>
      <c r="C36" s="40"/>
      <c r="D36" s="44" t="s">
        <v>304</v>
      </c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49">
        <f>IF(COUNT(E36:P36)=0,"",AVERAGE(E36:P36))</f>
        <v>0</v>
      </c>
      <c r="R36" s="52">
        <f>IF(COUNT(E36:P36)=0,"",MIN(E36:P36))</f>
        <v>0</v>
      </c>
      <c r="S36" s="52">
        <f>IF(COUNT(E36:P36)=0,"",MAX(E36:P36))</f>
        <v>0</v>
      </c>
      <c r="W36">
        <f>IFERROR(IF(INDEX('Limites'!$H:$H,MATCH(gProdUS4,'Limites'!$B:$B,0))="","",INDEX('Limites'!$H:$H,MATCH(gProdUS4,'Limites'!$B:$B,0))),"")</f>
        <v>0</v>
      </c>
      <c r="X36">
        <f>IFERROR(IF(INDEX('Limites'!$I:$I,MATCH(gProdUS4,'Limites'!$B:$B,0))="","",INDEX('Limites'!$I:$I,MATCH(gProdUS4,'Limites'!$B:$B,0))),"")</f>
        <v>0</v>
      </c>
    </row>
    <row r="37" spans="1:24" ht="17" customHeight="1">
      <c r="A37" s="24" t="s">
        <v>328</v>
      </c>
      <c r="B37" s="32" t="s">
        <v>75</v>
      </c>
      <c r="C37" s="33" t="s">
        <v>76</v>
      </c>
      <c r="D37" s="34" t="s">
        <v>302</v>
      </c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46">
        <f>IF(COUNT(E37:P37)=0,"",AVERAGE(E37:P37))</f>
        <v>0</v>
      </c>
      <c r="R37" s="54">
        <f>IF(COUNT(E37:P37)=0,"",MIN(E37:P37))</f>
        <v>0</v>
      </c>
      <c r="S37" s="54">
        <f>IF(COUNT(E37:P37)=0,"",MAX(E37:P37))</f>
        <v>0</v>
      </c>
    </row>
    <row r="38" spans="1:24" ht="17" customHeight="1">
      <c r="A38" s="24" t="s">
        <v>329</v>
      </c>
      <c r="B38" s="32"/>
      <c r="C38" s="33"/>
      <c r="D38" s="38" t="s">
        <v>304</v>
      </c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46">
        <f>IF(COUNT(E38:P38)=0,"",AVERAGE(E38:P38))</f>
        <v>0</v>
      </c>
      <c r="R38" s="54">
        <f>IF(COUNT(E38:P38)=0,"",MIN(E38:P38))</f>
        <v>0</v>
      </c>
      <c r="S38" s="54">
        <f>IF(COUNT(E38:P38)=0,"",MAX(E38:P38))</f>
        <v>0</v>
      </c>
    </row>
    <row r="39" spans="1:24" ht="17" customHeight="1">
      <c r="A39" s="24" t="s">
        <v>330</v>
      </c>
      <c r="B39" s="39" t="s">
        <v>79</v>
      </c>
      <c r="C39" s="40" t="s">
        <v>50</v>
      </c>
      <c r="D39" s="41" t="s">
        <v>302</v>
      </c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49">
        <f>IF(COUNT(E39:P39)=0,"",AVERAGE(E39:P39))</f>
        <v>0</v>
      </c>
      <c r="R39" s="52">
        <f>IF(COUNT(E39:P39)=0,"",MIN(E39:P39))</f>
        <v>0</v>
      </c>
      <c r="S39" s="52">
        <f>IF(COUNT(E39:P39)=0,"",MAX(E39:P39))</f>
        <v>0</v>
      </c>
    </row>
    <row r="40" spans="1:24" ht="17" customHeight="1">
      <c r="A40" s="24" t="s">
        <v>331</v>
      </c>
      <c r="B40" s="39"/>
      <c r="C40" s="40"/>
      <c r="D40" s="44" t="s">
        <v>304</v>
      </c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49">
        <f>IF(COUNT(E40:P40)=0,"",AVERAGE(E40:P40))</f>
        <v>0</v>
      </c>
      <c r="R40" s="52">
        <f>IF(COUNT(E40:P40)=0,"",MIN(E40:P40))</f>
        <v>0</v>
      </c>
      <c r="S40" s="52">
        <f>IF(COUNT(E40:P40)=0,"",MAX(E40:P40))</f>
        <v>0</v>
      </c>
    </row>
    <row r="41" spans="1:24" ht="18" customHeight="1">
      <c r="A41" s="24" t="s">
        <v>332</v>
      </c>
      <c r="B41" s="31" t="s">
        <v>82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</row>
    <row r="42" spans="1:24" ht="17" customHeight="1">
      <c r="A42" s="24" t="s">
        <v>333</v>
      </c>
      <c r="B42" s="32" t="s">
        <v>83</v>
      </c>
      <c r="C42" s="33" t="s">
        <v>50</v>
      </c>
      <c r="D42" s="34" t="s">
        <v>302</v>
      </c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46">
        <f>IF(COUNT(E42:P42)=0,"",AVERAGE(E42:P42))</f>
        <v>0</v>
      </c>
      <c r="R42" s="54">
        <f>IF(COUNT(E42:P42)=0,"",MIN(E42:P42))</f>
        <v>0</v>
      </c>
      <c r="S42" s="54">
        <f>IF(COUNT(E42:P42)=0,"",MAX(E42:P42))</f>
        <v>0</v>
      </c>
    </row>
    <row r="43" spans="1:24" ht="17" customHeight="1">
      <c r="A43" s="24" t="s">
        <v>334</v>
      </c>
      <c r="B43" s="32"/>
      <c r="C43" s="33"/>
      <c r="D43" s="38" t="s">
        <v>304</v>
      </c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46">
        <f>IF(COUNT(E43:P43)=0,"",AVERAGE(E43:P43))</f>
        <v>0</v>
      </c>
      <c r="R43" s="54">
        <f>IF(COUNT(E43:P43)=0,"",MIN(E43:P43))</f>
        <v>0</v>
      </c>
      <c r="S43" s="54">
        <f>IF(COUNT(E43:P43)=0,"",MAX(E43:P43))</f>
        <v>0</v>
      </c>
    </row>
    <row r="44" spans="1:24" ht="17" customHeight="1">
      <c r="A44" s="24" t="s">
        <v>335</v>
      </c>
      <c r="B44" s="39" t="s">
        <v>86</v>
      </c>
      <c r="C44" s="40" t="s">
        <v>72</v>
      </c>
      <c r="D44" s="41" t="s">
        <v>302</v>
      </c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49">
        <f>IF(COUNT(E44:P44)=0,"",AVERAGE(E44:P44))</f>
        <v>0</v>
      </c>
      <c r="R44" s="52">
        <f>IF(COUNT(E44:P44)=0,"",MIN(E44:P44))</f>
        <v>0</v>
      </c>
      <c r="S44" s="52">
        <f>IF(COUNT(E44:P44)=0,"",MAX(E44:P44))</f>
        <v>0</v>
      </c>
      <c r="W44">
        <f>IFERROR(IF(INDEX('Limites'!$N:$N,MATCH(gProdUS3,'Limites'!$B:$B,0))="","",INDEX('Limites'!$N:$N,MATCH(gProdUS3,'Limites'!$B:$B,0))),"")</f>
        <v>0</v>
      </c>
      <c r="X44">
        <f>IFERROR(IF(INDEX('Limites'!$O:$O,MATCH(gProdUS3,'Limites'!$B:$B,0))="","",INDEX('Limites'!$O:$O,MATCH(gProdUS3,'Limites'!$B:$B,0))),"")</f>
        <v>0</v>
      </c>
    </row>
    <row r="45" spans="1:24" ht="17" customHeight="1">
      <c r="A45" s="24" t="s">
        <v>336</v>
      </c>
      <c r="B45" s="39"/>
      <c r="C45" s="40"/>
      <c r="D45" s="44" t="s">
        <v>304</v>
      </c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49">
        <f>IF(COUNT(E45:P45)=0,"",AVERAGE(E45:P45))</f>
        <v>0</v>
      </c>
      <c r="R45" s="52">
        <f>IF(COUNT(E45:P45)=0,"",MIN(E45:P45))</f>
        <v>0</v>
      </c>
      <c r="S45" s="52">
        <f>IF(COUNT(E45:P45)=0,"",MAX(E45:P45))</f>
        <v>0</v>
      </c>
      <c r="W45">
        <f>IFERROR(IF(INDEX('Limites'!$N:$N,MATCH(gProdUS4,'Limites'!$B:$B,0))="","",INDEX('Limites'!$N:$N,MATCH(gProdUS4,'Limites'!$B:$B,0))),"")</f>
        <v>0</v>
      </c>
      <c r="X45">
        <f>IFERROR(IF(INDEX('Limites'!$O:$O,MATCH(gProdUS4,'Limites'!$B:$B,0))="","",INDEX('Limites'!$O:$O,MATCH(gProdUS4,'Limites'!$B:$B,0))),"")</f>
        <v>0</v>
      </c>
    </row>
    <row r="46" spans="1:24" ht="17" customHeight="1">
      <c r="A46" s="24" t="s">
        <v>337</v>
      </c>
      <c r="B46" s="32" t="s">
        <v>89</v>
      </c>
      <c r="C46" s="33" t="s">
        <v>50</v>
      </c>
      <c r="D46" s="34" t="s">
        <v>302</v>
      </c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46">
        <f>IF(COUNT(E46:P46)=0,"",AVERAGE(E46:P46))</f>
        <v>0</v>
      </c>
      <c r="R46" s="54">
        <f>IF(COUNT(E46:P46)=0,"",MIN(E46:P46))</f>
        <v>0</v>
      </c>
      <c r="S46" s="54">
        <f>IF(COUNT(E46:P46)=0,"",MAX(E46:P46))</f>
        <v>0</v>
      </c>
      <c r="W46">
        <f>IFERROR(IF(INDEX('Limites'!$J:$J,MATCH(gProdUS3,'Limites'!$B:$B,0))="","",INDEX('Limites'!$J:$J,MATCH(gProdUS3,'Limites'!$B:$B,0))),"")</f>
        <v>0</v>
      </c>
      <c r="X46">
        <f>IFERROR(IF(INDEX('Limites'!$K:$K,MATCH(gProdUS3,'Limites'!$B:$B,0))="","",INDEX('Limites'!$K:$K,MATCH(gProdUS3,'Limites'!$B:$B,0))),"")</f>
        <v>0</v>
      </c>
    </row>
    <row r="47" spans="1:24" ht="17" customHeight="1">
      <c r="A47" s="24" t="s">
        <v>338</v>
      </c>
      <c r="B47" s="32"/>
      <c r="C47" s="33"/>
      <c r="D47" s="38" t="s">
        <v>304</v>
      </c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46">
        <f>IF(COUNT(E47:P47)=0,"",AVERAGE(E47:P47))</f>
        <v>0</v>
      </c>
      <c r="R47" s="54">
        <f>IF(COUNT(E47:P47)=0,"",MIN(E47:P47))</f>
        <v>0</v>
      </c>
      <c r="S47" s="54">
        <f>IF(COUNT(E47:P47)=0,"",MAX(E47:P47))</f>
        <v>0</v>
      </c>
      <c r="W47">
        <f>IFERROR(IF(INDEX('Limites'!$J:$J,MATCH(gProdUS4,'Limites'!$B:$B,0))="","",INDEX('Limites'!$J:$J,MATCH(gProdUS4,'Limites'!$B:$B,0))),"")</f>
        <v>0</v>
      </c>
      <c r="X47">
        <f>IFERROR(IF(INDEX('Limites'!$K:$K,MATCH(gProdUS4,'Limites'!$B:$B,0))="","",INDEX('Limites'!$K:$K,MATCH(gProdUS4,'Limites'!$B:$B,0))),"")</f>
        <v>0</v>
      </c>
    </row>
    <row r="48" spans="1:24" ht="17" customHeight="1">
      <c r="A48" s="24" t="s">
        <v>339</v>
      </c>
      <c r="B48" s="39" t="s">
        <v>92</v>
      </c>
      <c r="C48" s="40" t="s">
        <v>93</v>
      </c>
      <c r="D48" s="41" t="s">
        <v>302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36">
        <f>IF(COUNT(E48:P48)=0,"",AVERAGE(E48:P48))</f>
        <v>0</v>
      </c>
      <c r="R48" s="43">
        <f>IF(COUNT(E48:P48)=0,"",MIN(E48:P48))</f>
        <v>0</v>
      </c>
      <c r="S48" s="43">
        <f>IF(COUNT(E48:P48)=0,"",MAX(E48:P48))</f>
        <v>0</v>
      </c>
    </row>
    <row r="49" spans="1:24" ht="17" customHeight="1">
      <c r="A49" s="24" t="s">
        <v>340</v>
      </c>
      <c r="B49" s="39"/>
      <c r="C49" s="40"/>
      <c r="D49" s="44" t="s">
        <v>304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36">
        <f>IF(COUNT(E49:P49)=0,"",AVERAGE(E49:P49))</f>
        <v>0</v>
      </c>
      <c r="R49" s="43">
        <f>IF(COUNT(E49:P49)=0,"",MIN(E49:P49))</f>
        <v>0</v>
      </c>
      <c r="S49" s="43">
        <f>IF(COUNT(E49:P49)=0,"",MAX(E49:P49))</f>
        <v>0</v>
      </c>
    </row>
    <row r="50" spans="1:24" ht="17" customHeight="1">
      <c r="A50" s="24" t="s">
        <v>341</v>
      </c>
      <c r="B50" s="32" t="s">
        <v>96</v>
      </c>
      <c r="C50" s="33" t="s">
        <v>50</v>
      </c>
      <c r="D50" s="34" t="s">
        <v>302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6">
        <f>IF(COUNT(E50:P50)=0,"",AVERAGE(E50:P50))</f>
        <v>0</v>
      </c>
      <c r="R50" s="37">
        <f>IF(COUNT(E50:P50)=0,"",MIN(E50:P50))</f>
        <v>0</v>
      </c>
      <c r="S50" s="37">
        <f>IF(COUNT(E50:P50)=0,"",MAX(E50:P50))</f>
        <v>0</v>
      </c>
    </row>
    <row r="51" spans="1:24" ht="17" customHeight="1">
      <c r="A51" s="24" t="s">
        <v>342</v>
      </c>
      <c r="B51" s="32"/>
      <c r="C51" s="33"/>
      <c r="D51" s="38" t="s">
        <v>304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6">
        <f>IF(COUNT(E51:P51)=0,"",AVERAGE(E51:P51))</f>
        <v>0</v>
      </c>
      <c r="R51" s="37">
        <f>IF(COUNT(E51:P51)=0,"",MIN(E51:P51))</f>
        <v>0</v>
      </c>
      <c r="S51" s="37">
        <f>IF(COUNT(E51:P51)=0,"",MAX(E51:P51))</f>
        <v>0</v>
      </c>
    </row>
    <row r="52" spans="1:24" ht="17" customHeight="1">
      <c r="A52" s="24" t="s">
        <v>343</v>
      </c>
      <c r="B52" s="39" t="s">
        <v>99</v>
      </c>
      <c r="C52" s="40" t="s">
        <v>50</v>
      </c>
      <c r="D52" s="41" t="s">
        <v>302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6">
        <f>IF(COUNT(E52:P52)=0,"",AVERAGE(E52:P52))</f>
        <v>0</v>
      </c>
      <c r="R52" s="47">
        <f>IF(COUNT(E52:P52)=0,"",MIN(E52:P52))</f>
        <v>0</v>
      </c>
      <c r="S52" s="47">
        <f>IF(COUNT(E52:P52)=0,"",MAX(E52:P52))</f>
        <v>0</v>
      </c>
      <c r="W52">
        <f>IFERROR(IF(INDEX('Limites'!$L:$L,MATCH(gProdUS3,'Limites'!$B:$B,0))="","",INDEX('Limites'!$L:$L,MATCH(gProdUS3,'Limites'!$B:$B,0))),"")</f>
        <v>0</v>
      </c>
      <c r="X52">
        <f>IFERROR(IF(INDEX('Limites'!$M:$M,MATCH(gProdUS3,'Limites'!$B:$B,0))="","",INDEX('Limites'!$M:$M,MATCH(gProdUS3,'Limites'!$B:$B,0))),"")</f>
        <v>0</v>
      </c>
    </row>
    <row r="53" spans="1:24" ht="17" customHeight="1">
      <c r="A53" s="24" t="s">
        <v>344</v>
      </c>
      <c r="B53" s="39"/>
      <c r="C53" s="40"/>
      <c r="D53" s="44" t="s">
        <v>304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6">
        <f>IF(COUNT(E53:P53)=0,"",AVERAGE(E53:P53))</f>
        <v>0</v>
      </c>
      <c r="R53" s="47">
        <f>IF(COUNT(E53:P53)=0,"",MIN(E53:P53))</f>
        <v>0</v>
      </c>
      <c r="S53" s="47">
        <f>IF(COUNT(E53:P53)=0,"",MAX(E53:P53))</f>
        <v>0</v>
      </c>
      <c r="W53">
        <f>IFERROR(IF(INDEX('Limites'!$L:$L,MATCH(gProdUS4,'Limites'!$B:$B,0))="","",INDEX('Limites'!$L:$L,MATCH(gProdUS4,'Limites'!$B:$B,0))),"")</f>
        <v>0</v>
      </c>
      <c r="X53">
        <f>IFERROR(IF(INDEX('Limites'!$M:$M,MATCH(gProdUS4,'Limites'!$B:$B,0))="","",INDEX('Limites'!$M:$M,MATCH(gProdUS4,'Limites'!$B:$B,0))),"")</f>
        <v>0</v>
      </c>
    </row>
    <row r="54" spans="1:24" ht="17" customHeight="1">
      <c r="A54" s="24" t="s">
        <v>345</v>
      </c>
      <c r="B54" s="32" t="s">
        <v>62</v>
      </c>
      <c r="C54" s="33" t="s">
        <v>50</v>
      </c>
      <c r="D54" s="34" t="s">
        <v>302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9">
        <f>IF(COUNT(E54:P54)=0,"",AVERAGE(E54:P54))</f>
        <v>0</v>
      </c>
      <c r="R54" s="50">
        <f>IF(COUNT(E54:P54)=0,"",MIN(E54:P54))</f>
        <v>0</v>
      </c>
      <c r="S54" s="50">
        <f>IF(COUNT(E54:P54)=0,"",MAX(E54:P54))</f>
        <v>0</v>
      </c>
      <c r="W54">
        <f>IFERROR(IF(INDEX('Limites'!$D:$D,MATCH(gProdUS3,'Limites'!$B:$B,0))="","",INDEX('Limites'!$D:$D,MATCH(gProdUS3,'Limites'!$B:$B,0))),"")</f>
        <v>0</v>
      </c>
      <c r="X54">
        <f>IFERROR(IF(INDEX('Limites'!$E:$E,MATCH(gProdUS3,'Limites'!$B:$B,0))="","",INDEX('Limites'!$E:$E,MATCH(gProdUS3,'Limites'!$B:$B,0))),"")</f>
        <v>0</v>
      </c>
    </row>
    <row r="55" spans="1:24" ht="17" customHeight="1">
      <c r="A55" s="24" t="s">
        <v>346</v>
      </c>
      <c r="B55" s="32"/>
      <c r="C55" s="33"/>
      <c r="D55" s="38" t="s">
        <v>304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9">
        <f>IF(COUNT(E55:P55)=0,"",AVERAGE(E55:P55))</f>
        <v>0</v>
      </c>
      <c r="R55" s="50">
        <f>IF(COUNT(E55:P55)=0,"",MIN(E55:P55))</f>
        <v>0</v>
      </c>
      <c r="S55" s="50">
        <f>IF(COUNT(E55:P55)=0,"",MAX(E55:P55))</f>
        <v>0</v>
      </c>
      <c r="W55">
        <f>IFERROR(IF(INDEX('Limites'!$D:$D,MATCH(gProdUS4,'Limites'!$B:$B,0))="","",INDEX('Limites'!$D:$D,MATCH(gProdUS4,'Limites'!$B:$B,0))),"")</f>
        <v>0</v>
      </c>
      <c r="X55">
        <f>IFERROR(IF(INDEX('Limites'!$E:$E,MATCH(gProdUS4,'Limites'!$B:$B,0))="","",INDEX('Limites'!$E:$E,MATCH(gProdUS4,'Limites'!$B:$B,0))),"")</f>
        <v>0</v>
      </c>
    </row>
    <row r="56" spans="1:24" ht="18" customHeight="1">
      <c r="A56" s="24" t="s">
        <v>347</v>
      </c>
      <c r="B56" s="31" t="s">
        <v>104</v>
      </c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</row>
    <row r="57" spans="1:24" ht="17" customHeight="1">
      <c r="A57" s="24" t="s">
        <v>348</v>
      </c>
      <c r="B57" s="39" t="s">
        <v>104</v>
      </c>
      <c r="C57" s="40" t="s">
        <v>105</v>
      </c>
      <c r="D57" s="41" t="s">
        <v>302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36">
        <f>IF(COUNT(E57:P57)=0,"",SUM(E57:P57))</f>
        <v>0</v>
      </c>
      <c r="R57" s="43">
        <f>IF(COUNT(E57:P57)=0,"",MIN(E57:P57))</f>
        <v>0</v>
      </c>
      <c r="S57" s="43">
        <f>IF(COUNT(E57:P57)=0,"",MAX(E57:P57))</f>
        <v>0</v>
      </c>
    </row>
    <row r="58" spans="1:24" ht="17" customHeight="1">
      <c r="A58" s="24" t="s">
        <v>349</v>
      </c>
      <c r="B58" s="39"/>
      <c r="C58" s="40"/>
      <c r="D58" s="44" t="s">
        <v>304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36">
        <f>IF(COUNT(E58:P58)=0,"",SUM(E58:P58))</f>
        <v>0</v>
      </c>
      <c r="R58" s="43">
        <f>IF(COUNT(E58:P58)=0,"",MIN(E58:P58))</f>
        <v>0</v>
      </c>
      <c r="S58" s="43">
        <f>IF(COUNT(E58:P58)=0,"",MAX(E58:P58))</f>
        <v>0</v>
      </c>
    </row>
    <row r="59" spans="1:24" ht="17" customHeight="1">
      <c r="A59" s="24" t="s">
        <v>350</v>
      </c>
      <c r="B59" s="32" t="s">
        <v>109</v>
      </c>
      <c r="C59" s="33" t="s">
        <v>110</v>
      </c>
      <c r="D59" s="34" t="s">
        <v>302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6">
        <f>IF(COUNT(E59:P59)=0,"",LOOKUP(2,1/ISNUMBER(E59:P59),E59:P59))</f>
        <v>0</v>
      </c>
      <c r="R59" s="37">
        <f>IF(COUNT(E59:P59)=0,"",MIN(E59:P59))</f>
        <v>0</v>
      </c>
      <c r="S59" s="37">
        <f>IF(COUNT(E59:P59)=0,"",MAX(E59:P59))</f>
        <v>0</v>
      </c>
    </row>
    <row r="60" spans="1:24" ht="17" customHeight="1">
      <c r="A60" s="24" t="s">
        <v>351</v>
      </c>
      <c r="B60" s="32"/>
      <c r="C60" s="33"/>
      <c r="D60" s="38" t="s">
        <v>304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6">
        <f>IF(COUNT(E60:P60)=0,"",LOOKUP(2,1/ISNUMBER(E60:P60),E60:P60))</f>
        <v>0</v>
      </c>
      <c r="R60" s="37">
        <f>IF(COUNT(E60:P60)=0,"",MIN(E60:P60))</f>
        <v>0</v>
      </c>
      <c r="S60" s="37">
        <f>IF(COUNT(E60:P60)=0,"",MAX(E60:P60))</f>
        <v>0</v>
      </c>
    </row>
    <row r="61" spans="1:24" ht="17" customHeight="1">
      <c r="A61" s="24" t="s">
        <v>352</v>
      </c>
      <c r="B61" s="39" t="s">
        <v>114</v>
      </c>
      <c r="C61" s="40" t="s">
        <v>110</v>
      </c>
      <c r="D61" s="41" t="s">
        <v>302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36">
        <f>IF(COUNT(E61:P61)=0,"",LOOKUP(2,1/ISNUMBER(E61:P61),E61:P61))</f>
        <v>0</v>
      </c>
      <c r="R61" s="43">
        <f>IF(COUNT(E61:P61)=0,"",MIN(E61:P61))</f>
        <v>0</v>
      </c>
      <c r="S61" s="43">
        <f>IF(COUNT(E61:P61)=0,"",MAX(E61:P61))</f>
        <v>0</v>
      </c>
    </row>
    <row r="62" spans="1:24" ht="17" customHeight="1">
      <c r="A62" s="24" t="s">
        <v>353</v>
      </c>
      <c r="B62" s="39"/>
      <c r="C62" s="40"/>
      <c r="D62" s="44" t="s">
        <v>304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36">
        <f>IF(COUNT(E62:P62)=0,"",LOOKUP(2,1/ISNUMBER(E62:P62),E62:P62))</f>
        <v>0</v>
      </c>
      <c r="R62" s="43">
        <f>IF(COUNT(E62:P62)=0,"",MIN(E62:P62))</f>
        <v>0</v>
      </c>
      <c r="S62" s="43">
        <f>IF(COUNT(E62:P62)=0,"",MAX(E62:P62))</f>
        <v>0</v>
      </c>
    </row>
    <row r="63" spans="1:24" ht="16" customHeight="1">
      <c r="B63" s="63" t="s">
        <v>354</v>
      </c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</row>
  </sheetData>
  <sheetProtection sheet="1" objects="1" scenarios="1" formatColumns="0" formatRows="0"/>
  <mergeCells count="58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3:B14"/>
    <mergeCell ref="C13:C14"/>
    <mergeCell ref="B15:S15"/>
    <mergeCell ref="B16:B17"/>
    <mergeCell ref="C16:C17"/>
    <mergeCell ref="B18:B19"/>
    <mergeCell ref="C18:C19"/>
    <mergeCell ref="B20:B21"/>
    <mergeCell ref="C20:C21"/>
    <mergeCell ref="B22:B23"/>
    <mergeCell ref="C22:C23"/>
    <mergeCell ref="B24:B25"/>
    <mergeCell ref="C24:C25"/>
    <mergeCell ref="B26:S26"/>
    <mergeCell ref="B30:S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S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S56"/>
    <mergeCell ref="B57:B58"/>
    <mergeCell ref="C57:C58"/>
    <mergeCell ref="B59:B60"/>
    <mergeCell ref="C59:C60"/>
    <mergeCell ref="B61:B62"/>
    <mergeCell ref="C61:C62"/>
    <mergeCell ref="B63:S63"/>
  </mergeCells>
  <conditionalFormatting sqref="E27:Q27">
    <cfRule type="expression" dxfId="1" priority="1">
      <formula>AND(ISNUMBER(E27),OR(AND(ISNUMBER($W27),ROUND(E27,2)&lt;$W27),AND(ISNUMBER($X27),ROUND(E27,2)&gt;$X27)))</formula>
    </cfRule>
    <cfRule type="expression" dxfId="2" priority="2">
      <formula>AND(ISNUMBER(E27),OR(ISNUMBER($W27),ISNUMBER($X27)),NOT(OR(AND(ISNUMBER($W27),ROUND(E27,2)&lt;$W27),AND(ISNUMBER($X27),ROUND(E27,2)&gt;$X27))))</formula>
    </cfRule>
  </conditionalFormatting>
  <conditionalFormatting sqref="E28:Q28">
    <cfRule type="expression" dxfId="1" priority="3">
      <formula>AND(ISNUMBER(E28),OR(AND(ISNUMBER($W28),ROUND(E28,2)&lt;$W28),AND(ISNUMBER($X28),ROUND(E28,2)&gt;$X28)))</formula>
    </cfRule>
    <cfRule type="expression" dxfId="2" priority="4">
      <formula>AND(ISNUMBER(E28),OR(ISNUMBER($W28),ISNUMBER($X28)),NOT(OR(AND(ISNUMBER($W28),ROUND(E28,2)&lt;$W28),AND(ISNUMBER($X28),ROUND(E28,2)&gt;$X28))))</formula>
    </cfRule>
  </conditionalFormatting>
  <conditionalFormatting sqref="E31:Q31">
    <cfRule type="expression" dxfId="1" priority="5">
      <formula>AND(ISNUMBER(E31),OR(AND(ISNUMBER($W31),ROUND(E31,2)&lt;$W31),AND(ISNUMBER($X31),ROUND(E31,2)&gt;$X31)))</formula>
    </cfRule>
    <cfRule type="expression" dxfId="2" priority="6">
      <formula>AND(ISNUMBER(E31),OR(ISNUMBER($W31),ISNUMBER($X31)),NOT(OR(AND(ISNUMBER($W31),ROUND(E31,2)&lt;$W31),AND(ISNUMBER($X31),ROUND(E31,2)&gt;$X31))))</formula>
    </cfRule>
  </conditionalFormatting>
  <conditionalFormatting sqref="E32:Q32">
    <cfRule type="expression" dxfId="1" priority="7">
      <formula>AND(ISNUMBER(E32),OR(AND(ISNUMBER($W32),ROUND(E32,2)&lt;$W32),AND(ISNUMBER($X32),ROUND(E32,2)&gt;$X32)))</formula>
    </cfRule>
    <cfRule type="expression" dxfId="2" priority="8">
      <formula>AND(ISNUMBER(E32),OR(ISNUMBER($W32),ISNUMBER($X32)),NOT(OR(AND(ISNUMBER($W32),ROUND(E32,2)&lt;$W32),AND(ISNUMBER($X32),ROUND(E32,2)&gt;$X32))))</formula>
    </cfRule>
  </conditionalFormatting>
  <conditionalFormatting sqref="E33:Q33">
    <cfRule type="expression" dxfId="1" priority="9">
      <formula>AND(ISNUMBER(E33),OR(AND(ISNUMBER($W33),ROUND(E33,2)&lt;$W33),AND(ISNUMBER($X33),ROUND(E33,2)&gt;$X33)))</formula>
    </cfRule>
    <cfRule type="expression" dxfId="2" priority="10">
      <formula>AND(ISNUMBER(E33),OR(ISNUMBER($W33),ISNUMBER($X33)),NOT(OR(AND(ISNUMBER($W33),ROUND(E33,2)&lt;$W33),AND(ISNUMBER($X33),ROUND(E33,2)&gt;$X33))))</formula>
    </cfRule>
  </conditionalFormatting>
  <conditionalFormatting sqref="E34:Q34">
    <cfRule type="expression" dxfId="1" priority="11">
      <formula>AND(ISNUMBER(E34),OR(AND(ISNUMBER($W34),ROUND(E34,2)&lt;$W34),AND(ISNUMBER($X34),ROUND(E34,2)&gt;$X34)))</formula>
    </cfRule>
    <cfRule type="expression" dxfId="2" priority="12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13">
      <formula>AND(ISNUMBER(E35),OR(AND(ISNUMBER($W35),ROUND(E35,2)&lt;$W35),AND(ISNUMBER($X35),ROUND(E35,2)&gt;$X35)))</formula>
    </cfRule>
    <cfRule type="expression" dxfId="2" priority="14">
      <formula>AND(ISNUMBER(E35),OR(ISNUMBER($W35),ISNUMBER($X35)),NOT(OR(AND(ISNUMBER($W35),ROUND(E35,2)&lt;$W35),AND(ISNUMBER($X35),ROUND(E35,2)&gt;$X35))))</formula>
    </cfRule>
  </conditionalFormatting>
  <conditionalFormatting sqref="E36:Q36">
    <cfRule type="expression" dxfId="1" priority="15">
      <formula>AND(ISNUMBER(E36),OR(AND(ISNUMBER($W36),ROUND(E36,2)&lt;$W36),AND(ISNUMBER($X36),ROUND(E36,2)&gt;$X36)))</formula>
    </cfRule>
    <cfRule type="expression" dxfId="2" priority="16">
      <formula>AND(ISNUMBER(E36),OR(ISNUMBER($W36),ISNUMBER($X36)),NOT(OR(AND(ISNUMBER($W36),ROUND(E36,2)&lt;$W36),AND(ISNUMBER($X36),ROUND(E36,2)&gt;$X36))))</formula>
    </cfRule>
  </conditionalFormatting>
  <conditionalFormatting sqref="E44:Q44">
    <cfRule type="expression" dxfId="1" priority="17">
      <formula>AND(ISNUMBER(E44),OR(AND(ISNUMBER($W44),ROUND(E44,2)&lt;$W44),AND(ISNUMBER($X44),ROUND(E44,2)&gt;$X44)))</formula>
    </cfRule>
    <cfRule type="expression" dxfId="2" priority="18">
      <formula>AND(ISNUMBER(E44),OR(ISNUMBER($W44),ISNUMBER($X44)),NOT(OR(AND(ISNUMBER($W44),ROUND(E44,2)&lt;$W44),AND(ISNUMBER($X44),ROUND(E44,2)&gt;$X44))))</formula>
    </cfRule>
  </conditionalFormatting>
  <conditionalFormatting sqref="E45:Q45">
    <cfRule type="expression" dxfId="1" priority="19">
      <formula>AND(ISNUMBER(E45),OR(AND(ISNUMBER($W45),ROUND(E45,2)&lt;$W45),AND(ISNUMBER($X45),ROUND(E45,2)&gt;$X45)))</formula>
    </cfRule>
    <cfRule type="expression" dxfId="2" priority="20">
      <formula>AND(ISNUMBER(E45),OR(ISNUMBER($W45),ISNUMBER($X45)),NOT(OR(AND(ISNUMBER($W45),ROUND(E45,2)&lt;$W45),AND(ISNUMBER($X45),ROUND(E45,2)&gt;$X45))))</formula>
    </cfRule>
  </conditionalFormatting>
  <conditionalFormatting sqref="E46:Q46">
    <cfRule type="expression" dxfId="1" priority="21">
      <formula>AND(ISNUMBER(E46),OR(AND(ISNUMBER($W46),ROUND(E46,1)&lt;$W46),AND(ISNUMBER($X46),ROUND(E46,1)&gt;$X46)))</formula>
    </cfRule>
    <cfRule type="expression" dxfId="2" priority="22">
      <formula>AND(ISNUMBER(E46),OR(ISNUMBER($W46),ISNUMBER($X46)),NOT(OR(AND(ISNUMBER($W46),ROUND(E46,1)&lt;$W46),AND(ISNUMBER($X46),ROUND(E46,1)&gt;$X46))))</formula>
    </cfRule>
  </conditionalFormatting>
  <conditionalFormatting sqref="E47:Q47">
    <cfRule type="expression" dxfId="1" priority="23">
      <formula>AND(ISNUMBER(E47),OR(AND(ISNUMBER($W47),ROUND(E47,1)&lt;$W47),AND(ISNUMBER($X47),ROUND(E47,1)&gt;$X47)))</formula>
    </cfRule>
    <cfRule type="expression" dxfId="2" priority="24">
      <formula>AND(ISNUMBER(E47),OR(ISNUMBER($W47),ISNUMBER($X47)),NOT(OR(AND(ISNUMBER($W47),ROUND(E47,1)&lt;$W47),AND(ISNUMBER($X47),ROUND(E47,1)&gt;$X47))))</formula>
    </cfRule>
  </conditionalFormatting>
  <conditionalFormatting sqref="E52:Q52">
    <cfRule type="expression" dxfId="1" priority="25">
      <formula>AND(ISNUMBER(E52),OR(AND(ISNUMBER($W52),ROUND(E52,1)&lt;$W52),AND(ISNUMBER($X52),ROUND(E52,1)&gt;$X52)))</formula>
    </cfRule>
    <cfRule type="expression" dxfId="2" priority="26">
      <formula>AND(ISNUMBER(E52),OR(ISNUMBER($W52),ISNUMBER($X52)),NOT(OR(AND(ISNUMBER($W52),ROUND(E52,1)&lt;$W52),AND(ISNUMBER($X52),ROUND(E52,1)&gt;$X52))))</formula>
    </cfRule>
  </conditionalFormatting>
  <conditionalFormatting sqref="E53:Q53">
    <cfRule type="expression" dxfId="1" priority="27">
      <formula>AND(ISNUMBER(E53),OR(AND(ISNUMBER($W53),ROUND(E53,1)&lt;$W53),AND(ISNUMBER($X53),ROUND(E53,1)&gt;$X53)))</formula>
    </cfRule>
    <cfRule type="expression" dxfId="2" priority="28">
      <formula>AND(ISNUMBER(E53),OR(ISNUMBER($W53),ISNUMBER($X53)),NOT(OR(AND(ISNUMBER($W53),ROUND(E53,1)&lt;$W53),AND(ISNUMBER($X53),ROUND(E53,1)&gt;$X53))))</formula>
    </cfRule>
  </conditionalFormatting>
  <conditionalFormatting sqref="E54:Q54">
    <cfRule type="expression" dxfId="1" priority="29">
      <formula>AND(ISNUMBER(E54),OR(AND(ISNUMBER($W54),ROUND(E54,2)&lt;$W54),AND(ISNUMBER($X54),ROUND(E54,2)&gt;$X54)))</formula>
    </cfRule>
    <cfRule type="expression" dxfId="2" priority="30">
      <formula>AND(ISNUMBER(E54),OR(ISNUMBER($W54),ISNUMBER($X54)),NOT(OR(AND(ISNUMBER($W54),ROUND(E54,2)&lt;$W54),AND(ISNUMBER($X54),ROUND(E54,2)&gt;$X54))))</formula>
    </cfRule>
  </conditionalFormatting>
  <conditionalFormatting sqref="E55:Q55">
    <cfRule type="expression" dxfId="1" priority="31">
      <formula>AND(ISNUMBER(E55),OR(AND(ISNUMBER($W55),ROUND(E55,2)&lt;$W55),AND(ISNUMBER($X55),ROUND(E55,2)&gt;$X55)))</formula>
    </cfRule>
    <cfRule type="expression" dxfId="2" priority="32">
      <formula>AND(ISNUMBER(E55),OR(ISNUMBER($W55),ISNUMBER($X55)),NOT(OR(AND(ISNUMBER($W55),ROUND(E55,2)&lt;$W55),AND(ISNUMBER($X55),ROUND(E55,2)&gt;$X55))))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146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147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148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0" t="s">
        <v>149</v>
      </c>
      <c r="C7" s="30" t="s">
        <v>150</v>
      </c>
      <c r="D7" s="30" t="s">
        <v>151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 t="s">
        <v>152</v>
      </c>
      <c r="Q7" s="30"/>
      <c r="R7" s="30"/>
      <c r="S7" s="30"/>
    </row>
    <row r="8" spans="2:19">
      <c r="B8" s="30"/>
      <c r="C8" s="30"/>
      <c r="D8" s="65" t="s">
        <v>153</v>
      </c>
      <c r="E8" s="65" t="s">
        <v>154</v>
      </c>
      <c r="F8" s="65" t="s">
        <v>155</v>
      </c>
      <c r="G8" s="65" t="s">
        <v>156</v>
      </c>
      <c r="H8" s="65" t="s">
        <v>157</v>
      </c>
      <c r="I8" s="65" t="s">
        <v>158</v>
      </c>
      <c r="J8" s="65" t="s">
        <v>159</v>
      </c>
      <c r="K8" s="65" t="s">
        <v>160</v>
      </c>
      <c r="L8" s="65" t="s">
        <v>161</v>
      </c>
      <c r="M8" s="65" t="s">
        <v>162</v>
      </c>
      <c r="N8" s="65" t="s">
        <v>163</v>
      </c>
      <c r="O8" s="65" t="s">
        <v>164</v>
      </c>
      <c r="P8" s="65" t="s">
        <v>153</v>
      </c>
      <c r="Q8" s="65" t="s">
        <v>154</v>
      </c>
      <c r="R8" s="65" t="s">
        <v>165</v>
      </c>
      <c r="S8" s="65" t="s">
        <v>166</v>
      </c>
    </row>
    <row r="9" spans="2:19" ht="17" customHeight="1">
      <c r="B9" s="66" t="s">
        <v>167</v>
      </c>
      <c r="C9" s="21" t="s">
        <v>168</v>
      </c>
      <c r="D9" s="67"/>
      <c r="E9" s="67">
        <v>1.54</v>
      </c>
      <c r="F9" s="67">
        <v>0.7</v>
      </c>
      <c r="G9" s="67"/>
      <c r="H9" s="67"/>
      <c r="I9" s="67"/>
      <c r="J9" s="68">
        <v>93</v>
      </c>
      <c r="K9" s="68"/>
      <c r="L9" s="67"/>
      <c r="M9" s="67">
        <v>1.8</v>
      </c>
      <c r="N9" s="67">
        <v>0.5</v>
      </c>
      <c r="O9" s="67">
        <v>1.2</v>
      </c>
      <c r="P9" s="67"/>
      <c r="Q9" s="67">
        <v>1.36</v>
      </c>
      <c r="R9" s="67"/>
      <c r="S9" s="67">
        <v>4.3</v>
      </c>
    </row>
    <row r="10" spans="2:19" ht="17" customHeight="1">
      <c r="B10" s="66" t="s">
        <v>169</v>
      </c>
      <c r="C10" s="21" t="s">
        <v>170</v>
      </c>
      <c r="D10" s="67"/>
      <c r="E10" s="67">
        <v>2.05</v>
      </c>
      <c r="F10" s="67">
        <v>0.65</v>
      </c>
      <c r="G10" s="67"/>
      <c r="H10" s="67"/>
      <c r="I10" s="67"/>
      <c r="J10" s="68">
        <v>93</v>
      </c>
      <c r="K10" s="68"/>
      <c r="L10" s="67"/>
      <c r="M10" s="67">
        <v>1.8</v>
      </c>
      <c r="N10" s="67">
        <v>0.5</v>
      </c>
      <c r="O10" s="67">
        <v>1.2</v>
      </c>
      <c r="P10" s="67"/>
      <c r="Q10" s="67">
        <v>1.99</v>
      </c>
      <c r="R10" s="67"/>
      <c r="S10" s="67">
        <v>4.3</v>
      </c>
    </row>
    <row r="11" spans="2:19" ht="17" customHeight="1">
      <c r="B11" s="66" t="s">
        <v>171</v>
      </c>
      <c r="C11" s="21" t="s">
        <v>172</v>
      </c>
      <c r="D11" s="67"/>
      <c r="E11" s="67">
        <v>3.45</v>
      </c>
      <c r="F11" s="67"/>
      <c r="G11" s="67"/>
      <c r="H11" s="67"/>
      <c r="I11" s="67">
        <v>0.55</v>
      </c>
      <c r="J11" s="68">
        <v>92.8</v>
      </c>
      <c r="K11" s="68"/>
      <c r="L11" s="67"/>
      <c r="M11" s="67">
        <v>2.1</v>
      </c>
      <c r="N11" s="67">
        <v>0.5</v>
      </c>
      <c r="O11" s="67">
        <v>1.2</v>
      </c>
      <c r="P11" s="67"/>
      <c r="Q11" s="67">
        <v>2.5</v>
      </c>
      <c r="R11" s="67"/>
      <c r="S11" s="67">
        <v>4.3</v>
      </c>
    </row>
    <row r="12" spans="2:19" ht="17" customHeight="1">
      <c r="B12" s="66" t="s">
        <v>173</v>
      </c>
      <c r="C12" s="21" t="s">
        <v>172</v>
      </c>
      <c r="D12" s="67"/>
      <c r="E12" s="67">
        <v>3.2</v>
      </c>
      <c r="F12" s="67"/>
      <c r="G12" s="67"/>
      <c r="H12" s="67">
        <v>0.75</v>
      </c>
      <c r="I12" s="67"/>
      <c r="J12" s="68">
        <v>92.8</v>
      </c>
      <c r="K12" s="68"/>
      <c r="L12" s="67"/>
      <c r="M12" s="67">
        <v>2.1</v>
      </c>
      <c r="N12" s="67">
        <v>0.5</v>
      </c>
      <c r="O12" s="67">
        <v>1.2</v>
      </c>
      <c r="P12" s="67"/>
      <c r="Q12" s="67">
        <v>2.5</v>
      </c>
      <c r="R12" s="67"/>
      <c r="S12" s="67">
        <v>4.3</v>
      </c>
    </row>
    <row r="13" spans="2:19" ht="17" customHeight="1">
      <c r="B13" s="66" t="s">
        <v>174</v>
      </c>
      <c r="C13" s="21" t="s">
        <v>170</v>
      </c>
      <c r="D13" s="67"/>
      <c r="E13" s="67">
        <v>2.8</v>
      </c>
      <c r="F13" s="67"/>
      <c r="G13" s="67"/>
      <c r="H13" s="67">
        <v>0.95</v>
      </c>
      <c r="I13" s="67"/>
      <c r="J13" s="68">
        <v>92.8</v>
      </c>
      <c r="K13" s="68"/>
      <c r="L13" s="67"/>
      <c r="M13" s="67">
        <v>2.1</v>
      </c>
      <c r="N13" s="67">
        <v>0.5</v>
      </c>
      <c r="O13" s="67">
        <v>1.2</v>
      </c>
      <c r="P13" s="67"/>
      <c r="Q13" s="67">
        <v>1.99</v>
      </c>
      <c r="R13" s="67"/>
      <c r="S13" s="67">
        <v>4.3</v>
      </c>
    </row>
    <row r="14" spans="2:19" ht="17" customHeight="1">
      <c r="B14" s="66" t="s">
        <v>175</v>
      </c>
      <c r="C14" s="21" t="s">
        <v>170</v>
      </c>
      <c r="D14" s="67"/>
      <c r="E14" s="67">
        <v>3</v>
      </c>
      <c r="F14" s="67"/>
      <c r="G14" s="67"/>
      <c r="H14" s="67">
        <v>1.1</v>
      </c>
      <c r="I14" s="67"/>
      <c r="J14" s="68">
        <v>92.8</v>
      </c>
      <c r="K14" s="68"/>
      <c r="L14" s="67"/>
      <c r="M14" s="67">
        <v>2.1</v>
      </c>
      <c r="N14" s="67">
        <v>0.5</v>
      </c>
      <c r="O14" s="67">
        <v>1.2</v>
      </c>
      <c r="P14" s="67"/>
      <c r="Q14" s="67">
        <v>1.99</v>
      </c>
      <c r="R14" s="67"/>
      <c r="S14" s="67">
        <v>4.3</v>
      </c>
    </row>
    <row r="15" spans="2:19" ht="17" customHeight="1">
      <c r="B15" s="66" t="s">
        <v>176</v>
      </c>
      <c r="C15" s="21" t="s">
        <v>177</v>
      </c>
      <c r="D15" s="67"/>
      <c r="E15" s="67">
        <v>5.3</v>
      </c>
      <c r="F15" s="67"/>
      <c r="G15" s="67"/>
      <c r="H15" s="67">
        <v>0.4</v>
      </c>
      <c r="I15" s="67"/>
      <c r="J15" s="68">
        <v>92.8</v>
      </c>
      <c r="K15" s="68"/>
      <c r="L15" s="67"/>
      <c r="M15" s="67">
        <v>2.1</v>
      </c>
      <c r="N15" s="67">
        <v>0.5</v>
      </c>
      <c r="O15" s="67">
        <v>1.2</v>
      </c>
      <c r="P15" s="67"/>
      <c r="Q15" s="67">
        <v>5.3</v>
      </c>
      <c r="R15" s="67"/>
      <c r="S15" s="67">
        <v>4.3</v>
      </c>
    </row>
    <row r="16" spans="2:19" ht="17" customHeight="1">
      <c r="B16" s="66"/>
      <c r="C16" s="21"/>
      <c r="D16" s="67"/>
      <c r="E16" s="67"/>
      <c r="F16" s="67"/>
      <c r="G16" s="67"/>
      <c r="H16" s="67"/>
      <c r="I16" s="67"/>
      <c r="J16" s="68"/>
      <c r="K16" s="68"/>
      <c r="L16" s="67"/>
      <c r="M16" s="67"/>
      <c r="N16" s="67"/>
      <c r="O16" s="67"/>
      <c r="P16" s="67"/>
      <c r="Q16" s="67"/>
      <c r="R16" s="67"/>
      <c r="S16" s="67"/>
    </row>
    <row r="17" spans="2:19" ht="17" customHeight="1">
      <c r="B17" s="66"/>
      <c r="C17" s="21"/>
      <c r="D17" s="67"/>
      <c r="E17" s="67"/>
      <c r="F17" s="67"/>
      <c r="G17" s="67"/>
      <c r="H17" s="67"/>
      <c r="I17" s="67"/>
      <c r="J17" s="68"/>
      <c r="K17" s="68"/>
      <c r="L17" s="67"/>
      <c r="M17" s="67"/>
      <c r="N17" s="67"/>
      <c r="O17" s="67"/>
      <c r="P17" s="67"/>
      <c r="Q17" s="67"/>
      <c r="R17" s="67"/>
      <c r="S17" s="67"/>
    </row>
    <row r="18" spans="2:19" ht="17" customHeight="1">
      <c r="B18" s="66"/>
      <c r="C18" s="21"/>
      <c r="D18" s="67"/>
      <c r="E18" s="67"/>
      <c r="F18" s="67"/>
      <c r="G18" s="67"/>
      <c r="H18" s="67"/>
      <c r="I18" s="67"/>
      <c r="J18" s="68"/>
      <c r="K18" s="68"/>
      <c r="L18" s="67"/>
      <c r="M18" s="67"/>
      <c r="N18" s="67"/>
      <c r="O18" s="67"/>
      <c r="P18" s="67"/>
      <c r="Q18" s="67"/>
      <c r="R18" s="67"/>
      <c r="S18" s="67"/>
    </row>
    <row r="19" spans="2:19" ht="17" customHeight="1">
      <c r="B19" s="66"/>
      <c r="C19" s="21"/>
      <c r="D19" s="67"/>
      <c r="E19" s="67"/>
      <c r="F19" s="67"/>
      <c r="G19" s="67"/>
      <c r="H19" s="67"/>
      <c r="I19" s="67"/>
      <c r="J19" s="68"/>
      <c r="K19" s="68"/>
      <c r="L19" s="67"/>
      <c r="M19" s="67"/>
      <c r="N19" s="67"/>
      <c r="O19" s="67"/>
      <c r="P19" s="67"/>
      <c r="Q19" s="67"/>
      <c r="R19" s="67"/>
      <c r="S19" s="67"/>
    </row>
    <row r="20" spans="2:19" ht="17" customHeight="1">
      <c r="B20" s="66"/>
      <c r="C20" s="21"/>
      <c r="D20" s="67"/>
      <c r="E20" s="67"/>
      <c r="F20" s="67"/>
      <c r="G20" s="67"/>
      <c r="H20" s="67"/>
      <c r="I20" s="67"/>
      <c r="J20" s="68"/>
      <c r="K20" s="68"/>
      <c r="L20" s="67"/>
      <c r="M20" s="67"/>
      <c r="N20" s="67"/>
      <c r="O20" s="67"/>
      <c r="P20" s="67"/>
      <c r="Q20" s="67"/>
      <c r="R20" s="67"/>
      <c r="S20" s="67"/>
    </row>
    <row r="21" spans="2:19" ht="17" customHeight="1">
      <c r="B21" s="66"/>
      <c r="C21" s="21"/>
      <c r="D21" s="67"/>
      <c r="E21" s="67"/>
      <c r="F21" s="67"/>
      <c r="G21" s="67"/>
      <c r="H21" s="67"/>
      <c r="I21" s="67"/>
      <c r="J21" s="68"/>
      <c r="K21" s="68"/>
      <c r="L21" s="67"/>
      <c r="M21" s="67"/>
      <c r="N21" s="67"/>
      <c r="O21" s="67"/>
      <c r="P21" s="67"/>
      <c r="Q21" s="67"/>
      <c r="R21" s="67"/>
      <c r="S21" s="67"/>
    </row>
    <row r="22" spans="2:19" ht="17" customHeight="1">
      <c r="B22" s="66"/>
      <c r="C22" s="21"/>
      <c r="D22" s="67"/>
      <c r="E22" s="67"/>
      <c r="F22" s="67"/>
      <c r="G22" s="67"/>
      <c r="H22" s="67"/>
      <c r="I22" s="67"/>
      <c r="J22" s="68"/>
      <c r="K22" s="68"/>
      <c r="L22" s="67"/>
      <c r="M22" s="67"/>
      <c r="N22" s="67"/>
      <c r="O22" s="67"/>
      <c r="P22" s="67"/>
      <c r="Q22" s="67"/>
      <c r="R22" s="67"/>
      <c r="S22" s="67"/>
    </row>
    <row r="23" spans="2:19" ht="17" customHeight="1">
      <c r="B23" s="66"/>
      <c r="C23" s="21"/>
      <c r="D23" s="67"/>
      <c r="E23" s="67"/>
      <c r="F23" s="67"/>
      <c r="G23" s="67"/>
      <c r="H23" s="67"/>
      <c r="I23" s="67"/>
      <c r="J23" s="68"/>
      <c r="K23" s="68"/>
      <c r="L23" s="67"/>
      <c r="M23" s="67"/>
      <c r="N23" s="67"/>
      <c r="O23" s="67"/>
      <c r="P23" s="67"/>
      <c r="Q23" s="67"/>
      <c r="R23" s="67"/>
      <c r="S23" s="67"/>
    </row>
    <row r="24" spans="2:19" ht="17" customHeight="1">
      <c r="B24" s="66"/>
      <c r="C24" s="21"/>
      <c r="D24" s="67"/>
      <c r="E24" s="67"/>
      <c r="F24" s="67"/>
      <c r="G24" s="67"/>
      <c r="H24" s="67"/>
      <c r="I24" s="67"/>
      <c r="J24" s="68"/>
      <c r="K24" s="68"/>
      <c r="L24" s="67"/>
      <c r="M24" s="67"/>
      <c r="N24" s="67"/>
      <c r="O24" s="67"/>
      <c r="P24" s="67"/>
      <c r="Q24" s="67"/>
      <c r="R24" s="67"/>
      <c r="S24" s="67"/>
    </row>
    <row r="25" spans="2:19" ht="17" customHeight="1">
      <c r="B25" s="66"/>
      <c r="C25" s="21"/>
      <c r="D25" s="67"/>
      <c r="E25" s="67"/>
      <c r="F25" s="67"/>
      <c r="G25" s="67"/>
      <c r="H25" s="67"/>
      <c r="I25" s="67"/>
      <c r="J25" s="68"/>
      <c r="K25" s="68"/>
      <c r="L25" s="67"/>
      <c r="M25" s="67"/>
      <c r="N25" s="67"/>
      <c r="O25" s="67"/>
      <c r="P25" s="67"/>
      <c r="Q25" s="67"/>
      <c r="R25" s="67"/>
      <c r="S25" s="67"/>
    </row>
    <row r="26" spans="2:19" ht="17" customHeight="1">
      <c r="B26" s="66"/>
      <c r="C26" s="21"/>
      <c r="D26" s="67"/>
      <c r="E26" s="67"/>
      <c r="F26" s="67"/>
      <c r="G26" s="67"/>
      <c r="H26" s="67"/>
      <c r="I26" s="67"/>
      <c r="J26" s="68"/>
      <c r="K26" s="68"/>
      <c r="L26" s="67"/>
      <c r="M26" s="67"/>
      <c r="N26" s="67"/>
      <c r="O26" s="67"/>
      <c r="P26" s="67"/>
      <c r="Q26" s="67"/>
      <c r="R26" s="67"/>
      <c r="S26" s="67"/>
    </row>
    <row r="27" spans="2:19" ht="17" customHeight="1">
      <c r="B27" s="66"/>
      <c r="C27" s="21"/>
      <c r="D27" s="67"/>
      <c r="E27" s="67"/>
      <c r="F27" s="67"/>
      <c r="G27" s="67"/>
      <c r="H27" s="67"/>
      <c r="I27" s="67"/>
      <c r="J27" s="68"/>
      <c r="K27" s="68"/>
      <c r="L27" s="67"/>
      <c r="M27" s="67"/>
      <c r="N27" s="67"/>
      <c r="O27" s="67"/>
      <c r="P27" s="67"/>
      <c r="Q27" s="67"/>
      <c r="R27" s="67"/>
      <c r="S27" s="67"/>
    </row>
    <row r="28" spans="2:19" ht="17" customHeight="1">
      <c r="B28" s="66"/>
      <c r="C28" s="21"/>
      <c r="D28" s="67"/>
      <c r="E28" s="67"/>
      <c r="F28" s="67"/>
      <c r="G28" s="67"/>
      <c r="H28" s="67"/>
      <c r="I28" s="67"/>
      <c r="J28" s="68"/>
      <c r="K28" s="68"/>
      <c r="L28" s="67"/>
      <c r="M28" s="67"/>
      <c r="N28" s="67"/>
      <c r="O28" s="67"/>
      <c r="P28" s="67"/>
      <c r="Q28" s="67"/>
      <c r="R28" s="67"/>
      <c r="S28" s="67"/>
    </row>
    <row r="29" spans="2:19" ht="17" customHeight="1">
      <c r="B29" s="66"/>
      <c r="C29" s="21"/>
      <c r="D29" s="67"/>
      <c r="E29" s="67"/>
      <c r="F29" s="67"/>
      <c r="G29" s="67"/>
      <c r="H29" s="67"/>
      <c r="I29" s="67"/>
      <c r="J29" s="68"/>
      <c r="K29" s="68"/>
      <c r="L29" s="67"/>
      <c r="M29" s="67"/>
      <c r="N29" s="67"/>
      <c r="O29" s="67"/>
      <c r="P29" s="67"/>
      <c r="Q29" s="67"/>
      <c r="R29" s="67"/>
      <c r="S29" s="67"/>
    </row>
    <row r="30" spans="2:19" ht="17" customHeight="1">
      <c r="B30" s="66"/>
      <c r="C30" s="21"/>
      <c r="D30" s="67"/>
      <c r="E30" s="67"/>
      <c r="F30" s="67"/>
      <c r="G30" s="67"/>
      <c r="H30" s="67"/>
      <c r="I30" s="67"/>
      <c r="J30" s="68"/>
      <c r="K30" s="68"/>
      <c r="L30" s="67"/>
      <c r="M30" s="67"/>
      <c r="N30" s="67"/>
      <c r="O30" s="67"/>
      <c r="P30" s="67"/>
      <c r="Q30" s="67"/>
      <c r="R30" s="67"/>
      <c r="S30" s="67"/>
    </row>
    <row r="31" spans="2:19" ht="17" customHeight="1">
      <c r="B31" s="66"/>
      <c r="C31" s="21"/>
      <c r="D31" s="67"/>
      <c r="E31" s="67"/>
      <c r="F31" s="67"/>
      <c r="G31" s="67"/>
      <c r="H31" s="67"/>
      <c r="I31" s="67"/>
      <c r="J31" s="68"/>
      <c r="K31" s="68"/>
      <c r="L31" s="67"/>
      <c r="M31" s="67"/>
      <c r="N31" s="67"/>
      <c r="O31" s="67"/>
      <c r="P31" s="67"/>
      <c r="Q31" s="67"/>
      <c r="R31" s="67"/>
      <c r="S31" s="67"/>
    </row>
    <row r="32" spans="2:19" ht="17" customHeight="1">
      <c r="B32" s="66"/>
      <c r="C32" s="21"/>
      <c r="D32" s="67"/>
      <c r="E32" s="67"/>
      <c r="F32" s="67"/>
      <c r="G32" s="67"/>
      <c r="H32" s="67"/>
      <c r="I32" s="67"/>
      <c r="J32" s="68"/>
      <c r="K32" s="68"/>
      <c r="L32" s="67"/>
      <c r="M32" s="67"/>
      <c r="N32" s="67"/>
      <c r="O32" s="67"/>
      <c r="P32" s="67"/>
      <c r="Q32" s="67"/>
      <c r="R32" s="67"/>
      <c r="S32" s="67"/>
    </row>
    <row r="33" spans="2:19" ht="17" customHeight="1">
      <c r="B33" s="66"/>
      <c r="C33" s="21"/>
      <c r="D33" s="67"/>
      <c r="E33" s="67"/>
      <c r="F33" s="67"/>
      <c r="G33" s="67"/>
      <c r="H33" s="67"/>
      <c r="I33" s="67"/>
      <c r="J33" s="68"/>
      <c r="K33" s="68"/>
      <c r="L33" s="67"/>
      <c r="M33" s="67"/>
      <c r="N33" s="67"/>
      <c r="O33" s="67"/>
      <c r="P33" s="67"/>
      <c r="Q33" s="67"/>
      <c r="R33" s="67"/>
      <c r="S33" s="67"/>
    </row>
    <row r="35" spans="2:19">
      <c r="B35" s="69" t="s">
        <v>178</v>
      </c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</row>
    <row r="36" spans="2:19"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</row>
    <row r="37" spans="2:19"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O7"/>
    <mergeCell ref="P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0" t="s">
        <v>118</v>
      </c>
      <c r="T5" s="70"/>
      <c r="U5" s="70"/>
      <c r="V5" s="70"/>
      <c r="W5" s="70"/>
      <c r="X5" s="70"/>
      <c r="Y5" s="70"/>
      <c r="Z5" s="70"/>
      <c r="AA5" s="70"/>
      <c r="AB5" s="70"/>
    </row>
    <row r="6" spans="2:28" ht="20" customHeight="1">
      <c r="B6" s="71" t="s">
        <v>3</v>
      </c>
      <c r="C6" s="71"/>
      <c r="D6" s="21" t="s">
        <v>4</v>
      </c>
      <c r="E6" s="21"/>
      <c r="F6" s="21"/>
      <c r="G6" s="7" t="s">
        <v>5</v>
      </c>
      <c r="H6" s="7"/>
      <c r="I6" s="7"/>
      <c r="J6" s="7"/>
      <c r="S6" s="72" t="s">
        <v>119</v>
      </c>
      <c r="T6" s="72" t="s">
        <v>122</v>
      </c>
      <c r="U6" s="72" t="s">
        <v>127</v>
      </c>
      <c r="V6" s="72" t="s">
        <v>130</v>
      </c>
      <c r="W6" s="72" t="s">
        <v>133</v>
      </c>
      <c r="X6" s="72" t="s">
        <v>22</v>
      </c>
      <c r="Y6" s="72" t="s">
        <v>137</v>
      </c>
      <c r="Z6" s="72" t="s">
        <v>139</v>
      </c>
      <c r="AA6" s="72" t="s">
        <v>142</v>
      </c>
      <c r="AB6" s="72" t="s">
        <v>143</v>
      </c>
    </row>
    <row r="7" spans="2:28" ht="20" customHeight="1">
      <c r="B7" s="71" t="s">
        <v>6</v>
      </c>
      <c r="C7" s="71"/>
      <c r="D7" s="21" t="s">
        <v>7</v>
      </c>
      <c r="E7" s="21"/>
      <c r="F7" s="21"/>
      <c r="G7" s="7" t="s">
        <v>8</v>
      </c>
      <c r="H7" s="7"/>
      <c r="I7" s="7"/>
      <c r="J7" s="7"/>
      <c r="S7" s="73" t="s">
        <v>120</v>
      </c>
      <c r="T7" s="73" t="s">
        <v>123</v>
      </c>
      <c r="U7" s="73" t="s">
        <v>128</v>
      </c>
      <c r="V7" s="73" t="s">
        <v>131</v>
      </c>
      <c r="W7" s="73" t="s">
        <v>134</v>
      </c>
      <c r="X7" s="73" t="s">
        <v>36</v>
      </c>
      <c r="Y7" s="73" t="s">
        <v>4</v>
      </c>
      <c r="Z7" s="73" t="s">
        <v>140</v>
      </c>
      <c r="AA7" s="73" t="s">
        <v>44</v>
      </c>
      <c r="AB7" s="73" t="s">
        <v>144</v>
      </c>
    </row>
    <row r="8" spans="2:28" ht="20" customHeight="1">
      <c r="B8" s="71" t="s">
        <v>9</v>
      </c>
      <c r="C8" s="71"/>
      <c r="D8" s="74">
        <v>0.2916666666666667</v>
      </c>
      <c r="E8" s="74"/>
      <c r="F8" s="74"/>
      <c r="G8" s="7" t="s">
        <v>10</v>
      </c>
      <c r="H8" s="7"/>
      <c r="I8" s="7"/>
      <c r="J8" s="7"/>
      <c r="S8" s="73" t="s">
        <v>121</v>
      </c>
      <c r="T8" s="73" t="s">
        <v>124</v>
      </c>
      <c r="U8" s="73" t="s">
        <v>129</v>
      </c>
      <c r="V8" s="73" t="s">
        <v>132</v>
      </c>
      <c r="W8" s="73" t="s">
        <v>135</v>
      </c>
      <c r="X8" s="73" t="s">
        <v>106</v>
      </c>
      <c r="Y8" s="73" t="s">
        <v>138</v>
      </c>
      <c r="Z8" s="73" t="s">
        <v>141</v>
      </c>
      <c r="AA8" s="73" t="s">
        <v>38</v>
      </c>
      <c r="AB8" s="73" t="s">
        <v>14</v>
      </c>
    </row>
    <row r="9" spans="2:28" ht="20" customHeight="1">
      <c r="B9" s="71" t="s">
        <v>11</v>
      </c>
      <c r="C9" s="71"/>
      <c r="D9" s="21">
        <v>60</v>
      </c>
      <c r="E9" s="21"/>
      <c r="F9" s="21"/>
      <c r="G9" s="7" t="s">
        <v>12</v>
      </c>
      <c r="H9" s="7"/>
      <c r="I9" s="7"/>
      <c r="J9" s="7"/>
      <c r="T9" s="73" t="s">
        <v>125</v>
      </c>
      <c r="W9" s="73" t="s">
        <v>136</v>
      </c>
      <c r="X9" s="73" t="s">
        <v>111</v>
      </c>
      <c r="AB9" s="73" t="s">
        <v>145</v>
      </c>
    </row>
    <row r="10" spans="2:28" ht="20" customHeight="1">
      <c r="B10" s="71" t="s">
        <v>13</v>
      </c>
      <c r="C10" s="71"/>
      <c r="D10" s="21" t="s">
        <v>14</v>
      </c>
      <c r="E10" s="21"/>
      <c r="F10" s="21"/>
      <c r="G10" s="7" t="s">
        <v>15</v>
      </c>
      <c r="H10" s="7"/>
      <c r="I10" s="7"/>
      <c r="J10" s="7"/>
      <c r="T10" s="73" t="s">
        <v>126</v>
      </c>
    </row>
    <row r="15" spans="2:28" ht="28" customHeight="1">
      <c r="B15" s="75" t="s">
        <v>16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6" t="s">
        <v>18</v>
      </c>
      <c r="C17" s="76" t="s">
        <v>19</v>
      </c>
      <c r="D17" s="76" t="s">
        <v>20</v>
      </c>
      <c r="E17" s="76" t="s">
        <v>21</v>
      </c>
      <c r="F17" s="76" t="s">
        <v>22</v>
      </c>
      <c r="G17" s="76" t="s">
        <v>23</v>
      </c>
      <c r="H17" s="76" t="s">
        <v>24</v>
      </c>
      <c r="I17" s="76" t="s">
        <v>25</v>
      </c>
      <c r="J17" s="76" t="s">
        <v>26</v>
      </c>
      <c r="K17" s="76" t="s">
        <v>27</v>
      </c>
      <c r="L17" s="76" t="s">
        <v>28</v>
      </c>
      <c r="M17" s="76" t="s">
        <v>29</v>
      </c>
      <c r="N17" s="76" t="s">
        <v>30</v>
      </c>
      <c r="O17" s="76" t="s">
        <v>31</v>
      </c>
      <c r="P17" s="76" t="s">
        <v>32</v>
      </c>
    </row>
    <row r="18" spans="2:16">
      <c r="B18" s="77" t="s">
        <v>33</v>
      </c>
      <c r="C18" s="78" t="s">
        <v>34</v>
      </c>
      <c r="D18" s="21" t="s">
        <v>35</v>
      </c>
      <c r="E18" s="21">
        <v>0</v>
      </c>
      <c r="F18" s="21" t="s">
        <v>36</v>
      </c>
      <c r="G18" s="79" t="s">
        <v>37</v>
      </c>
      <c r="H18" s="80" t="s">
        <v>38</v>
      </c>
      <c r="I18" s="79" t="s">
        <v>39</v>
      </c>
      <c r="J18" s="80" t="s">
        <v>38</v>
      </c>
      <c r="K18" s="21"/>
      <c r="L18" s="21"/>
      <c r="M18" s="21">
        <v>0</v>
      </c>
      <c r="N18" s="21">
        <v>50000</v>
      </c>
      <c r="O18" s="21">
        <v>1000</v>
      </c>
      <c r="P18" s="21">
        <v>1100</v>
      </c>
    </row>
    <row r="19" spans="2:16">
      <c r="B19" s="81" t="s">
        <v>40</v>
      </c>
      <c r="C19" s="82" t="s">
        <v>41</v>
      </c>
      <c r="D19" s="21" t="s">
        <v>42</v>
      </c>
      <c r="E19" s="21">
        <v>0</v>
      </c>
      <c r="F19" s="21" t="s">
        <v>36</v>
      </c>
      <c r="G19" s="79" t="s">
        <v>43</v>
      </c>
      <c r="H19" s="80" t="s">
        <v>44</v>
      </c>
      <c r="I19" s="79" t="s">
        <v>45</v>
      </c>
      <c r="J19" s="80" t="s">
        <v>44</v>
      </c>
      <c r="K19" s="21"/>
      <c r="L19" s="21"/>
      <c r="M19" s="21">
        <v>0</v>
      </c>
      <c r="N19" s="21">
        <v>50000</v>
      </c>
      <c r="O19" s="21">
        <v>2010</v>
      </c>
      <c r="P19" s="21">
        <v>2010</v>
      </c>
    </row>
    <row r="20" spans="2:16">
      <c r="B20" s="77" t="s">
        <v>40</v>
      </c>
      <c r="C20" s="78" t="s">
        <v>46</v>
      </c>
      <c r="D20" s="21" t="s">
        <v>42</v>
      </c>
      <c r="E20" s="21">
        <v>0</v>
      </c>
      <c r="F20" s="21" t="s">
        <v>36</v>
      </c>
      <c r="G20" s="79" t="s">
        <v>47</v>
      </c>
      <c r="H20" s="80" t="s">
        <v>44</v>
      </c>
      <c r="I20" s="79" t="s">
        <v>48</v>
      </c>
      <c r="J20" s="80" t="s">
        <v>44</v>
      </c>
      <c r="K20" s="21"/>
      <c r="L20" s="21"/>
      <c r="M20" s="21">
        <v>0</v>
      </c>
      <c r="N20" s="21">
        <v>50000</v>
      </c>
      <c r="O20" s="21">
        <v>2160</v>
      </c>
      <c r="P20" s="21">
        <v>2120</v>
      </c>
    </row>
    <row r="21" spans="2:16">
      <c r="B21" s="81" t="s">
        <v>40</v>
      </c>
      <c r="C21" s="82" t="s">
        <v>49</v>
      </c>
      <c r="D21" s="21" t="s">
        <v>50</v>
      </c>
      <c r="E21" s="21">
        <v>1</v>
      </c>
      <c r="F21" s="21" t="s">
        <v>36</v>
      </c>
      <c r="G21" s="79" t="s">
        <v>51</v>
      </c>
      <c r="H21" s="80" t="s">
        <v>44</v>
      </c>
      <c r="I21" s="79" t="s">
        <v>52</v>
      </c>
      <c r="J21" s="80" t="s">
        <v>44</v>
      </c>
      <c r="K21" s="21"/>
      <c r="L21" s="21"/>
      <c r="M21" s="21">
        <v>0</v>
      </c>
      <c r="N21" s="21">
        <v>50000</v>
      </c>
      <c r="O21" s="21">
        <v>90.2</v>
      </c>
      <c r="P21" s="21">
        <v>89.90000000000001</v>
      </c>
    </row>
    <row r="22" spans="2:16">
      <c r="B22" s="77" t="s">
        <v>40</v>
      </c>
      <c r="C22" s="78" t="s">
        <v>53</v>
      </c>
      <c r="D22" s="21" t="s">
        <v>50</v>
      </c>
      <c r="E22" s="21">
        <v>2</v>
      </c>
      <c r="F22" s="21" t="s">
        <v>36</v>
      </c>
      <c r="G22" s="79" t="s">
        <v>54</v>
      </c>
      <c r="H22" s="80" t="s">
        <v>44</v>
      </c>
      <c r="I22" s="79" t="s">
        <v>55</v>
      </c>
      <c r="J22" s="80" t="s">
        <v>44</v>
      </c>
      <c r="K22" s="21"/>
      <c r="L22" s="21"/>
      <c r="M22" s="21">
        <v>0</v>
      </c>
      <c r="N22" s="21">
        <v>50000</v>
      </c>
      <c r="O22" s="21">
        <v>11.2</v>
      </c>
      <c r="P22" s="21">
        <v>11.2</v>
      </c>
    </row>
    <row r="23" spans="2:16">
      <c r="B23" s="81" t="s">
        <v>40</v>
      </c>
      <c r="C23" s="82" t="s">
        <v>56</v>
      </c>
      <c r="D23" s="21" t="s">
        <v>50</v>
      </c>
      <c r="E23" s="21">
        <v>2</v>
      </c>
      <c r="F23" s="21" t="s">
        <v>36</v>
      </c>
      <c r="G23" s="79" t="s">
        <v>57</v>
      </c>
      <c r="H23" s="80" t="s">
        <v>44</v>
      </c>
      <c r="I23" s="79" t="s">
        <v>58</v>
      </c>
      <c r="J23" s="80" t="s">
        <v>44</v>
      </c>
      <c r="K23" s="21"/>
      <c r="L23" s="21"/>
      <c r="M23" s="21">
        <v>0</v>
      </c>
      <c r="N23" s="21">
        <v>50000</v>
      </c>
      <c r="O23" s="21">
        <v>11</v>
      </c>
      <c r="P23" s="21">
        <v>11</v>
      </c>
    </row>
    <row r="24" spans="2:16">
      <c r="B24" s="77" t="s">
        <v>59</v>
      </c>
      <c r="C24" s="78" t="s">
        <v>60</v>
      </c>
      <c r="D24" s="21" t="s">
        <v>50</v>
      </c>
      <c r="E24" s="21">
        <v>2</v>
      </c>
      <c r="F24" s="21" t="s">
        <v>36</v>
      </c>
      <c r="G24" s="79" t="s">
        <v>61</v>
      </c>
      <c r="H24" s="80" t="s">
        <v>44</v>
      </c>
      <c r="I24" s="83" t="str">
        <f>IF(G24="","",G24)</f>
        <v>M650030010-0013-HHLQU</v>
      </c>
      <c r="J24" s="80" t="s">
        <v>44</v>
      </c>
      <c r="K24" s="21"/>
      <c r="L24" s="21"/>
      <c r="M24" s="21">
        <v>0</v>
      </c>
      <c r="N24" s="21">
        <v>50000</v>
      </c>
      <c r="O24" s="21">
        <v>3.66</v>
      </c>
      <c r="P24" s="21">
        <v>3.66</v>
      </c>
    </row>
    <row r="25" spans="2:16">
      <c r="B25" s="81" t="s">
        <v>59</v>
      </c>
      <c r="C25" s="82" t="s">
        <v>62</v>
      </c>
      <c r="D25" s="21" t="s">
        <v>50</v>
      </c>
      <c r="E25" s="21">
        <v>2</v>
      </c>
      <c r="F25" s="21" t="s">
        <v>36</v>
      </c>
      <c r="G25" s="79" t="s">
        <v>63</v>
      </c>
      <c r="H25" s="80" t="s">
        <v>44</v>
      </c>
      <c r="I25" s="83" t="str">
        <f>IF(G25="","",G25)</f>
        <v>M650030010-0004-HHLQU</v>
      </c>
      <c r="J25" s="80" t="s">
        <v>44</v>
      </c>
      <c r="K25" s="21"/>
      <c r="L25" s="21"/>
      <c r="M25" s="21">
        <v>0</v>
      </c>
      <c r="N25" s="21">
        <v>50000</v>
      </c>
      <c r="O25" s="21">
        <v>1.29</v>
      </c>
      <c r="P25" s="21">
        <v>1.29</v>
      </c>
    </row>
    <row r="26" spans="2:16">
      <c r="B26" s="77" t="s">
        <v>59</v>
      </c>
      <c r="C26" s="78" t="s">
        <v>64</v>
      </c>
      <c r="D26" s="21" t="s">
        <v>50</v>
      </c>
      <c r="E26" s="21">
        <v>2</v>
      </c>
      <c r="F26" s="21" t="s">
        <v>36</v>
      </c>
      <c r="G26" s="79" t="s">
        <v>65</v>
      </c>
      <c r="H26" s="80" t="s">
        <v>44</v>
      </c>
      <c r="I26" s="83" t="str">
        <f>IF(G26="","",G26)</f>
        <v>M650030010-0006-HHLQU</v>
      </c>
      <c r="J26" s="80" t="s">
        <v>44</v>
      </c>
      <c r="K26" s="21"/>
      <c r="L26" s="21"/>
      <c r="M26" s="21">
        <v>0</v>
      </c>
      <c r="N26" s="21">
        <v>50000</v>
      </c>
      <c r="O26" s="21">
        <v>0.09</v>
      </c>
      <c r="P26" s="21">
        <v>0.09</v>
      </c>
    </row>
    <row r="27" spans="2:16">
      <c r="B27" s="81" t="s">
        <v>66</v>
      </c>
      <c r="C27" s="82" t="s">
        <v>62</v>
      </c>
      <c r="D27" s="21" t="s">
        <v>50</v>
      </c>
      <c r="E27" s="21">
        <v>2</v>
      </c>
      <c r="F27" s="21" t="s">
        <v>36</v>
      </c>
      <c r="G27" s="79" t="s">
        <v>67</v>
      </c>
      <c r="H27" s="80" t="s">
        <v>44</v>
      </c>
      <c r="I27" s="79" t="s">
        <v>68</v>
      </c>
      <c r="J27" s="80" t="s">
        <v>44</v>
      </c>
      <c r="K27" s="21"/>
      <c r="L27" s="21"/>
      <c r="M27" s="21">
        <v>0</v>
      </c>
      <c r="N27" s="21">
        <v>50000</v>
      </c>
      <c r="O27" s="21">
        <v>1.82</v>
      </c>
      <c r="P27" s="21">
        <v>2.9</v>
      </c>
    </row>
    <row r="28" spans="2:16">
      <c r="B28" s="77" t="s">
        <v>66</v>
      </c>
      <c r="C28" s="78" t="s">
        <v>64</v>
      </c>
      <c r="D28" s="21" t="s">
        <v>50</v>
      </c>
      <c r="E28" s="21">
        <v>2</v>
      </c>
      <c r="F28" s="21" t="s">
        <v>36</v>
      </c>
      <c r="G28" s="79" t="s">
        <v>69</v>
      </c>
      <c r="H28" s="80" t="s">
        <v>44</v>
      </c>
      <c r="I28" s="79" t="s">
        <v>70</v>
      </c>
      <c r="J28" s="80" t="s">
        <v>44</v>
      </c>
      <c r="K28" s="21"/>
      <c r="L28" s="21"/>
      <c r="M28" s="21">
        <v>0</v>
      </c>
      <c r="N28" s="21">
        <v>50000</v>
      </c>
      <c r="O28" s="21">
        <v>0.82</v>
      </c>
      <c r="P28" s="21">
        <v>1.4</v>
      </c>
    </row>
    <row r="29" spans="2:16">
      <c r="B29" s="81" t="s">
        <v>66</v>
      </c>
      <c r="C29" s="82" t="s">
        <v>71</v>
      </c>
      <c r="D29" s="21" t="s">
        <v>72</v>
      </c>
      <c r="E29" s="21">
        <v>2</v>
      </c>
      <c r="F29" s="21" t="s">
        <v>36</v>
      </c>
      <c r="G29" s="79" t="s">
        <v>73</v>
      </c>
      <c r="H29" s="80" t="s">
        <v>44</v>
      </c>
      <c r="I29" s="79" t="s">
        <v>74</v>
      </c>
      <c r="J29" s="80" t="s">
        <v>44</v>
      </c>
      <c r="K29" s="21"/>
      <c r="L29" s="21"/>
      <c r="M29" s="21">
        <v>0</v>
      </c>
      <c r="N29" s="21">
        <v>50000</v>
      </c>
      <c r="O29" s="21">
        <v>0.45</v>
      </c>
      <c r="P29" s="21">
        <v>0.48</v>
      </c>
    </row>
    <row r="30" spans="2:16">
      <c r="B30" s="77" t="s">
        <v>66</v>
      </c>
      <c r="C30" s="78" t="s">
        <v>75</v>
      </c>
      <c r="D30" s="21" t="s">
        <v>76</v>
      </c>
      <c r="E30" s="21">
        <v>1</v>
      </c>
      <c r="F30" s="21" t="s">
        <v>36</v>
      </c>
      <c r="G30" s="79" t="s">
        <v>77</v>
      </c>
      <c r="H30" s="80" t="s">
        <v>44</v>
      </c>
      <c r="I30" s="79" t="s">
        <v>78</v>
      </c>
      <c r="J30" s="80" t="s">
        <v>44</v>
      </c>
      <c r="K30" s="21"/>
      <c r="L30" s="21"/>
      <c r="M30" s="21">
        <v>0</v>
      </c>
      <c r="N30" s="21">
        <v>50000</v>
      </c>
      <c r="O30" s="21">
        <v>12.7</v>
      </c>
      <c r="P30" s="21">
        <v>17.6</v>
      </c>
    </row>
    <row r="31" spans="2:16">
      <c r="B31" s="81" t="s">
        <v>66</v>
      </c>
      <c r="C31" s="82" t="s">
        <v>79</v>
      </c>
      <c r="D31" s="21" t="s">
        <v>50</v>
      </c>
      <c r="E31" s="21">
        <v>2</v>
      </c>
      <c r="F31" s="21" t="s">
        <v>36</v>
      </c>
      <c r="G31" s="79" t="s">
        <v>80</v>
      </c>
      <c r="H31" s="80" t="s">
        <v>44</v>
      </c>
      <c r="I31" s="79" t="s">
        <v>81</v>
      </c>
      <c r="J31" s="80" t="s">
        <v>44</v>
      </c>
      <c r="K31" s="21"/>
      <c r="L31" s="21"/>
      <c r="M31" s="21">
        <v>0</v>
      </c>
      <c r="N31" s="21">
        <v>50000</v>
      </c>
      <c r="O31" s="21">
        <v>1.07</v>
      </c>
      <c r="P31" s="21">
        <v>1.2</v>
      </c>
    </row>
    <row r="32" spans="2:16">
      <c r="B32" s="77" t="s">
        <v>82</v>
      </c>
      <c r="C32" s="78" t="s">
        <v>83</v>
      </c>
      <c r="D32" s="21" t="s">
        <v>50</v>
      </c>
      <c r="E32" s="21">
        <v>1</v>
      </c>
      <c r="F32" s="21" t="s">
        <v>36</v>
      </c>
      <c r="G32" s="79" t="s">
        <v>84</v>
      </c>
      <c r="H32" s="80" t="s">
        <v>44</v>
      </c>
      <c r="I32" s="79" t="s">
        <v>85</v>
      </c>
      <c r="J32" s="80" t="s">
        <v>44</v>
      </c>
      <c r="K32" s="21"/>
      <c r="L32" s="21"/>
      <c r="M32" s="21">
        <v>0</v>
      </c>
      <c r="N32" s="21">
        <v>50000</v>
      </c>
      <c r="O32" s="21">
        <v>92.5</v>
      </c>
      <c r="P32" s="21">
        <v>90.90000000000001</v>
      </c>
    </row>
    <row r="33" spans="2:16">
      <c r="B33" s="81" t="s">
        <v>82</v>
      </c>
      <c r="C33" s="82" t="s">
        <v>86</v>
      </c>
      <c r="D33" s="21" t="s">
        <v>72</v>
      </c>
      <c r="E33" s="21">
        <v>2</v>
      </c>
      <c r="F33" s="21" t="s">
        <v>36</v>
      </c>
      <c r="G33" s="79" t="s">
        <v>87</v>
      </c>
      <c r="H33" s="80" t="s">
        <v>44</v>
      </c>
      <c r="I33" s="79" t="s">
        <v>88</v>
      </c>
      <c r="J33" s="80" t="s">
        <v>44</v>
      </c>
      <c r="K33" s="21"/>
      <c r="L33" s="21"/>
      <c r="M33" s="21">
        <v>0</v>
      </c>
      <c r="N33" s="21">
        <v>50000</v>
      </c>
      <c r="O33" s="21">
        <v>0.73</v>
      </c>
      <c r="P33" s="21">
        <v>0.8</v>
      </c>
    </row>
    <row r="34" spans="2:16">
      <c r="B34" s="77" t="s">
        <v>82</v>
      </c>
      <c r="C34" s="78" t="s">
        <v>89</v>
      </c>
      <c r="D34" s="21" t="s">
        <v>50</v>
      </c>
      <c r="E34" s="21">
        <v>1</v>
      </c>
      <c r="F34" s="21" t="s">
        <v>36</v>
      </c>
      <c r="G34" s="79" t="s">
        <v>90</v>
      </c>
      <c r="H34" s="80" t="s">
        <v>44</v>
      </c>
      <c r="I34" s="79" t="s">
        <v>91</v>
      </c>
      <c r="J34" s="80" t="s">
        <v>44</v>
      </c>
      <c r="K34" s="21"/>
      <c r="L34" s="21"/>
      <c r="M34" s="21">
        <v>0</v>
      </c>
      <c r="N34" s="21">
        <v>50000</v>
      </c>
      <c r="O34" s="21">
        <v>94</v>
      </c>
      <c r="P34" s="21">
        <v>93.90000000000001</v>
      </c>
    </row>
    <row r="35" spans="2:16">
      <c r="B35" s="81" t="s">
        <v>82</v>
      </c>
      <c r="C35" s="82" t="s">
        <v>92</v>
      </c>
      <c r="D35" s="21" t="s">
        <v>93</v>
      </c>
      <c r="E35" s="21">
        <v>0</v>
      </c>
      <c r="F35" s="21" t="s">
        <v>36</v>
      </c>
      <c r="G35" s="79" t="s">
        <v>94</v>
      </c>
      <c r="H35" s="80" t="s">
        <v>44</v>
      </c>
      <c r="I35" s="79" t="s">
        <v>95</v>
      </c>
      <c r="J35" s="80" t="s">
        <v>44</v>
      </c>
      <c r="K35" s="21"/>
      <c r="L35" s="21"/>
      <c r="M35" s="21">
        <v>0</v>
      </c>
      <c r="N35" s="21">
        <v>50000</v>
      </c>
      <c r="O35" s="21">
        <v>320</v>
      </c>
      <c r="P35" s="21">
        <v>334</v>
      </c>
    </row>
    <row r="36" spans="2:16">
      <c r="B36" s="77" t="s">
        <v>82</v>
      </c>
      <c r="C36" s="78" t="s">
        <v>96</v>
      </c>
      <c r="D36" s="21" t="s">
        <v>50</v>
      </c>
      <c r="E36" s="21">
        <v>0</v>
      </c>
      <c r="F36" s="21" t="s">
        <v>36</v>
      </c>
      <c r="G36" s="79" t="s">
        <v>97</v>
      </c>
      <c r="H36" s="80" t="s">
        <v>44</v>
      </c>
      <c r="I36" s="79" t="s">
        <v>98</v>
      </c>
      <c r="J36" s="80" t="s">
        <v>44</v>
      </c>
      <c r="K36" s="21"/>
      <c r="L36" s="21"/>
      <c r="M36" s="21">
        <v>0</v>
      </c>
      <c r="N36" s="21">
        <v>50000</v>
      </c>
      <c r="O36" s="21">
        <v>17</v>
      </c>
      <c r="P36" s="21">
        <v>16</v>
      </c>
    </row>
    <row r="37" spans="2:16">
      <c r="B37" s="81" t="s">
        <v>82</v>
      </c>
      <c r="C37" s="82" t="s">
        <v>99</v>
      </c>
      <c r="D37" s="21" t="s">
        <v>50</v>
      </c>
      <c r="E37" s="21">
        <v>1</v>
      </c>
      <c r="F37" s="21" t="s">
        <v>36</v>
      </c>
      <c r="G37" s="79" t="s">
        <v>100</v>
      </c>
      <c r="H37" s="80" t="s">
        <v>44</v>
      </c>
      <c r="I37" s="79" t="s">
        <v>101</v>
      </c>
      <c r="J37" s="80" t="s">
        <v>44</v>
      </c>
      <c r="K37" s="21"/>
      <c r="L37" s="21"/>
      <c r="M37" s="21">
        <v>0</v>
      </c>
      <c r="N37" s="21">
        <v>50000</v>
      </c>
      <c r="O37" s="21">
        <v>0.97</v>
      </c>
      <c r="P37" s="21">
        <v>1.17</v>
      </c>
    </row>
    <row r="38" spans="2:16">
      <c r="B38" s="77" t="s">
        <v>82</v>
      </c>
      <c r="C38" s="78" t="s">
        <v>62</v>
      </c>
      <c r="D38" s="21" t="s">
        <v>50</v>
      </c>
      <c r="E38" s="21">
        <v>2</v>
      </c>
      <c r="F38" s="21" t="s">
        <v>36</v>
      </c>
      <c r="G38" s="79" t="s">
        <v>102</v>
      </c>
      <c r="H38" s="80" t="s">
        <v>44</v>
      </c>
      <c r="I38" s="79" t="s">
        <v>103</v>
      </c>
      <c r="J38" s="80" t="s">
        <v>44</v>
      </c>
      <c r="K38" s="21"/>
      <c r="L38" s="21"/>
      <c r="M38" s="21">
        <v>0</v>
      </c>
      <c r="N38" s="21">
        <v>50000</v>
      </c>
      <c r="O38" s="21">
        <v>1.9</v>
      </c>
      <c r="P38" s="21">
        <v>1.95</v>
      </c>
    </row>
    <row r="39" spans="2:16">
      <c r="B39" s="81" t="s">
        <v>104</v>
      </c>
      <c r="C39" s="82" t="s">
        <v>104</v>
      </c>
      <c r="D39" s="21" t="s">
        <v>105</v>
      </c>
      <c r="E39" s="21">
        <v>0</v>
      </c>
      <c r="F39" s="21" t="s">
        <v>106</v>
      </c>
      <c r="G39" s="79" t="s">
        <v>107</v>
      </c>
      <c r="H39" s="80" t="s">
        <v>44</v>
      </c>
      <c r="I39" s="79" t="s">
        <v>108</v>
      </c>
      <c r="J39" s="80" t="s">
        <v>44</v>
      </c>
      <c r="K39" s="21"/>
      <c r="L39" s="21"/>
      <c r="M39" s="21">
        <v>0</v>
      </c>
      <c r="N39" s="21">
        <v>50000</v>
      </c>
      <c r="O39" s="21">
        <v>700</v>
      </c>
      <c r="P39" s="21">
        <v>750</v>
      </c>
    </row>
    <row r="40" spans="2:16">
      <c r="B40" s="77" t="s">
        <v>104</v>
      </c>
      <c r="C40" s="78" t="s">
        <v>109</v>
      </c>
      <c r="D40" s="21" t="s">
        <v>110</v>
      </c>
      <c r="E40" s="21">
        <v>0</v>
      </c>
      <c r="F40" s="21" t="s">
        <v>111</v>
      </c>
      <c r="G40" s="79" t="s">
        <v>112</v>
      </c>
      <c r="H40" s="80" t="s">
        <v>44</v>
      </c>
      <c r="I40" s="79" t="s">
        <v>113</v>
      </c>
      <c r="J40" s="80" t="s">
        <v>44</v>
      </c>
      <c r="K40" s="21"/>
      <c r="L40" s="21"/>
      <c r="M40" s="21">
        <v>0</v>
      </c>
      <c r="N40" s="21">
        <v>50000</v>
      </c>
      <c r="O40" s="21">
        <v>19000</v>
      </c>
      <c r="P40" s="21">
        <v>20600</v>
      </c>
    </row>
    <row r="41" spans="2:16">
      <c r="B41" s="81" t="s">
        <v>104</v>
      </c>
      <c r="C41" s="82" t="s">
        <v>114</v>
      </c>
      <c r="D41" s="21" t="s">
        <v>110</v>
      </c>
      <c r="E41" s="21">
        <v>0</v>
      </c>
      <c r="F41" s="21" t="s">
        <v>111</v>
      </c>
      <c r="G41" s="79" t="s">
        <v>115</v>
      </c>
      <c r="H41" s="80" t="s">
        <v>38</v>
      </c>
      <c r="I41" s="79" t="s">
        <v>116</v>
      </c>
      <c r="J41" s="80" t="s">
        <v>38</v>
      </c>
      <c r="K41" s="21"/>
      <c r="L41" s="21"/>
      <c r="M41" s="21">
        <v>0</v>
      </c>
      <c r="N41" s="21">
        <v>50000</v>
      </c>
      <c r="O41" s="21">
        <v>19000</v>
      </c>
      <c r="P41" s="21">
        <v>20600</v>
      </c>
    </row>
    <row r="43" spans="2:16">
      <c r="C43" s="84" t="s">
        <v>117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41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85" customWidth="1"/>
    <col min="2" max="49" width="14.7109375" customWidth="1"/>
  </cols>
  <sheetData>
    <row r="1" spans="1:43">
      <c r="A1" s="86" t="s">
        <v>179</v>
      </c>
    </row>
    <row r="3" spans="1:43">
      <c r="A3" s="87" t="s">
        <v>180</v>
      </c>
      <c r="B3" s="88"/>
      <c r="D3" s="87" t="s">
        <v>182</v>
      </c>
    </row>
    <row r="4" spans="1:43">
      <c r="A4" s="87" t="s">
        <v>181</v>
      </c>
      <c r="B4" s="88"/>
      <c r="D4" s="87" t="s">
        <v>183</v>
      </c>
    </row>
    <row r="6" spans="1:43">
      <c r="A6" s="89" t="s">
        <v>184</v>
      </c>
    </row>
    <row r="7" spans="1:43">
      <c r="A7" s="90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91" t="s">
        <v>185</v>
      </c>
      <c r="B8" s="92" t="s">
        <v>186</v>
      </c>
      <c r="C8" s="92" t="s">
        <v>187</v>
      </c>
      <c r="D8" s="92" t="s">
        <v>188</v>
      </c>
      <c r="E8" s="92" t="s">
        <v>189</v>
      </c>
      <c r="F8" s="92" t="s">
        <v>190</v>
      </c>
      <c r="G8" s="92" t="s">
        <v>191</v>
      </c>
      <c r="H8" s="92" t="s">
        <v>192</v>
      </c>
      <c r="I8" s="92" t="s">
        <v>193</v>
      </c>
      <c r="J8" s="92" t="s">
        <v>194</v>
      </c>
      <c r="K8" s="92" t="s">
        <v>195</v>
      </c>
      <c r="L8" s="92" t="s">
        <v>196</v>
      </c>
      <c r="M8" s="92" t="s">
        <v>197</v>
      </c>
      <c r="N8" s="92" t="s">
        <v>198</v>
      </c>
      <c r="O8" s="92" t="s">
        <v>199</v>
      </c>
      <c r="P8" s="92" t="s">
        <v>200</v>
      </c>
      <c r="Q8" s="92" t="s">
        <v>201</v>
      </c>
      <c r="R8" s="92" t="s">
        <v>202</v>
      </c>
      <c r="S8" s="92" t="s">
        <v>203</v>
      </c>
      <c r="T8" s="92" t="s">
        <v>204</v>
      </c>
      <c r="U8" s="92" t="s">
        <v>205</v>
      </c>
      <c r="V8" s="92" t="s">
        <v>206</v>
      </c>
      <c r="W8" s="92" t="s">
        <v>207</v>
      </c>
      <c r="X8" s="92" t="s">
        <v>208</v>
      </c>
      <c r="Y8" s="92" t="s">
        <v>209</v>
      </c>
      <c r="Z8" s="92" t="s">
        <v>210</v>
      </c>
      <c r="AA8" s="92" t="s">
        <v>211</v>
      </c>
      <c r="AB8" s="92" t="s">
        <v>212</v>
      </c>
      <c r="AC8" s="92" t="s">
        <v>213</v>
      </c>
      <c r="AD8" s="92" t="s">
        <v>214</v>
      </c>
      <c r="AE8" s="92" t="s">
        <v>215</v>
      </c>
      <c r="AF8" s="92" t="s">
        <v>216</v>
      </c>
      <c r="AG8" s="92" t="s">
        <v>217</v>
      </c>
      <c r="AH8" s="92" t="s">
        <v>218</v>
      </c>
      <c r="AI8" s="92" t="s">
        <v>219</v>
      </c>
      <c r="AJ8" s="92" t="s">
        <v>220</v>
      </c>
      <c r="AK8" s="92" t="s">
        <v>221</v>
      </c>
      <c r="AL8" s="92" t="s">
        <v>222</v>
      </c>
      <c r="AM8" s="92" t="s">
        <v>223</v>
      </c>
      <c r="AN8" s="92" t="s">
        <v>224</v>
      </c>
      <c r="AO8" s="92" t="s">
        <v>225</v>
      </c>
      <c r="AP8" s="92" t="s">
        <v>226</v>
      </c>
      <c r="AQ8" s="92" t="s">
        <v>227</v>
      </c>
    </row>
    <row r="9" spans="1:43">
      <c r="A9" s="93">
        <f t="array" ref="A9:AQ14">_xll.AspenTech.PME.ProcessData.Functions.ShowCalculationValues(ADDRESS(ROW(Dados_MES!A7),COLUMN(Dados_MES!A7),1,,"Dados_MES"),Dados_MES!A7, 0)</f>
        <v>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93">
        <v>0</v>
      </c>
      <c r="AL9" s="93">
        <v>0</v>
      </c>
      <c r="AM9" s="93">
        <v>0</v>
      </c>
      <c r="AN9" s="93">
        <v>0</v>
      </c>
      <c r="AO9" s="93">
        <v>0</v>
      </c>
      <c r="AP9" s="93">
        <v>0</v>
      </c>
      <c r="AQ9" s="93">
        <v>0</v>
      </c>
    </row>
    <row r="10" spans="1:43">
      <c r="A10" s="93">
        <v>0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</v>
      </c>
      <c r="X10" s="93">
        <v>0</v>
      </c>
      <c r="Y10" s="93">
        <v>0</v>
      </c>
      <c r="Z10" s="93">
        <v>0</v>
      </c>
      <c r="AA10" s="93">
        <v>0</v>
      </c>
      <c r="AB10" s="93">
        <v>0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93">
        <v>0</v>
      </c>
      <c r="AL10" s="93">
        <v>0</v>
      </c>
      <c r="AM10" s="93">
        <v>0</v>
      </c>
      <c r="AN10" s="93">
        <v>0</v>
      </c>
      <c r="AO10" s="93">
        <v>0</v>
      </c>
      <c r="AP10" s="93">
        <v>0</v>
      </c>
      <c r="AQ10" s="93">
        <v>0</v>
      </c>
    </row>
    <row r="11" spans="1:43">
      <c r="A11" s="93">
        <v>0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  <c r="X11" s="93">
        <v>0</v>
      </c>
      <c r="Y11" s="93">
        <v>0</v>
      </c>
      <c r="Z11" s="93">
        <v>0</v>
      </c>
      <c r="AA11" s="93">
        <v>0</v>
      </c>
      <c r="AB11" s="93">
        <v>0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93">
        <v>0</v>
      </c>
      <c r="AL11" s="93">
        <v>0</v>
      </c>
      <c r="AM11" s="93">
        <v>0</v>
      </c>
      <c r="AN11" s="93">
        <v>0</v>
      </c>
      <c r="AO11" s="93">
        <v>0</v>
      </c>
      <c r="AP11" s="93">
        <v>0</v>
      </c>
      <c r="AQ11" s="93">
        <v>0</v>
      </c>
    </row>
    <row r="12" spans="1:43">
      <c r="A12" s="93">
        <v>0</v>
      </c>
      <c r="B12" s="93">
        <v>0</v>
      </c>
      <c r="C12" s="93">
        <v>0</v>
      </c>
      <c r="D12" s="93">
        <v>0</v>
      </c>
      <c r="E12" s="93">
        <v>0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93">
        <v>0</v>
      </c>
      <c r="AL12" s="93">
        <v>0</v>
      </c>
      <c r="AM12" s="93">
        <v>0</v>
      </c>
      <c r="AN12" s="93">
        <v>0</v>
      </c>
      <c r="AO12" s="93">
        <v>0</v>
      </c>
      <c r="AP12" s="93">
        <v>0</v>
      </c>
      <c r="AQ12" s="93">
        <v>0</v>
      </c>
    </row>
    <row r="13" spans="1:43">
      <c r="A13" s="93">
        <v>0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93">
        <v>0</v>
      </c>
      <c r="AL13" s="93">
        <v>0</v>
      </c>
      <c r="AM13" s="93">
        <v>0</v>
      </c>
      <c r="AN13" s="93">
        <v>0</v>
      </c>
      <c r="AO13" s="93">
        <v>0</v>
      </c>
      <c r="AP13" s="93">
        <v>0</v>
      </c>
      <c r="AQ13" s="93">
        <v>0</v>
      </c>
    </row>
    <row r="14" spans="1:43">
      <c r="A14" s="93">
        <v>0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0</v>
      </c>
      <c r="AN14" s="93">
        <v>0</v>
      </c>
      <c r="AO14" s="93">
        <v>0</v>
      </c>
      <c r="AP14" s="93">
        <v>0</v>
      </c>
      <c r="AQ14" s="93">
        <v>0</v>
      </c>
    </row>
    <row r="16" spans="1:43">
      <c r="A16" s="89" t="s">
        <v>228</v>
      </c>
    </row>
    <row r="17" spans="1:5">
      <c r="A17" s="90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91" t="s">
        <v>185</v>
      </c>
      <c r="B18" s="92" t="s">
        <v>229</v>
      </c>
      <c r="C18" s="92" t="s">
        <v>230</v>
      </c>
      <c r="D18" s="92" t="s">
        <v>231</v>
      </c>
      <c r="E18" s="92" t="s">
        <v>232</v>
      </c>
    </row>
    <row r="19" spans="1:5">
      <c r="A19" s="93">
        <f t="array" ref="A19:E24">_xll.AspenTech.PME.ProcessData.Functions.ShowCalculationValues(ADDRESS(ROW(Dados_MES!A17),COLUMN(Dados_MES!A17),1,,"Dados_MES"),Dados_MES!A17, 0)</f>
        <v>0</v>
      </c>
      <c r="B19" s="93">
        <v>0</v>
      </c>
      <c r="C19" s="93">
        <v>0</v>
      </c>
      <c r="D19" s="93">
        <v>0</v>
      </c>
      <c r="E19" s="93">
        <v>0</v>
      </c>
    </row>
    <row r="20" spans="1:5">
      <c r="A20" s="93">
        <v>0</v>
      </c>
      <c r="B20" s="93">
        <v>0</v>
      </c>
      <c r="C20" s="93">
        <v>0</v>
      </c>
      <c r="D20" s="93">
        <v>0</v>
      </c>
      <c r="E20" s="93">
        <v>0</v>
      </c>
    </row>
    <row r="21" spans="1:5">
      <c r="A21" s="93">
        <v>0</v>
      </c>
      <c r="B21" s="93">
        <v>0</v>
      </c>
      <c r="C21" s="93">
        <v>0</v>
      </c>
      <c r="D21" s="93">
        <v>0</v>
      </c>
      <c r="E21" s="93">
        <v>0</v>
      </c>
    </row>
    <row r="22" spans="1:5">
      <c r="A22" s="93">
        <v>0</v>
      </c>
      <c r="B22" s="93">
        <v>0</v>
      </c>
      <c r="C22" s="93">
        <v>0</v>
      </c>
      <c r="D22" s="93">
        <v>0</v>
      </c>
      <c r="E22" s="93">
        <v>0</v>
      </c>
    </row>
    <row r="23" spans="1:5">
      <c r="A23" s="93">
        <v>0</v>
      </c>
      <c r="B23" s="93">
        <v>0</v>
      </c>
      <c r="C23" s="93">
        <v>0</v>
      </c>
      <c r="D23" s="93">
        <v>0</v>
      </c>
      <c r="E23" s="93">
        <v>0</v>
      </c>
    </row>
    <row r="24" spans="1:5">
      <c r="A24" s="93">
        <v>0</v>
      </c>
      <c r="B24" s="93">
        <v>0</v>
      </c>
      <c r="C24" s="93">
        <v>0</v>
      </c>
      <c r="D24" s="93">
        <v>0</v>
      </c>
      <c r="E24" s="93">
        <v>0</v>
      </c>
    </row>
    <row r="26" spans="1:5">
      <c r="A26" s="89" t="s">
        <v>233</v>
      </c>
    </row>
    <row r="27" spans="1:5">
      <c r="A27" s="90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91" t="s">
        <v>185</v>
      </c>
      <c r="B28" s="92" t="s">
        <v>234</v>
      </c>
      <c r="C28" s="92" t="s">
        <v>235</v>
      </c>
    </row>
    <row r="29" spans="1:5">
      <c r="A29" s="93">
        <f t="array" ref="A29:C34">_xll.AspenTech.PME.ProcessData.Functions.ShowCalculationValues(ADDRESS(ROW(Dados_MES!A27),COLUMN(Dados_MES!A27),1,,"Dados_MES"),Dados_MES!A27, 0)</f>
        <v>0</v>
      </c>
      <c r="B29" s="93">
        <v>0</v>
      </c>
      <c r="C29" s="93">
        <v>0</v>
      </c>
    </row>
    <row r="30" spans="1:5">
      <c r="A30" s="93">
        <v>0</v>
      </c>
      <c r="B30" s="93">
        <v>0</v>
      </c>
      <c r="C30" s="93">
        <v>0</v>
      </c>
    </row>
    <row r="31" spans="1:5">
      <c r="A31" s="93">
        <v>0</v>
      </c>
      <c r="B31" s="93">
        <v>0</v>
      </c>
      <c r="C31" s="93">
        <v>0</v>
      </c>
    </row>
    <row r="32" spans="1:5">
      <c r="A32" s="93">
        <v>0</v>
      </c>
      <c r="B32" s="93">
        <v>0</v>
      </c>
      <c r="C32" s="93">
        <v>0</v>
      </c>
    </row>
    <row r="33" spans="1:3">
      <c r="A33" s="93">
        <v>0</v>
      </c>
      <c r="B33" s="93">
        <v>0</v>
      </c>
      <c r="C33" s="93">
        <v>0</v>
      </c>
    </row>
    <row r="34" spans="1:3">
      <c r="A34" s="93">
        <v>0</v>
      </c>
      <c r="B34" s="93">
        <v>0</v>
      </c>
      <c r="C34" s="9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4"/>
  <sheetViews>
    <sheetView showGridLines="0" workbookViewId="0"/>
  </sheetViews>
  <sheetFormatPr defaultRowHeight="15"/>
  <sheetData>
    <row r="1" spans="11:17">
      <c r="K1" t="s">
        <v>366</v>
      </c>
      <c r="L1" t="s">
        <v>367</v>
      </c>
      <c r="M1" t="s">
        <v>368</v>
      </c>
      <c r="N1" t="s">
        <v>369</v>
      </c>
      <c r="O1" t="s">
        <v>370</v>
      </c>
      <c r="P1" t="s">
        <v>371</v>
      </c>
      <c r="Q1" t="s">
        <v>372</v>
      </c>
    </row>
    <row r="2" spans="11:17">
      <c r="K2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>
        <v>43</v>
      </c>
    </row>
    <row r="3" spans="11:17">
      <c r="K3" t="s">
        <v>252</v>
      </c>
      <c r="L3" t="s">
        <v>104</v>
      </c>
      <c r="M3" t="s">
        <v>375</v>
      </c>
      <c r="N3" t="s">
        <v>379</v>
      </c>
      <c r="O3" t="s">
        <v>380</v>
      </c>
      <c r="P3" t="s">
        <v>381</v>
      </c>
      <c r="Q3">
        <v>5</v>
      </c>
    </row>
    <row r="4" spans="11:17">
      <c r="K4" t="s">
        <v>382</v>
      </c>
      <c r="L4" t="s">
        <v>383</v>
      </c>
      <c r="M4" t="s">
        <v>384</v>
      </c>
      <c r="N4" t="s">
        <v>385</v>
      </c>
      <c r="O4" t="s">
        <v>386</v>
      </c>
      <c r="P4" t="s">
        <v>387</v>
      </c>
      <c r="Q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83</vt:i4>
      </vt:variant>
    </vt:vector>
  </HeadingPairs>
  <TitlesOfParts>
    <vt:vector size="90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dArea</vt:lpstr>
      <vt:lpstr>dAtualizado</vt:lpstr>
      <vt:lpstr>dBatch</vt:lpstr>
      <vt:lpstr>dBatchM325</vt:lpstr>
      <vt:lpstr>dBatchP</vt:lpstr>
      <vt:lpstr>dBatchPPC</vt:lpstr>
      <vt:lpstr>dBatchSE</vt:lpstr>
      <vt:lpstr>dBatchSiO2</vt:lpstr>
      <vt:lpstr>dCarreg</vt:lpstr>
      <vt:lpstr>dComUS3</vt:lpstr>
      <vt:lpstr>dComUS4</vt:lpstr>
      <vt:lpstr>dDragas</vt:lpstr>
      <vt:lpstr>dEquip</vt:lpstr>
      <vt:lpstr>dFiltragem</vt:lpstr>
      <vt:lpstr>dHoras</vt:lpstr>
      <vt:lpstr>dInsumos</vt:lpstr>
      <vt:lpstr>dLetra</vt:lpstr>
      <vt:lpstr>dMercInt</vt:lpstr>
      <vt:lpstr>dMineroduto</vt:lpstr>
      <vt:lpstr>dObs</vt:lpstr>
      <vt:lpstr>dProdUS3</vt:lpstr>
      <vt:lpstr>dProdUS4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nArea</vt:lpstr>
      <vt:lpstr>nAtualizado</vt:lpstr>
      <vt:lpstr>nBatch</vt:lpstr>
      <vt:lpstr>nBatchM325</vt:lpstr>
      <vt:lpstr>nBatchP</vt:lpstr>
      <vt:lpstr>nBatchPPC</vt:lpstr>
      <vt:lpstr>nBatchSE</vt:lpstr>
      <vt:lpstr>nBatchSiO2</vt:lpstr>
      <vt:lpstr>nCarreg</vt:lpstr>
      <vt:lpstr>nComUS3</vt:lpstr>
      <vt:lpstr>nComUS4</vt:lpstr>
      <vt:lpstr>nDragas</vt:lpstr>
      <vt:lpstr>nEquip</vt:lpstr>
      <vt:lpstr>nFiltragem</vt:lpstr>
      <vt:lpstr>nHoras</vt:lpstr>
      <vt:lpstr>nInsumos</vt:lpstr>
      <vt:lpstr>nLetra</vt:lpstr>
      <vt:lpstr>nMercInt</vt:lpstr>
      <vt:lpstr>nMineroduto</vt:lpstr>
      <vt:lpstr>nObs</vt:lpstr>
      <vt:lpstr>nProdUS3</vt:lpstr>
      <vt:lpstr>nProdUS4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Físico - US3/US4</dc:title>
  <dc:creator/>
  <cp:lastModifiedBy/>
  <dcterms:created xsi:type="dcterms:W3CDTF">2026-10-01T18:49:29Z</dcterms:created>
  <dcterms:modified xsi:type="dcterms:W3CDTF">2026-10-01T18:49:29Z</dcterms:modified>
</cp:coreProperties>
</file>