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Dia'!$B$2:$M$123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gerais'!$B$2:$S$72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'Configurações'!$C$18:$C$45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Noite'!$B$2:$M$123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Configurações!$B$2:$P$47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gerais'!$B$2:$S$72</definedName>
    <definedName name="_xlnm.Print_Area" localSheetId="1">'Resumo Dia'!$B$2:$M$123</definedName>
    <definedName name="_xlnm.Print_Area" localSheetId="2">'Resumo Noite'!$B$2:$M$123</definedName>
  </definedNames>
  <calcPr calcId="124519" fullCalcOnLoad="1"/>
</workbook>
</file>

<file path=xl/sharedStrings.xml><?xml version="1.0" encoding="utf-8"?>
<sst xmlns="http://schemas.openxmlformats.org/spreadsheetml/2006/main" count="1214" uniqueCount="419">
  <si>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</si>
  <si>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</si>
  <si>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</si>
  <si>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</si>
  <si>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</si>
  <si>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</si>
  <si>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</si>
  <si>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</si>
  <si>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</si>
  <si>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</si>
  <si>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</si>
  <si>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</si>
  <si>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</si>
  <si>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</si>
  <si>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</si>
  <si>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</si>
  <si>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</si>
  <si>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</si>
  <si>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</si>
  <si>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</si>
  <si>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</si>
  <si>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</si>
  <si>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</si>
  <si>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</si>
  <si>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</si>
  <si>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</si>
  <si>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</si>
  <si>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</si>
  <si>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</si>
  <si>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</si>
  <si>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</si>
  <si>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</si>
  <si>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</si>
  <si>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</si>
  <si>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</si>
  <si>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</si>
  <si>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</si>
  <si>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</si>
  <si>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</si>
  <si>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</si>
  <si>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</si>
  <si>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</si>
  <si>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</si>
  <si>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</si>
  <si>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</si>
  <si>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</si>
  <si>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</si>
  <si>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</si>
  <si>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</si>
  <si>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</si>
  <si>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</si>
  <si>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</si>
  <si>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</si>
  <si>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</si>
  <si>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</si>
  <si>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</si>
  <si>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</si>
  <si>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</si>
  <si>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</si>
  <si>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</si>
  <si>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</t>
  </si>
  <si>
    <t>M650030010-0013-HHLQU</t>
  </si>
  <si>
    <t>SiO2</t>
  </si>
  <si>
    <t>M650030010-0004-HHLQU</t>
  </si>
  <si>
    <t>CaO</t>
  </si>
  <si>
    <t>M650030010-0006-HHLQU</t>
  </si>
  <si>
    <t>Filtrado para o pátio</t>
  </si>
  <si>
    <t>Umidade</t>
  </si>
  <si>
    <t>M650030020-0001-HHLFU</t>
  </si>
  <si>
    <t>Mistura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</si>
  <si>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</si>
  <si>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</si>
  <si>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</si>
  <si>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</si>
  <si>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</si>
  <si>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</si>
  <si>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</si>
  <si>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</si>
  <si>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</si>
  <si>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</si>
  <si>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</si>
  <si>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</si>
  <si>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</si>
  <si>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</si>
  <si>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</si>
  <si>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Pelota Crua</t>
  </si>
  <si>
    <t>M690025000-0001-HHLFU</t>
  </si>
  <si>
    <t>M4690025000-0001-HHLFU</t>
  </si>
  <si>
    <t>Resiliência</t>
  </si>
  <si>
    <t>nº quedas</t>
  </si>
  <si>
    <t>M690025000-0094-HHLFU</t>
  </si>
  <si>
    <t>M4690025000-0094-HHLFU</t>
  </si>
  <si>
    <t>Compressão seca</t>
  </si>
  <si>
    <t>kgf/pel</t>
  </si>
  <si>
    <t>M690025000-0095-HHLFU</t>
  </si>
  <si>
    <t>M4690025000-0095-HHLFU</t>
  </si>
  <si>
    <t>Compressão úmida</t>
  </si>
  <si>
    <t>M690025000-0120-HHLFU</t>
  </si>
  <si>
    <t>M4690025000-0120-HHLFU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</si>
  <si>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</si>
  <si>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</si>
  <si>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</si>
  <si>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</si>
  <si>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</si>
  <si>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</si>
  <si>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</si>
  <si>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</si>
  <si>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</si>
  <si>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</si>
  <si>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</si>
  <si>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</si>
  <si>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</si>
  <si>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</si>
  <si>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</si>
  <si>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</si>
  <si>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</si>
  <si>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</si>
  <si>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</si>
  <si>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</si>
  <si>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</si>
  <si>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</si>
  <si>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</si>
  <si>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</si>
  <si>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</si>
  <si>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</si>
  <si>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</si>
  <si>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</si>
  <si>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</si>
  <si>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</si>
  <si>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</si>
  <si>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</si>
  <si>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</si>
  <si>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</si>
  <si>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</si>
  <si>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</si>
  <si>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</si>
  <si>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</si>
  <si>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</si>
  <si>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</si>
  <si>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</si>
  <si>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</si>
  <si>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</si>
  <si>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</si>
  <si>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</si>
  <si>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</si>
  <si>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</si>
  <si>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</si>
  <si>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</si>
  <si>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</si>
  <si>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</si>
  <si>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</si>
  <si>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</si>
  <si>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</si>
  <si>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</si>
  <si>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</si>
  <si>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</si>
  <si>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</si>
  <si>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</si>
  <si>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</si>
  <si>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</si>
  <si>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</si>
  <si>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</si>
  <si>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</si>
  <si>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</si>
  <si>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</si>
  <si>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</si>
  <si>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</si>
  <si>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</si>
  <si>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</si>
  <si>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</si>
  <si>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</si>
  <si>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</si>
  <si>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</si>
  <si>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</si>
  <si>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</si>
  <si>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</si>
  <si>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</si>
  <si>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</si>
  <si>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</si>
  <si>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</si>
  <si>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</si>
  <si>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</si>
  <si>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</si>
  <si>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</si>
  <si>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</si>
  <si>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</si>
  <si>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</si>
  <si>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</si>
  <si>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</si>
  <si>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</si>
  <si>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</si>
  <si>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</si>
  <si>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</si>
  <si>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</si>
  <si>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</si>
  <si>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</si>
  <si>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</si>
  <si>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</si>
  <si>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</si>
  <si>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</si>
  <si>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</si>
  <si>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</si>
  <si>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</si>
  <si>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</si>
  <si>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</si>
  <si>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</si>
  <si>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</si>
  <si>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</si>
  <si>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</si>
  <si>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</si>
  <si>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</si>
  <si>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</si>
  <si>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</t>
  </si>
  <si>
    <t>P07 US4 · PPC</t>
  </si>
  <si>
    <t>P08 US3 · SiO2</t>
  </si>
  <si>
    <t>P08 US4 · SiO2</t>
  </si>
  <si>
    <t>P09 US3 · CaO</t>
  </si>
  <si>
    <t>P09 US4 · CaO</t>
  </si>
  <si>
    <t>P10 US3 · Umidade</t>
  </si>
  <si>
    <t>P10 US4 · Umidade</t>
  </si>
  <si>
    <t>P11 US3 · SiO2</t>
  </si>
  <si>
    <t>P11 US4 · SiO2</t>
  </si>
  <si>
    <t>P12 US3 · CaO</t>
  </si>
  <si>
    <t>P12 US4 · CaO</t>
  </si>
  <si>
    <t>P13 US3 · B2 (CaO/SiO2)</t>
  </si>
  <si>
    <t>P13 US4 · B2 (CaO/SiO2)</t>
  </si>
  <si>
    <t>P14 US3 · Dosagem de Carvão</t>
  </si>
  <si>
    <t>P14 US4 · Dosagem de Carvão</t>
  </si>
  <si>
    <t>P15 US3 · Carbono Fixo</t>
  </si>
  <si>
    <t>P15 US4 · Carbono Fixo</t>
  </si>
  <si>
    <t>P16 US3 · Umidade</t>
  </si>
  <si>
    <t>P16 US4 · Umidade</t>
  </si>
  <si>
    <t>P17 US3 · Resiliência</t>
  </si>
  <si>
    <t>P17 US4 · Resiliência</t>
  </si>
  <si>
    <t>P18 US3 · Compressão seca</t>
  </si>
  <si>
    <t>P18 US4 · Compressão seca</t>
  </si>
  <si>
    <t>P19 US3 · Compressão úmida</t>
  </si>
  <si>
    <t>P19 US4 · Compressão úmida</t>
  </si>
  <si>
    <t>P20 US3 · Faixa +16,0 -8,0 mm</t>
  </si>
  <si>
    <t>P20 US4 · Faixa +16,0 -8,0 mm</t>
  </si>
  <si>
    <t>P21 US3 · Relação Granulométrica</t>
  </si>
  <si>
    <t>P21 US4 · Relação Granulométrica</t>
  </si>
  <si>
    <t>P22 US3 · Tamboramento</t>
  </si>
  <si>
    <t>P22 US4 · Tamboramento</t>
  </si>
  <si>
    <t>P23 US3 · Resistência à Compressão</t>
  </si>
  <si>
    <t>P23 US4 · Resistência à Compressão</t>
  </si>
  <si>
    <t>P24 US3 · Compressão &lt; 200 kgf/pel</t>
  </si>
  <si>
    <t>P24 US4 · Compressão &lt; 200 kgf/pel</t>
  </si>
  <si>
    <t>P25 US3 · Finos -6,3 mm</t>
  </si>
  <si>
    <t>P25 US4 · Finos -6,3 mm</t>
  </si>
  <si>
    <t>Consulta: Produção  (tipo de cálculo "1")</t>
  </si>
  <si>
    <t>P26 US3 · Produção</t>
  </si>
  <si>
    <t>P26 US4 · Produção</t>
  </si>
  <si>
    <t>P27 US3 · Ritmo (MES)</t>
  </si>
  <si>
    <t>P27 US4 · Ritmo (MES)</t>
  </si>
  <si>
    <t>Consulta: Ritmo de processo  (tipo de cálculo "0")</t>
  </si>
  <si>
    <t>P28 US3 · Ritmo (processo)</t>
  </si>
  <si>
    <t>P28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</si>
  <si>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</si>
  <si>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</si>
  <si>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</si>
  <si>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</si>
  <si>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</si>
  <si>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</si>
  <si>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</si>
  <si>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</si>
  <si>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</si>
  <si>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</si>
  <si>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</si>
  <si>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</si>
  <si>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</si>
  <si>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</si>
  <si>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</si>
  <si>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</si>
  <si>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</si>
  <si>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</si>
  <si>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</si>
  <si>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</si>
  <si>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</si>
  <si>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</si>
  <si>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</si>
  <si>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</si>
  <si>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</si>
  <si>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</si>
  <si>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</si>
  <si>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</si>
  <si>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</si>
  <si>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</si>
  <si>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</si>
  <si>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</si>
  <si>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</si>
  <si>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</si>
  <si>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</si>
  <si>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</si>
  <si>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</si>
  <si>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</si>
  <si>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</si>
  <si>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</si>
  <si>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</si>
  <si>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</si>
  <si>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</si>
  <si>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</si>
  <si>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</si>
  <si>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</si>
  <si>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</si>
  <si>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</si>
  <si>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</si>
  <si>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</si>
  <si>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</si>
  <si>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</si>
  <si>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</si>
  <si>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</si>
  <si>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</si>
  <si>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</si>
  <si>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</si>
  <si>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</si>
  <si>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</si>
  <si>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</si>
  <si>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</si>
  <si>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</si>
  <si>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</si>
  <si>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</si>
  <si>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</si>
  <si>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</si>
  <si>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</t>
  </si>
  <si>
    <t>P01U4</t>
  </si>
  <si>
    <t>US4</t>
  </si>
  <si>
    <t>G2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</si>
  <si>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</si>
  <si>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</si>
  <si>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</si>
  <si>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</si>
  <si>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</si>
  <si>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</si>
  <si>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</si>
  <si>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</si>
  <si>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</si>
  <si>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</si>
  <si>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G3</t>
  </si>
  <si>
    <t>P07U3</t>
  </si>
  <si>
    <t>US3/4</t>
  </si>
  <si>
    <t>P08U3</t>
  </si>
  <si>
    <t>P09U3</t>
  </si>
  <si>
    <t>G4</t>
  </si>
  <si>
    <t>P10U3</t>
  </si>
  <si>
    <t>G5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</si>
  <si>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</si>
  <si>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</si>
  <si>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</si>
  <si>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</si>
  <si>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</si>
  <si>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</si>
  <si>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</si>
  <si>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</si>
  <si>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</si>
  <si>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</si>
  <si>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G6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</si>
  <si>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</si>
  <si>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</si>
  <si>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</si>
  <si>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</si>
  <si>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</si>
  <si>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</si>
  <si>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</si>
  <si>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</si>
  <si>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G7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</si>
  <si>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</si>
  <si>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</si>
  <si>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</si>
  <si>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</si>
  <si>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</si>
  <si>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</si>
  <si>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</si>
  <si>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</si>
  <si>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</si>
  <si>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</si>
  <si>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P25U3</t>
  </si>
  <si>
    <t>P25U4</t>
  </si>
  <si>
    <t>G8</t>
  </si>
  <si>
    <t>P26U3</t>
  </si>
  <si>
    <t>P26U4</t>
  </si>
  <si>
    <t>P27U3</t>
  </si>
  <si>
    <t>P27U4</t>
  </si>
  <si>
    <t>P28U3</t>
  </si>
  <si>
    <t>P28U4</t>
  </si>
  <si>
    <t>Verde: dentro do limite   |   Vermelho: fora do limite   |   Limites: SMIN-POP-GEA-001 rev. 12   |   Resultado: média (Produção = soma; Ritmo = último valor)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</si>
  <si>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</si>
  <si>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</si>
  <si>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</si>
  <si>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</si>
  <si>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</si>
  <si>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</si>
  <si>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</si>
  <si>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</si>
  <si>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</si>
  <si>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</si>
  <si>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</si>
  <si>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</si>
  <si>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</si>
  <si>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</si>
  <si>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</si>
  <si>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</si>
  <si>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</si>
  <si>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</si>
  <si>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</si>
  <si>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</si>
  <si>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</si>
  <si>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</si>
  <si>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</si>
  <si>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1,2,3,4,5,6,7,8,9,10,11,12,13,14,15,16,17,18,19,20,21,22,23,24,25</t>
  </si>
  <si>
    <t>A17</t>
  </si>
  <si>
    <t>A19</t>
  </si>
  <si>
    <t>26,27</t>
  </si>
  <si>
    <t>R</t>
  </si>
  <si>
    <t>Ritmo de processo</t>
  </si>
  <si>
    <t>0</t>
  </si>
  <si>
    <t>A27</t>
  </si>
  <si>
    <t>A29</t>
  </si>
  <si>
    <t>28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</si>
</sst>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"/>
    <numFmt numFmtId="166" formatCode="0.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30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8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30" fillId="5" borderId="1" xfId="0" applyFont="1" applyFill="1" applyBorder="1" applyAlignment="1" applyProtection="1">
      <alignment vertical="center"/>
      <protection locked="0"/>
    </xf>
    <xf numFmtId="0" fontId="32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4" fillId="4" borderId="1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6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258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259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260</v>
      </c>
      <c r="C6" s="5"/>
      <c r="D6" s="5"/>
      <c r="E6" s="6"/>
      <c r="F6" s="6"/>
      <c r="G6" s="7" t="s">
        <v>261</v>
      </c>
      <c r="H6" s="7"/>
      <c r="I6" s="7"/>
      <c r="J6" s="7"/>
      <c r="K6" s="7"/>
    </row>
    <row r="8" spans="2:13" ht="18" customHeight="1">
      <c r="B8" s="8" t="s">
        <v>286</v>
      </c>
      <c r="C8" s="9" t="s">
        <v>287</v>
      </c>
      <c r="E8" s="9" t="s">
        <v>263</v>
      </c>
      <c r="G8" s="9" t="s">
        <v>285</v>
      </c>
      <c r="I8" s="9" t="s">
        <v>288</v>
      </c>
    </row>
    <row r="10" spans="2:13" ht="26" customHeight="1">
      <c r="B10" s="10" t="s">
        <v>262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263</v>
      </c>
    </row>
    <row r="11" spans="2:13" ht="22" customHeight="1">
      <c r="B11" s="5" t="s">
        <v>264</v>
      </c>
      <c r="C11" s="5"/>
      <c r="D11" s="12"/>
      <c r="E11" s="5" t="s">
        <v>265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266</v>
      </c>
      <c r="C12" s="5"/>
      <c r="D12" s="14"/>
      <c r="E12" s="14"/>
      <c r="F12" s="14"/>
      <c r="G12" s="5" t="s">
        <v>267</v>
      </c>
      <c r="H12" s="5"/>
      <c r="I12" s="14"/>
      <c r="J12" s="14"/>
      <c r="K12" s="14"/>
    </row>
    <row r="14" spans="2:13" ht="20" customHeight="1">
      <c r="B14" s="15" t="s">
        <v>268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269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270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271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272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273</v>
      </c>
      <c r="C28" s="5"/>
      <c r="D28" s="20"/>
      <c r="E28" s="20"/>
      <c r="F28" s="5" t="s">
        <v>62</v>
      </c>
      <c r="G28" s="21"/>
      <c r="H28" s="5" t="s">
        <v>274</v>
      </c>
      <c r="I28" s="21"/>
      <c r="J28" s="5" t="s">
        <v>60</v>
      </c>
      <c r="K28" s="21"/>
    </row>
    <row r="29" spans="2:11" ht="20" customHeight="1">
      <c r="B29" s="5" t="s">
        <v>275</v>
      </c>
      <c r="C29" s="5"/>
      <c r="D29" s="21"/>
      <c r="E29" s="21"/>
      <c r="F29" s="5" t="s">
        <v>276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277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278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279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280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281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282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283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284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285</v>
      </c>
    </row>
    <row r="74" spans="2:13" ht="22" customHeight="1">
      <c r="B74" s="5" t="s">
        <v>264</v>
      </c>
      <c r="C74" s="5"/>
      <c r="D74" s="12"/>
      <c r="E74" s="5" t="s">
        <v>265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266</v>
      </c>
      <c r="C75" s="5"/>
      <c r="D75" s="14"/>
      <c r="E75" s="14"/>
      <c r="F75" s="14"/>
      <c r="G75" s="5" t="s">
        <v>267</v>
      </c>
      <c r="H75" s="5"/>
      <c r="I75" s="14"/>
      <c r="J75" s="14"/>
      <c r="K75" s="14"/>
    </row>
    <row r="77" spans="2:13" ht="20" customHeight="1">
      <c r="B77" s="15" t="s">
        <v>268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269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270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271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272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273</v>
      </c>
      <c r="C91" s="5"/>
      <c r="D91" s="20"/>
      <c r="E91" s="20"/>
      <c r="F91" s="5" t="s">
        <v>62</v>
      </c>
      <c r="G91" s="21"/>
      <c r="H91" s="5" t="s">
        <v>274</v>
      </c>
      <c r="I91" s="21"/>
      <c r="J91" s="5" t="s">
        <v>60</v>
      </c>
      <c r="K91" s="21"/>
    </row>
    <row r="92" spans="2:11" ht="20" customHeight="1">
      <c r="B92" s="5" t="s">
        <v>275</v>
      </c>
      <c r="C92" s="5"/>
      <c r="D92" s="21"/>
      <c r="E92" s="21"/>
      <c r="F92" s="5" t="s">
        <v>276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277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278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279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280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281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282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283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"Dia  07:00 – 19:00"</f>
        <v>0</v>
      </c>
      <c r="G6" s="22"/>
      <c r="H6" s="22"/>
      <c r="I6" s="16" t="s">
        <v>264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265</v>
      </c>
      <c r="C7" s="23">
        <f>IF(dTecnico="","—",dTecnico)</f>
        <v>0</v>
      </c>
      <c r="D7" s="23"/>
      <c r="E7" s="23"/>
      <c r="F7" s="23"/>
      <c r="G7" s="23"/>
      <c r="H7" s="16" t="s">
        <v>266</v>
      </c>
      <c r="I7" s="16"/>
      <c r="J7" s="22">
        <f>IF(dProdUS3="","—",dProdUS3)</f>
        <v>0</v>
      </c>
      <c r="K7" s="16" t="s">
        <v>267</v>
      </c>
      <c r="L7" s="16"/>
      <c r="M7" s="22">
        <f>IF(dProdUS4="","—",dProdUS4)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298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296</v>
      </c>
    </row>
    <row r="51" spans="1:13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298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298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298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298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296</v>
      </c>
    </row>
    <row r="57" spans="1:13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295</v>
      </c>
      <c r="B58" s="16" t="s">
        <v>307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296</v>
      </c>
    </row>
    <row r="60" spans="1:13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311</v>
      </c>
      <c r="C62" s="30" t="s">
        <v>312</v>
      </c>
      <c r="D62" s="30" t="s">
        <v>313</v>
      </c>
      <c r="E62" s="30" t="s">
        <v>314</v>
      </c>
      <c r="F62" s="30" t="s">
        <v>315</v>
      </c>
      <c r="G62" s="30" t="s">
        <v>316</v>
      </c>
      <c r="H62" s="30" t="s">
        <v>317</v>
      </c>
      <c r="I62" s="30" t="s">
        <v>318</v>
      </c>
      <c r="J62" s="30" t="s">
        <v>319</v>
      </c>
      <c r="K62" s="30" t="s">
        <v>22</v>
      </c>
      <c r="L62" s="30" t="s">
        <v>320</v>
      </c>
      <c r="M62" s="30" t="s">
        <v>321</v>
      </c>
    </row>
    <row r="63" spans="1:13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325</v>
      </c>
      <c r="B65" s="32"/>
      <c r="C65" s="33"/>
      <c r="D65" s="38" t="s">
        <v>326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327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328</v>
      </c>
      <c r="B67" s="39" t="s">
        <v>41</v>
      </c>
      <c r="C67" s="40" t="s">
        <v>42</v>
      </c>
      <c r="D67" s="41" t="s">
        <v>324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329</v>
      </c>
      <c r="B68" s="39"/>
      <c r="C68" s="40"/>
      <c r="D68" s="44" t="s">
        <v>326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330</v>
      </c>
      <c r="B69" s="32" t="s">
        <v>46</v>
      </c>
      <c r="C69" s="33" t="s">
        <v>42</v>
      </c>
      <c r="D69" s="34" t="s">
        <v>324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331</v>
      </c>
      <c r="B70" s="32"/>
      <c r="C70" s="33"/>
      <c r="D70" s="38" t="s">
        <v>326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332</v>
      </c>
      <c r="B71" s="39" t="s">
        <v>49</v>
      </c>
      <c r="C71" s="40" t="s">
        <v>50</v>
      </c>
      <c r="D71" s="41" t="s">
        <v>324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333</v>
      </c>
      <c r="B72" s="39"/>
      <c r="C72" s="40"/>
      <c r="D72" s="44" t="s">
        <v>326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334</v>
      </c>
      <c r="B73" s="32" t="s">
        <v>53</v>
      </c>
      <c r="C73" s="33" t="s">
        <v>50</v>
      </c>
      <c r="D73" s="34" t="s">
        <v>324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335</v>
      </c>
      <c r="B74" s="32"/>
      <c r="C74" s="33"/>
      <c r="D74" s="38" t="s">
        <v>326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336</v>
      </c>
      <c r="B75" s="39" t="s">
        <v>56</v>
      </c>
      <c r="C75" s="40" t="s">
        <v>50</v>
      </c>
      <c r="D75" s="41" t="s">
        <v>324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337</v>
      </c>
      <c r="B76" s="39"/>
      <c r="C76" s="40"/>
      <c r="D76" s="44" t="s">
        <v>326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338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339</v>
      </c>
      <c r="B78" s="32" t="s">
        <v>60</v>
      </c>
      <c r="C78" s="33" t="s">
        <v>50</v>
      </c>
      <c r="D78" s="34" t="s">
        <v>340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IFERROR(IF(INDEX('Limites'!$R:$R,MATCH(IF(dProdUS3="",dProdUS4,dProdUS3),'Limites'!$B:$B,0))="","",INDEX('Limites'!$R:$R,MATCH(IF(dProdUS3="",dProdUS4,dProdUS3),'Limites'!$B:$B,0))),"")</f>
        <v>0</v>
      </c>
      <c r="R78">
        <f>IFERROR(IF(INDEX('Limites'!$S:$S,MATCH(IF(dProdUS3="",dProdUS4,dProdUS3),'Limites'!$B:$B,0))="","",INDEX('Limites'!$S:$S,MATCH(IF(dProdUS3="",dProdUS4,dProdUS3),'Limites'!$B:$B,0))),"")</f>
        <v>0</v>
      </c>
    </row>
    <row r="79" spans="1:18" ht="17" customHeight="1">
      <c r="A79" s="24" t="s">
        <v>341</v>
      </c>
      <c r="B79" s="39" t="s">
        <v>62</v>
      </c>
      <c r="C79" s="40" t="s">
        <v>50</v>
      </c>
      <c r="D79" s="41" t="s">
        <v>340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IFERROR(IF(INDEX('Limites'!$P:$P,MATCH(IF(dProdUS3="",dProdUS4,dProdUS3),'Limites'!$B:$B,0))="","",INDEX('Limites'!$P:$P,MATCH(IF(dProdUS3="",dProdUS4,dProdUS3),'Limites'!$B:$B,0))),"")</f>
        <v>0</v>
      </c>
      <c r="R79">
        <f>IFERROR(IF(INDEX('Limites'!$Q:$Q,MATCH(IF(dProdUS3="",dProdUS4,dProdUS3),'Limites'!$B:$B,0))="","",INDEX('Limites'!$Q:$Q,MATCH(IF(dProdUS3="",dProdUS4,dProdUS3),'Limites'!$B:$B,0))),"")</f>
        <v>0</v>
      </c>
    </row>
    <row r="80" spans="1:18" ht="17" customHeight="1">
      <c r="A80" s="24" t="s">
        <v>342</v>
      </c>
      <c r="B80" s="32" t="s">
        <v>64</v>
      </c>
      <c r="C80" s="33" t="s">
        <v>50</v>
      </c>
      <c r="D80" s="34" t="s">
        <v>340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343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344</v>
      </c>
      <c r="B82" s="39" t="s">
        <v>67</v>
      </c>
      <c r="C82" s="40" t="s">
        <v>50</v>
      </c>
      <c r="D82" s="41" t="s">
        <v>340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8" ht="18" customHeight="1">
      <c r="A83" s="24" t="s">
        <v>345</v>
      </c>
      <c r="B83" s="31" t="s">
        <v>69</v>
      </c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</row>
    <row r="84" spans="1:18" ht="17" customHeight="1">
      <c r="A84" s="24" t="s">
        <v>346</v>
      </c>
      <c r="B84" s="32" t="s">
        <v>62</v>
      </c>
      <c r="C84" s="33" t="s">
        <v>50</v>
      </c>
      <c r="D84" s="34" t="s">
        <v>324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IFERROR(IF(INDEX('Limites'!$D:$D,MATCH(dProdUS3,'Limites'!$B:$B,0))="","",INDEX('Limites'!$D:$D,MATCH(dProdUS3,'Limites'!$B:$B,0))),"")</f>
        <v>0</v>
      </c>
      <c r="R84">
        <f>IFERROR(IF(INDEX('Limites'!$E:$E,MATCH(dProdUS3,'Limites'!$B:$B,0))="","",INDEX('Limites'!$E:$E,MATCH(dProdUS3,'Limites'!$B:$B,0))),"")</f>
        <v>0</v>
      </c>
    </row>
    <row r="85" spans="1:18" ht="17" customHeight="1">
      <c r="A85" s="24" t="s">
        <v>347</v>
      </c>
      <c r="B85" s="32"/>
      <c r="C85" s="33"/>
      <c r="D85" s="38" t="s">
        <v>326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IFERROR(IF(INDEX('Limites'!$D:$D,MATCH(dProdUS4,'Limites'!$B:$B,0))="","",INDEX('Limites'!$D:$D,MATCH(dProdUS4,'Limites'!$B:$B,0))),"")</f>
        <v>0</v>
      </c>
      <c r="R85">
        <f>IFERROR(IF(INDEX('Limites'!$E:$E,MATCH(dProdUS4,'Limites'!$B:$B,0))="","",INDEX('Limites'!$E:$E,MATCH(dProdUS4,'Limites'!$B:$B,0))),"")</f>
        <v>0</v>
      </c>
    </row>
    <row r="86" spans="1:18" ht="17" customHeight="1">
      <c r="A86" s="24" t="s">
        <v>348</v>
      </c>
      <c r="B86" s="39" t="s">
        <v>64</v>
      </c>
      <c r="C86" s="40" t="s">
        <v>50</v>
      </c>
      <c r="D86" s="41" t="s">
        <v>324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IFERROR(IF(INDEX('Limites'!$F:$F,MATCH(dProdUS3,'Limites'!$B:$B,0))="","",INDEX('Limites'!$F:$F,MATCH(dProdUS3,'Limites'!$B:$B,0))),"")</f>
        <v>0</v>
      </c>
      <c r="R86">
        <f>IFERROR(IF(INDEX('Limites'!$G:$G,MATCH(dProdUS3,'Limites'!$B:$B,0))="","",INDEX('Limites'!$G:$G,MATCH(dProdUS3,'Limites'!$B:$B,0))),"")</f>
        <v>0</v>
      </c>
    </row>
    <row r="87" spans="1:18" ht="17" customHeight="1">
      <c r="A87" s="24" t="s">
        <v>349</v>
      </c>
      <c r="B87" s="39"/>
      <c r="C87" s="40"/>
      <c r="D87" s="44" t="s">
        <v>326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IFERROR(IF(INDEX('Limites'!$F:$F,MATCH(dProdUS4,'Limites'!$B:$B,0))="","",INDEX('Limites'!$F:$F,MATCH(dProdUS4,'Limites'!$B:$B,0))),"")</f>
        <v>0</v>
      </c>
      <c r="R87">
        <f>IFERROR(IF(INDEX('Limites'!$G:$G,MATCH(dProdUS4,'Limites'!$B:$B,0))="","",INDEX('Limites'!$G:$G,MATCH(dProdUS4,'Limites'!$B:$B,0))),"")</f>
        <v>0</v>
      </c>
    </row>
    <row r="88" spans="1:18" ht="17" customHeight="1">
      <c r="A88" s="24" t="s">
        <v>350</v>
      </c>
      <c r="B88" s="32" t="s">
        <v>74</v>
      </c>
      <c r="C88" s="33" t="s">
        <v>75</v>
      </c>
      <c r="D88" s="34" t="s">
        <v>324</v>
      </c>
      <c r="E88" s="48"/>
      <c r="F88" s="48"/>
      <c r="G88" s="48"/>
      <c r="H88" s="48"/>
      <c r="I88" s="48"/>
      <c r="J88" s="48"/>
      <c r="K88" s="49">
        <f>IF(COUNT(E88:J88)=0,"",AVERAGE(E88:J88))</f>
        <v>0</v>
      </c>
      <c r="L88" s="50">
        <f>IF(COUNT(E88:J88)=0,"",MIN(E88:J88))</f>
        <v>0</v>
      </c>
      <c r="M88" s="50">
        <f>IF(COUNT(E88:J88)=0,"",MAX(E88:J88))</f>
        <v>0</v>
      </c>
      <c r="Q88">
        <f>IFERROR(IF(INDEX('Limites'!$H:$H,MATCH(dProdUS3,'Limites'!$B:$B,0))="","",INDEX('Limites'!$H:$H,MATCH(dProdUS3,'Limites'!$B:$B,0))),"")</f>
        <v>0</v>
      </c>
      <c r="R88">
        <f>IFERROR(IF(INDEX('Limites'!$I:$I,MATCH(dProdUS3,'Limites'!$B:$B,0))="","",INDEX('Limites'!$I:$I,MATCH(dProdUS3,'Limites'!$B:$B,0))),"")</f>
        <v>0</v>
      </c>
    </row>
    <row r="89" spans="1:18" ht="17" customHeight="1">
      <c r="A89" s="24" t="s">
        <v>351</v>
      </c>
      <c r="B89" s="32"/>
      <c r="C89" s="33"/>
      <c r="D89" s="38" t="s">
        <v>326</v>
      </c>
      <c r="E89" s="48"/>
      <c r="F89" s="48"/>
      <c r="G89" s="48"/>
      <c r="H89" s="48"/>
      <c r="I89" s="48"/>
      <c r="J89" s="48"/>
      <c r="K89" s="49">
        <f>IF(COUNT(E89:J89)=0,"",AVERAGE(E89:J89))</f>
        <v>0</v>
      </c>
      <c r="L89" s="50">
        <f>IF(COUNT(E89:J89)=0,"",MIN(E89:J89))</f>
        <v>0</v>
      </c>
      <c r="M89" s="50">
        <f>IF(COUNT(E89:J89)=0,"",MAX(E89:J89))</f>
        <v>0</v>
      </c>
      <c r="Q89">
        <f>IFERROR(IF(INDEX('Limites'!$H:$H,MATCH(dProdUS4,'Limites'!$B:$B,0))="","",INDEX('Limites'!$H:$H,MATCH(dProdUS4,'Limites'!$B:$B,0))),"")</f>
        <v>0</v>
      </c>
      <c r="R89">
        <f>IFERROR(IF(INDEX('Limites'!$I:$I,MATCH(dProdUS4,'Limites'!$B:$B,0))="","",INDEX('Limites'!$I:$I,MATCH(dProdUS4,'Limites'!$B:$B,0))),"")</f>
        <v>0</v>
      </c>
    </row>
    <row r="90" spans="1:18" ht="17" customHeight="1">
      <c r="A90" s="24" t="s">
        <v>352</v>
      </c>
      <c r="B90" s="39" t="s">
        <v>78</v>
      </c>
      <c r="C90" s="40" t="s">
        <v>79</v>
      </c>
      <c r="D90" s="41" t="s">
        <v>324</v>
      </c>
      <c r="E90" s="45"/>
      <c r="F90" s="45"/>
      <c r="G90" s="45"/>
      <c r="H90" s="45"/>
      <c r="I90" s="45"/>
      <c r="J90" s="45"/>
      <c r="K90" s="4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4" t="s">
        <v>353</v>
      </c>
      <c r="B91" s="39"/>
      <c r="C91" s="40"/>
      <c r="D91" s="44" t="s">
        <v>326</v>
      </c>
      <c r="E91" s="45"/>
      <c r="F91" s="45"/>
      <c r="G91" s="45"/>
      <c r="H91" s="45"/>
      <c r="I91" s="45"/>
      <c r="J91" s="45"/>
      <c r="K91" s="4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4" t="s">
        <v>354</v>
      </c>
      <c r="B92" s="32" t="s">
        <v>82</v>
      </c>
      <c r="C92" s="33" t="s">
        <v>50</v>
      </c>
      <c r="D92" s="34" t="s">
        <v>324</v>
      </c>
      <c r="E92" s="48"/>
      <c r="F92" s="48"/>
      <c r="G92" s="48"/>
      <c r="H92" s="48"/>
      <c r="I92" s="48"/>
      <c r="J92" s="48"/>
      <c r="K92" s="49">
        <f>IF(COUNT(E92:J92)=0,"",AVERAGE(E92:J92))</f>
        <v>0</v>
      </c>
      <c r="L92" s="50">
        <f>IF(COUNT(E92:J92)=0,"",MIN(E92:J92))</f>
        <v>0</v>
      </c>
      <c r="M92" s="50">
        <f>IF(COUNT(E92:J92)=0,"",MAX(E92:J92))</f>
        <v>0</v>
      </c>
    </row>
    <row r="93" spans="1:18" ht="17" customHeight="1">
      <c r="A93" s="24" t="s">
        <v>355</v>
      </c>
      <c r="B93" s="32"/>
      <c r="C93" s="33"/>
      <c r="D93" s="38" t="s">
        <v>326</v>
      </c>
      <c r="E93" s="48"/>
      <c r="F93" s="48"/>
      <c r="G93" s="48"/>
      <c r="H93" s="48"/>
      <c r="I93" s="48"/>
      <c r="J93" s="48"/>
      <c r="K93" s="49">
        <f>IF(COUNT(E93:J93)=0,"",AVERAGE(E93:J93))</f>
        <v>0</v>
      </c>
      <c r="L93" s="50">
        <f>IF(COUNT(E93:J93)=0,"",MIN(E93:J93))</f>
        <v>0</v>
      </c>
      <c r="M93" s="50">
        <f>IF(COUNT(E93:J93)=0,"",MAX(E93:J93))</f>
        <v>0</v>
      </c>
    </row>
    <row r="94" spans="1:18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8" ht="17" customHeight="1">
      <c r="A95" s="24" t="s">
        <v>357</v>
      </c>
      <c r="B95" s="39" t="s">
        <v>67</v>
      </c>
      <c r="C95" s="40" t="s">
        <v>50</v>
      </c>
      <c r="D95" s="41" t="s">
        <v>324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</row>
    <row r="96" spans="1:18" ht="17" customHeight="1">
      <c r="A96" s="24" t="s">
        <v>358</v>
      </c>
      <c r="B96" s="39"/>
      <c r="C96" s="40"/>
      <c r="D96" s="44" t="s">
        <v>326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324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38" t="s">
        <v>326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361</v>
      </c>
      <c r="B99" s="39" t="s">
        <v>92</v>
      </c>
      <c r="C99" s="40" t="s">
        <v>93</v>
      </c>
      <c r="D99" s="41" t="s">
        <v>324</v>
      </c>
      <c r="E99" s="51"/>
      <c r="F99" s="51"/>
      <c r="G99" s="51"/>
      <c r="H99" s="51"/>
      <c r="I99" s="51"/>
      <c r="J99" s="51"/>
      <c r="K99" s="49">
        <f>IF(COUNT(E99:J99)=0,"",AVERAGE(E99:J99))</f>
        <v>0</v>
      </c>
      <c r="L99" s="52">
        <f>IF(COUNT(E99:J99)=0,"",MIN(E99:J99))</f>
        <v>0</v>
      </c>
      <c r="M99" s="52">
        <f>IF(COUNT(E99:J99)=0,"",MAX(E99:J99))</f>
        <v>0</v>
      </c>
    </row>
    <row r="100" spans="1:18" ht="17" customHeight="1">
      <c r="A100" s="24" t="s">
        <v>362</v>
      </c>
      <c r="B100" s="39"/>
      <c r="C100" s="40"/>
      <c r="D100" s="44" t="s">
        <v>326</v>
      </c>
      <c r="E100" s="51"/>
      <c r="F100" s="51"/>
      <c r="G100" s="51"/>
      <c r="H100" s="51"/>
      <c r="I100" s="51"/>
      <c r="J100" s="51"/>
      <c r="K100" s="49">
        <f>IF(COUNT(E100:J100)=0,"",AVERAGE(E100:J100))</f>
        <v>0</v>
      </c>
      <c r="L100" s="52">
        <f>IF(COUNT(E100:J100)=0,"",MIN(E100:J100))</f>
        <v>0</v>
      </c>
      <c r="M100" s="52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324</v>
      </c>
      <c r="E101" s="48"/>
      <c r="F101" s="48"/>
      <c r="G101" s="48"/>
      <c r="H101" s="48"/>
      <c r="I101" s="48"/>
      <c r="J101" s="48"/>
      <c r="K101" s="49">
        <f>IF(COUNT(E101:J101)=0,"",AVERAGE(E101:J101))</f>
        <v>0</v>
      </c>
      <c r="L101" s="50">
        <f>IF(COUNT(E101:J101)=0,"",MIN(E101:J101))</f>
        <v>0</v>
      </c>
      <c r="M101" s="50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38" t="s">
        <v>326</v>
      </c>
      <c r="E102" s="48"/>
      <c r="F102" s="48"/>
      <c r="G102" s="48"/>
      <c r="H102" s="48"/>
      <c r="I102" s="48"/>
      <c r="J102" s="48"/>
      <c r="K102" s="49">
        <f>IF(COUNT(E102:J102)=0,"",AVERAGE(E102:J102))</f>
        <v>0</v>
      </c>
      <c r="L102" s="50">
        <f>IF(COUNT(E102:J102)=0,"",MIN(E102:J102))</f>
        <v>0</v>
      </c>
      <c r="M102" s="50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9" t="s">
        <v>100</v>
      </c>
      <c r="C104" s="40" t="s">
        <v>50</v>
      </c>
      <c r="D104" s="41" t="s">
        <v>324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</row>
    <row r="105" spans="1:18" ht="17" customHeight="1">
      <c r="A105" s="24" t="s">
        <v>367</v>
      </c>
      <c r="B105" s="39"/>
      <c r="C105" s="40"/>
      <c r="D105" s="44" t="s">
        <v>326</v>
      </c>
      <c r="E105" s="45"/>
      <c r="F105" s="45"/>
      <c r="G105" s="45"/>
      <c r="H105" s="45"/>
      <c r="I105" s="45"/>
      <c r="J105" s="45"/>
      <c r="K105" s="46">
        <f>IF(COUNT(E105:J105)=0,"",AVERAGE(E105:J105))</f>
        <v>0</v>
      </c>
      <c r="L105" s="47">
        <f>IF(COUNT(E105:J105)=0,"",MIN(E105:J105))</f>
        <v>0</v>
      </c>
      <c r="M105" s="47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75</v>
      </c>
      <c r="D106" s="34" t="s">
        <v>324</v>
      </c>
      <c r="E106" s="48"/>
      <c r="F106" s="48"/>
      <c r="G106" s="48"/>
      <c r="H106" s="48"/>
      <c r="I106" s="48"/>
      <c r="J106" s="48"/>
      <c r="K106" s="49">
        <f>IF(COUNT(E106:J106)=0,"",AVERAGE(E106:J106))</f>
        <v>0</v>
      </c>
      <c r="L106" s="50">
        <f>IF(COUNT(E106:J106)=0,"",MIN(E106:J106))</f>
        <v>0</v>
      </c>
      <c r="M106" s="50">
        <f>IF(COUNT(E106:J106)=0,"",MAX(E106:J106))</f>
        <v>0</v>
      </c>
      <c r="Q106">
        <f>IFERROR(IF(INDEX('Limites'!$N:$N,MATCH(dProdUS3,'Limites'!$B:$B,0))="","",INDEX('Limites'!$N:$N,MATCH(dProdUS3,'Limites'!$B:$B,0))),"")</f>
        <v>0</v>
      </c>
      <c r="R106">
        <f>IFERROR(IF(INDEX('Limites'!$O:$O,MATCH(dProdUS3,'Limites'!$B:$B,0))="","",INDEX('Limites'!$O:$O,MATCH(dProdUS3,'Limites'!$B:$B,0))),"")</f>
        <v>0</v>
      </c>
    </row>
    <row r="107" spans="1:18" ht="17" customHeight="1">
      <c r="A107" s="24" t="s">
        <v>369</v>
      </c>
      <c r="B107" s="32"/>
      <c r="C107" s="33"/>
      <c r="D107" s="38" t="s">
        <v>326</v>
      </c>
      <c r="E107" s="48"/>
      <c r="F107" s="48"/>
      <c r="G107" s="48"/>
      <c r="H107" s="48"/>
      <c r="I107" s="48"/>
      <c r="J107" s="48"/>
      <c r="K107" s="49">
        <f>IF(COUNT(E107:J107)=0,"",AVERAGE(E107:J107))</f>
        <v>0</v>
      </c>
      <c r="L107" s="50">
        <f>IF(COUNT(E107:J107)=0,"",MIN(E107:J107))</f>
        <v>0</v>
      </c>
      <c r="M107" s="50">
        <f>IF(COUNT(E107:J107)=0,"",MAX(E107:J107))</f>
        <v>0</v>
      </c>
      <c r="Q107">
        <f>IFERROR(IF(INDEX('Limites'!$N:$N,MATCH(dProdUS4,'Limites'!$B:$B,0))="","",INDEX('Limites'!$N:$N,MATCH(dProdUS4,'Limites'!$B:$B,0))),"")</f>
        <v>0</v>
      </c>
      <c r="R107">
        <f>IFERROR(IF(INDEX('Limites'!$O:$O,MATCH(dProdUS4,'Limites'!$B:$B,0))="","",INDEX('Limites'!$O:$O,MATCH(dProdUS4,'Limites'!$B:$B,0))),"")</f>
        <v>0</v>
      </c>
    </row>
    <row r="108" spans="1:18" ht="17" customHeight="1">
      <c r="A108" s="24" t="s">
        <v>370</v>
      </c>
      <c r="B108" s="39" t="s">
        <v>106</v>
      </c>
      <c r="C108" s="40" t="s">
        <v>50</v>
      </c>
      <c r="D108" s="41" t="s">
        <v>324</v>
      </c>
      <c r="E108" s="45"/>
      <c r="F108" s="45"/>
      <c r="G108" s="45"/>
      <c r="H108" s="45"/>
      <c r="I108" s="45"/>
      <c r="J108" s="45"/>
      <c r="K108" s="46">
        <f>IF(COUNT(E108:J108)=0,"",AVERAGE(E108:J108))</f>
        <v>0</v>
      </c>
      <c r="L108" s="47">
        <f>IF(COUNT(E108:J108)=0,"",MIN(E108:J108))</f>
        <v>0</v>
      </c>
      <c r="M108" s="47">
        <f>IF(COUNT(E108:J108)=0,"",MAX(E108:J108))</f>
        <v>0</v>
      </c>
      <c r="Q108">
        <f>IFERROR(IF(INDEX('Limites'!$J:$J,MATCH(dProdUS3,'Limites'!$B:$B,0))="","",INDEX('Limites'!$J:$J,MATCH(dProdUS3,'Limites'!$B:$B,0))),"")</f>
        <v>0</v>
      </c>
      <c r="R108">
        <f>IFERROR(IF(INDEX('Limites'!$K:$K,MATCH(dProdUS3,'Limites'!$B:$B,0))="","",INDEX('Limites'!$K:$K,MATCH(dProdUS3,'Limites'!$B:$B,0))),"")</f>
        <v>0</v>
      </c>
    </row>
    <row r="109" spans="1:18" ht="17" customHeight="1">
      <c r="A109" s="24" t="s">
        <v>371</v>
      </c>
      <c r="B109" s="39"/>
      <c r="C109" s="40"/>
      <c r="D109" s="44" t="s">
        <v>326</v>
      </c>
      <c r="E109" s="45"/>
      <c r="F109" s="45"/>
      <c r="G109" s="45"/>
      <c r="H109" s="45"/>
      <c r="I109" s="45"/>
      <c r="J109" s="45"/>
      <c r="K109" s="46">
        <f>IF(COUNT(E109:J109)=0,"",AVERAGE(E109:J109))</f>
        <v>0</v>
      </c>
      <c r="L109" s="47">
        <f>IF(COUNT(E109:J109)=0,"",MIN(E109:J109))</f>
        <v>0</v>
      </c>
      <c r="M109" s="47">
        <f>IF(COUNT(E109:J109)=0,"",MAX(E109:J109))</f>
        <v>0</v>
      </c>
      <c r="Q109">
        <f>IFERROR(IF(INDEX('Limites'!$J:$J,MATCH(dProdUS4,'Limites'!$B:$B,0))="","",INDEX('Limites'!$J:$J,MATCH(dProdUS4,'Limites'!$B:$B,0))),"")</f>
        <v>0</v>
      </c>
      <c r="R109">
        <f>IFERROR(IF(INDEX('Limites'!$K:$K,MATCH(dProdUS4,'Limites'!$B:$B,0))="","",INDEX('Limites'!$K:$K,MATCH(dProdUS4,'Limites'!$B:$B,0))),"")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324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38" t="s">
        <v>326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374</v>
      </c>
      <c r="B112" s="39" t="s">
        <v>112</v>
      </c>
      <c r="C112" s="40" t="s">
        <v>50</v>
      </c>
      <c r="D112" s="41" t="s">
        <v>324</v>
      </c>
      <c r="E112" s="42"/>
      <c r="F112" s="42"/>
      <c r="G112" s="42"/>
      <c r="H112" s="42"/>
      <c r="I112" s="42"/>
      <c r="J112" s="42"/>
      <c r="K112" s="36">
        <f>IF(COUNT(E112:J112)=0,"",AVERAGE(E112:J112))</f>
        <v>0</v>
      </c>
      <c r="L112" s="43">
        <f>IF(COUNT(E112:J112)=0,"",MIN(E112:J112))</f>
        <v>0</v>
      </c>
      <c r="M112" s="43">
        <f>IF(COUNT(E112:J112)=0,"",MAX(E112:J112))</f>
        <v>0</v>
      </c>
    </row>
    <row r="113" spans="1:18" ht="17" customHeight="1">
      <c r="A113" s="24" t="s">
        <v>375</v>
      </c>
      <c r="B113" s="39"/>
      <c r="C113" s="40"/>
      <c r="D113" s="44" t="s">
        <v>326</v>
      </c>
      <c r="E113" s="42"/>
      <c r="F113" s="42"/>
      <c r="G113" s="42"/>
      <c r="H113" s="42"/>
      <c r="I113" s="42"/>
      <c r="J113" s="42"/>
      <c r="K113" s="36">
        <f>IF(COUNT(E113:J113)=0,"",AVERAGE(E113:J113))</f>
        <v>0</v>
      </c>
      <c r="L113" s="43">
        <f>IF(COUNT(E113:J113)=0,"",MIN(E113:J113))</f>
        <v>0</v>
      </c>
      <c r="M113" s="43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50</v>
      </c>
      <c r="D114" s="34" t="s">
        <v>324</v>
      </c>
      <c r="E114" s="53"/>
      <c r="F114" s="53"/>
      <c r="G114" s="53"/>
      <c r="H114" s="53"/>
      <c r="I114" s="53"/>
      <c r="J114" s="53"/>
      <c r="K114" s="46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IFERROR(IF(INDEX('Limites'!$L:$L,MATCH(dProdUS3,'Limites'!$B:$B,0))="","",INDEX('Limites'!$L:$L,MATCH(dProdUS3,'Limites'!$B:$B,0))),"")</f>
        <v>0</v>
      </c>
      <c r="R114">
        <f>IFERROR(IF(INDEX('Limites'!$M:$M,MATCH(dProdUS3,'Limites'!$B:$B,0))="","",INDEX('Limites'!$M:$M,MATCH(dProdUS3,'Limites'!$B:$B,0))),"")</f>
        <v>0</v>
      </c>
    </row>
    <row r="115" spans="1:18" ht="17" customHeight="1">
      <c r="A115" s="24" t="s">
        <v>377</v>
      </c>
      <c r="B115" s="32"/>
      <c r="C115" s="33"/>
      <c r="D115" s="38" t="s">
        <v>326</v>
      </c>
      <c r="E115" s="53"/>
      <c r="F115" s="53"/>
      <c r="G115" s="53"/>
      <c r="H115" s="53"/>
      <c r="I115" s="53"/>
      <c r="J115" s="53"/>
      <c r="K115" s="46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IFERROR(IF(INDEX('Limites'!$L:$L,MATCH(dProdUS4,'Limites'!$B:$B,0))="","",INDEX('Limites'!$L:$L,MATCH(dProdUS4,'Limites'!$B:$B,0))),"")</f>
        <v>0</v>
      </c>
      <c r="R115">
        <f>IFERROR(IF(INDEX('Limites'!$M:$M,MATCH(dProdUS4,'Limites'!$B:$B,0))="","",INDEX('Limites'!$M:$M,MATCH(dProdUS4,'Limites'!$B:$B,0))),"")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9" t="s">
        <v>118</v>
      </c>
      <c r="C117" s="40" t="s">
        <v>119</v>
      </c>
      <c r="D117" s="41" t="s">
        <v>324</v>
      </c>
      <c r="E117" s="42"/>
      <c r="F117" s="42"/>
      <c r="G117" s="42"/>
      <c r="H117" s="42"/>
      <c r="I117" s="42"/>
      <c r="J117" s="42"/>
      <c r="K117" s="36">
        <f>IF(COUNT(E117:J117)=0,"",SUM(E117:J117))</f>
        <v>0</v>
      </c>
      <c r="L117" s="43">
        <f>IF(COUNT(E117:J117)=0,"",MIN(E117:J117))</f>
        <v>0</v>
      </c>
      <c r="M117" s="43">
        <f>IF(COUNT(E117:J117)=0,"",MAX(E117:J117))</f>
        <v>0</v>
      </c>
    </row>
    <row r="118" spans="1:18" ht="17" customHeight="1">
      <c r="A118" s="24" t="s">
        <v>380</v>
      </c>
      <c r="B118" s="39"/>
      <c r="C118" s="40"/>
      <c r="D118" s="44" t="s">
        <v>326</v>
      </c>
      <c r="E118" s="42"/>
      <c r="F118" s="42"/>
      <c r="G118" s="42"/>
      <c r="H118" s="42"/>
      <c r="I118" s="42"/>
      <c r="J118" s="42"/>
      <c r="K118" s="36">
        <f>IF(COUNT(E118:J118)=0,"",SUM(E118:J118))</f>
        <v>0</v>
      </c>
      <c r="L118" s="43">
        <f>IF(COUNT(E118:J118)=0,"",MIN(E118:J118))</f>
        <v>0</v>
      </c>
      <c r="M118" s="43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324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38" t="s">
        <v>326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383</v>
      </c>
      <c r="B121" s="39" t="s">
        <v>128</v>
      </c>
      <c r="C121" s="40" t="s">
        <v>124</v>
      </c>
      <c r="D121" s="41" t="s">
        <v>324</v>
      </c>
      <c r="E121" s="42"/>
      <c r="F121" s="42"/>
      <c r="G121" s="42"/>
      <c r="H121" s="42"/>
      <c r="I121" s="42"/>
      <c r="J121" s="42"/>
      <c r="K121" s="36">
        <f>IF(COUNT(E121:J121)=0,"",LOOKUP(2,1/ISNUMBER(E121:J121),E121:J121))</f>
        <v>0</v>
      </c>
      <c r="L121" s="43">
        <f>IF(COUNT(E121:J121)=0,"",MIN(E121:J121))</f>
        <v>0</v>
      </c>
      <c r="M121" s="43">
        <f>IF(COUNT(E121:J121)=0,"",MAX(E121:J121))</f>
        <v>0</v>
      </c>
    </row>
    <row r="122" spans="1:18" ht="17" customHeight="1">
      <c r="A122" s="24" t="s">
        <v>384</v>
      </c>
      <c r="B122" s="39"/>
      <c r="C122" s="40"/>
      <c r="D122" s="44" t="s">
        <v>326</v>
      </c>
      <c r="E122" s="42"/>
      <c r="F122" s="42"/>
      <c r="G122" s="42"/>
      <c r="H122" s="42"/>
      <c r="I122" s="42"/>
      <c r="J122" s="42"/>
      <c r="K122" s="36">
        <f>IF(COUNT(E122:J122)=0,"",LOOKUP(2,1/ISNUMBER(E122:J122),E122:J122))</f>
        <v>0</v>
      </c>
      <c r="L122" s="43">
        <f>IF(COUNT(E122:J122)=0,"",MIN(E122:J122))</f>
        <v>0</v>
      </c>
      <c r="M122" s="43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3:M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17">
      <formula>AND(ISNUMBER(E106),OR(AND(ISNUMBER($Q106),ROUND(E106,2)&lt;$Q106),AND(ISNUMBER($R106),ROUND(E106,2)&gt;$R106)))</formula>
    </cfRule>
    <cfRule type="expression" dxfId="2" priority="18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19">
      <formula>AND(ISNUMBER(E107),OR(AND(ISNUMBER($Q107),ROUND(E107,2)&lt;$Q107),AND(ISNUMBER($R107),ROUND(E107,2)&gt;$R107)))</formula>
    </cfRule>
    <cfRule type="expression" dxfId="2" priority="20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1">
      <formula>AND(ISNUMBER(E108),OR(AND(ISNUMBER($Q108),ROUND(E108,1)&lt;$Q108),AND(ISNUMBER($R108),ROUND(E108,1)&gt;$R108)))</formula>
    </cfRule>
    <cfRule type="expression" dxfId="2" priority="22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3">
      <formula>AND(ISNUMBER(E109),OR(AND(ISNUMBER($Q109),ROUND(E109,1)&lt;$Q109),AND(ISNUMBER($R109),ROUND(E109,1)&gt;$R109)))</formula>
    </cfRule>
    <cfRule type="expression" dxfId="2" priority="24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5">
      <formula>AND(ISNUMBER(E114),OR(AND(ISNUMBER($Q114),ROUND(E114,1)&lt;$Q114),AND(ISNUMBER($R114),ROUND(E114,1)&gt;$R114)))</formula>
    </cfRule>
    <cfRule type="expression" dxfId="2" priority="26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27">
      <formula>AND(ISNUMBER(E115),OR(AND(ISNUMBER($Q115),ROUND(E115,1)&lt;$Q115),AND(ISNUMBER($R115),ROUND(E115,1)&gt;$R115)))</formula>
    </cfRule>
    <cfRule type="expression" dxfId="2" priority="28">
      <formula>AND(ISNUMBER(E115),OR(ISNUMBER($Q115),ISNUMBER($R115)),NOT(OR(AND(ISNUMBER($Q115),ROUND(E115,1)&lt;$Q115),AND(ISNUMBER($R115),ROUND(E115,1)&gt;$R115))))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4:K84">
    <cfRule type="expression" dxfId="1" priority="5">
      <formula>AND(ISNUMBER(E84),OR(AND(ISNUMBER($Q84),ROUND(E84,2)&lt;$Q84),AND(ISNUMBER($R84),ROUND(E84,2)&gt;$R84)))</formula>
    </cfRule>
    <cfRule type="expression" dxfId="2" priority="6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7">
      <formula>AND(ISNUMBER(E85),OR(AND(ISNUMBER($Q85),ROUND(E85,2)&lt;$Q85),AND(ISNUMBER($R85),ROUND(E85,2)&gt;$R85)))</formula>
    </cfRule>
    <cfRule type="expression" dxfId="2" priority="8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9">
      <formula>AND(ISNUMBER(E86),OR(AND(ISNUMBER($Q86),ROUND(E86,2)&lt;$Q86),AND(ISNUMBER($R86),ROUND(E86,2)&gt;$R86)))</formula>
    </cfRule>
    <cfRule type="expression" dxfId="2" priority="10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1">
      <formula>AND(ISNUMBER(E87),OR(AND(ISNUMBER($Q87),ROUND(E87,2)&lt;$Q87),AND(ISNUMBER($R87),ROUND(E87,2)&gt;$R87)))</formula>
    </cfRule>
    <cfRule type="expression" dxfId="2" priority="12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13">
      <formula>AND(ISNUMBER(E88),OR(AND(ISNUMBER($Q88),ROUND(E88,2)&lt;$Q88),AND(ISNUMBER($R88),ROUND(E88,2)&gt;$R88)))</formula>
    </cfRule>
    <cfRule type="expression" dxfId="2" priority="14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15">
      <formula>AND(ISNUMBER(E89),OR(AND(ISNUMBER($Q89),ROUND(E89,2)&lt;$Q89),AND(ISNUMBER($R89),ROUND(E89,2)&gt;$R89)))</formula>
    </cfRule>
    <cfRule type="expression" dxfId="2" priority="16">
      <formula>AND(ISNUMBER(E89),OR(ISNUMBER($Q89),ISNUMBER($R89)),NOT(OR(AND(ISNUMBER($Q89),ROUND(E89,2)&lt;$Q89),AND(ISNUMBER($R89),ROUND(E89,2)&gt;$R89))))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"Noite  19:00 – 07:00"</f>
        <v>0</v>
      </c>
      <c r="G6" s="22"/>
      <c r="H6" s="22"/>
      <c r="I6" s="16" t="s">
        <v>264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265</v>
      </c>
      <c r="C7" s="23">
        <f>IF(nTecnico="","—",nTecnico)</f>
        <v>0</v>
      </c>
      <c r="D7" s="23"/>
      <c r="E7" s="23"/>
      <c r="F7" s="23"/>
      <c r="G7" s="23"/>
      <c r="H7" s="16" t="s">
        <v>266</v>
      </c>
      <c r="I7" s="16"/>
      <c r="J7" s="22">
        <f>IF(nProdUS3="","—",nProdUS3)</f>
        <v>0</v>
      </c>
      <c r="K7" s="16" t="s">
        <v>267</v>
      </c>
      <c r="L7" s="16"/>
      <c r="M7" s="22">
        <f>IF(nProdUS4="","—",nProdUS4)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298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296</v>
      </c>
    </row>
    <row r="51" spans="1:13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298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298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298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298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296</v>
      </c>
    </row>
    <row r="57" spans="1:13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295</v>
      </c>
      <c r="B58" s="16" t="s">
        <v>307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296</v>
      </c>
    </row>
    <row r="60" spans="1:13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311</v>
      </c>
      <c r="C62" s="30" t="s">
        <v>312</v>
      </c>
      <c r="D62" s="30" t="s">
        <v>313</v>
      </c>
      <c r="E62" s="30" t="s">
        <v>387</v>
      </c>
      <c r="F62" s="30" t="s">
        <v>388</v>
      </c>
      <c r="G62" s="30" t="s">
        <v>389</v>
      </c>
      <c r="H62" s="30" t="s">
        <v>390</v>
      </c>
      <c r="I62" s="30" t="s">
        <v>391</v>
      </c>
      <c r="J62" s="30" t="s">
        <v>392</v>
      </c>
      <c r="K62" s="30" t="s">
        <v>22</v>
      </c>
      <c r="L62" s="30" t="s">
        <v>320</v>
      </c>
      <c r="M62" s="30" t="s">
        <v>321</v>
      </c>
    </row>
    <row r="63" spans="1:13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325</v>
      </c>
      <c r="B65" s="32"/>
      <c r="C65" s="33"/>
      <c r="D65" s="38" t="s">
        <v>326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327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328</v>
      </c>
      <c r="B67" s="39" t="s">
        <v>41</v>
      </c>
      <c r="C67" s="40" t="s">
        <v>42</v>
      </c>
      <c r="D67" s="41" t="s">
        <v>324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329</v>
      </c>
      <c r="B68" s="39"/>
      <c r="C68" s="40"/>
      <c r="D68" s="44" t="s">
        <v>326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330</v>
      </c>
      <c r="B69" s="32" t="s">
        <v>46</v>
      </c>
      <c r="C69" s="33" t="s">
        <v>42</v>
      </c>
      <c r="D69" s="34" t="s">
        <v>324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331</v>
      </c>
      <c r="B70" s="32"/>
      <c r="C70" s="33"/>
      <c r="D70" s="38" t="s">
        <v>326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332</v>
      </c>
      <c r="B71" s="39" t="s">
        <v>49</v>
      </c>
      <c r="C71" s="40" t="s">
        <v>50</v>
      </c>
      <c r="D71" s="41" t="s">
        <v>324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333</v>
      </c>
      <c r="B72" s="39"/>
      <c r="C72" s="40"/>
      <c r="D72" s="44" t="s">
        <v>326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334</v>
      </c>
      <c r="B73" s="32" t="s">
        <v>53</v>
      </c>
      <c r="C73" s="33" t="s">
        <v>50</v>
      </c>
      <c r="D73" s="34" t="s">
        <v>324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335</v>
      </c>
      <c r="B74" s="32"/>
      <c r="C74" s="33"/>
      <c r="D74" s="38" t="s">
        <v>326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336</v>
      </c>
      <c r="B75" s="39" t="s">
        <v>56</v>
      </c>
      <c r="C75" s="40" t="s">
        <v>50</v>
      </c>
      <c r="D75" s="41" t="s">
        <v>324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337</v>
      </c>
      <c r="B76" s="39"/>
      <c r="C76" s="40"/>
      <c r="D76" s="44" t="s">
        <v>326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338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339</v>
      </c>
      <c r="B78" s="32" t="s">
        <v>60</v>
      </c>
      <c r="C78" s="33" t="s">
        <v>50</v>
      </c>
      <c r="D78" s="34" t="s">
        <v>340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IFERROR(IF(INDEX('Limites'!$R:$R,MATCH(IF(nProdUS3="",nProdUS4,nProdUS3),'Limites'!$B:$B,0))="","",INDEX('Limites'!$R:$R,MATCH(IF(nProdUS3="",nProdUS4,nProdUS3),'Limites'!$B:$B,0))),"")</f>
        <v>0</v>
      </c>
      <c r="R78">
        <f>IFERROR(IF(INDEX('Limites'!$S:$S,MATCH(IF(nProdUS3="",nProdUS4,nProdUS3),'Limites'!$B:$B,0))="","",INDEX('Limites'!$S:$S,MATCH(IF(nProdUS3="",nProdUS4,nProdUS3),'Limites'!$B:$B,0))),"")</f>
        <v>0</v>
      </c>
    </row>
    <row r="79" spans="1:18" ht="17" customHeight="1">
      <c r="A79" s="24" t="s">
        <v>341</v>
      </c>
      <c r="B79" s="39" t="s">
        <v>62</v>
      </c>
      <c r="C79" s="40" t="s">
        <v>50</v>
      </c>
      <c r="D79" s="41" t="s">
        <v>340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IFERROR(IF(INDEX('Limites'!$P:$P,MATCH(IF(nProdUS3="",nProdUS4,nProdUS3),'Limites'!$B:$B,0))="","",INDEX('Limites'!$P:$P,MATCH(IF(nProdUS3="",nProdUS4,nProdUS3),'Limites'!$B:$B,0))),"")</f>
        <v>0</v>
      </c>
      <c r="R79">
        <f>IFERROR(IF(INDEX('Limites'!$Q:$Q,MATCH(IF(nProdUS3="",nProdUS4,nProdUS3),'Limites'!$B:$B,0))="","",INDEX('Limites'!$Q:$Q,MATCH(IF(nProdUS3="",nProdUS4,nProdUS3),'Limites'!$B:$B,0))),"")</f>
        <v>0</v>
      </c>
    </row>
    <row r="80" spans="1:18" ht="17" customHeight="1">
      <c r="A80" s="24" t="s">
        <v>342</v>
      </c>
      <c r="B80" s="32" t="s">
        <v>64</v>
      </c>
      <c r="C80" s="33" t="s">
        <v>50</v>
      </c>
      <c r="D80" s="34" t="s">
        <v>340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343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344</v>
      </c>
      <c r="B82" s="39" t="s">
        <v>67</v>
      </c>
      <c r="C82" s="40" t="s">
        <v>50</v>
      </c>
      <c r="D82" s="41" t="s">
        <v>340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8" ht="18" customHeight="1">
      <c r="A83" s="24" t="s">
        <v>345</v>
      </c>
      <c r="B83" s="31" t="s">
        <v>69</v>
      </c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</row>
    <row r="84" spans="1:18" ht="17" customHeight="1">
      <c r="A84" s="24" t="s">
        <v>346</v>
      </c>
      <c r="B84" s="32" t="s">
        <v>62</v>
      </c>
      <c r="C84" s="33" t="s">
        <v>50</v>
      </c>
      <c r="D84" s="34" t="s">
        <v>324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IFERROR(IF(INDEX('Limites'!$D:$D,MATCH(nProdUS3,'Limites'!$B:$B,0))="","",INDEX('Limites'!$D:$D,MATCH(nProdUS3,'Limites'!$B:$B,0))),"")</f>
        <v>0</v>
      </c>
      <c r="R84">
        <f>IFERROR(IF(INDEX('Limites'!$E:$E,MATCH(nProdUS3,'Limites'!$B:$B,0))="","",INDEX('Limites'!$E:$E,MATCH(nProdUS3,'Limites'!$B:$B,0))),"")</f>
        <v>0</v>
      </c>
    </row>
    <row r="85" spans="1:18" ht="17" customHeight="1">
      <c r="A85" s="24" t="s">
        <v>347</v>
      </c>
      <c r="B85" s="32"/>
      <c r="C85" s="33"/>
      <c r="D85" s="38" t="s">
        <v>326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IFERROR(IF(INDEX('Limites'!$D:$D,MATCH(nProdUS4,'Limites'!$B:$B,0))="","",INDEX('Limites'!$D:$D,MATCH(nProdUS4,'Limites'!$B:$B,0))),"")</f>
        <v>0</v>
      </c>
      <c r="R85">
        <f>IFERROR(IF(INDEX('Limites'!$E:$E,MATCH(nProdUS4,'Limites'!$B:$B,0))="","",INDEX('Limites'!$E:$E,MATCH(nProdUS4,'Limites'!$B:$B,0))),"")</f>
        <v>0</v>
      </c>
    </row>
    <row r="86" spans="1:18" ht="17" customHeight="1">
      <c r="A86" s="24" t="s">
        <v>348</v>
      </c>
      <c r="B86" s="39" t="s">
        <v>64</v>
      </c>
      <c r="C86" s="40" t="s">
        <v>50</v>
      </c>
      <c r="D86" s="41" t="s">
        <v>324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IFERROR(IF(INDEX('Limites'!$F:$F,MATCH(nProdUS3,'Limites'!$B:$B,0))="","",INDEX('Limites'!$F:$F,MATCH(nProdUS3,'Limites'!$B:$B,0))),"")</f>
        <v>0</v>
      </c>
      <c r="R86">
        <f>IFERROR(IF(INDEX('Limites'!$G:$G,MATCH(nProdUS3,'Limites'!$B:$B,0))="","",INDEX('Limites'!$G:$G,MATCH(nProdUS3,'Limites'!$B:$B,0))),"")</f>
        <v>0</v>
      </c>
    </row>
    <row r="87" spans="1:18" ht="17" customHeight="1">
      <c r="A87" s="24" t="s">
        <v>349</v>
      </c>
      <c r="B87" s="39"/>
      <c r="C87" s="40"/>
      <c r="D87" s="44" t="s">
        <v>326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IFERROR(IF(INDEX('Limites'!$F:$F,MATCH(nProdUS4,'Limites'!$B:$B,0))="","",INDEX('Limites'!$F:$F,MATCH(nProdUS4,'Limites'!$B:$B,0))),"")</f>
        <v>0</v>
      </c>
      <c r="R87">
        <f>IFERROR(IF(INDEX('Limites'!$G:$G,MATCH(nProdUS4,'Limites'!$B:$B,0))="","",INDEX('Limites'!$G:$G,MATCH(nProdUS4,'Limites'!$B:$B,0))),"")</f>
        <v>0</v>
      </c>
    </row>
    <row r="88" spans="1:18" ht="17" customHeight="1">
      <c r="A88" s="24" t="s">
        <v>350</v>
      </c>
      <c r="B88" s="32" t="s">
        <v>74</v>
      </c>
      <c r="C88" s="33" t="s">
        <v>75</v>
      </c>
      <c r="D88" s="34" t="s">
        <v>324</v>
      </c>
      <c r="E88" s="48"/>
      <c r="F88" s="48"/>
      <c r="G88" s="48"/>
      <c r="H88" s="48"/>
      <c r="I88" s="48"/>
      <c r="J88" s="48"/>
      <c r="K88" s="49">
        <f>IF(COUNT(E88:J88)=0,"",AVERAGE(E88:J88))</f>
        <v>0</v>
      </c>
      <c r="L88" s="50">
        <f>IF(COUNT(E88:J88)=0,"",MIN(E88:J88))</f>
        <v>0</v>
      </c>
      <c r="M88" s="50">
        <f>IF(COUNT(E88:J88)=0,"",MAX(E88:J88))</f>
        <v>0</v>
      </c>
      <c r="Q88">
        <f>IFERROR(IF(INDEX('Limites'!$H:$H,MATCH(nProdUS3,'Limites'!$B:$B,0))="","",INDEX('Limites'!$H:$H,MATCH(nProdUS3,'Limites'!$B:$B,0))),"")</f>
        <v>0</v>
      </c>
      <c r="R88">
        <f>IFERROR(IF(INDEX('Limites'!$I:$I,MATCH(nProdUS3,'Limites'!$B:$B,0))="","",INDEX('Limites'!$I:$I,MATCH(nProdUS3,'Limites'!$B:$B,0))),"")</f>
        <v>0</v>
      </c>
    </row>
    <row r="89" spans="1:18" ht="17" customHeight="1">
      <c r="A89" s="24" t="s">
        <v>351</v>
      </c>
      <c r="B89" s="32"/>
      <c r="C89" s="33"/>
      <c r="D89" s="38" t="s">
        <v>326</v>
      </c>
      <c r="E89" s="48"/>
      <c r="F89" s="48"/>
      <c r="G89" s="48"/>
      <c r="H89" s="48"/>
      <c r="I89" s="48"/>
      <c r="J89" s="48"/>
      <c r="K89" s="49">
        <f>IF(COUNT(E89:J89)=0,"",AVERAGE(E89:J89))</f>
        <v>0</v>
      </c>
      <c r="L89" s="50">
        <f>IF(COUNT(E89:J89)=0,"",MIN(E89:J89))</f>
        <v>0</v>
      </c>
      <c r="M89" s="50">
        <f>IF(COUNT(E89:J89)=0,"",MAX(E89:J89))</f>
        <v>0</v>
      </c>
      <c r="Q89">
        <f>IFERROR(IF(INDEX('Limites'!$H:$H,MATCH(nProdUS4,'Limites'!$B:$B,0))="","",INDEX('Limites'!$H:$H,MATCH(nProdUS4,'Limites'!$B:$B,0))),"")</f>
        <v>0</v>
      </c>
      <c r="R89">
        <f>IFERROR(IF(INDEX('Limites'!$I:$I,MATCH(nProdUS4,'Limites'!$B:$B,0))="","",INDEX('Limites'!$I:$I,MATCH(nProdUS4,'Limites'!$B:$B,0))),"")</f>
        <v>0</v>
      </c>
    </row>
    <row r="90" spans="1:18" ht="17" customHeight="1">
      <c r="A90" s="24" t="s">
        <v>352</v>
      </c>
      <c r="B90" s="39" t="s">
        <v>78</v>
      </c>
      <c r="C90" s="40" t="s">
        <v>79</v>
      </c>
      <c r="D90" s="41" t="s">
        <v>324</v>
      </c>
      <c r="E90" s="45"/>
      <c r="F90" s="45"/>
      <c r="G90" s="45"/>
      <c r="H90" s="45"/>
      <c r="I90" s="45"/>
      <c r="J90" s="45"/>
      <c r="K90" s="4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4" t="s">
        <v>353</v>
      </c>
      <c r="B91" s="39"/>
      <c r="C91" s="40"/>
      <c r="D91" s="44" t="s">
        <v>326</v>
      </c>
      <c r="E91" s="45"/>
      <c r="F91" s="45"/>
      <c r="G91" s="45"/>
      <c r="H91" s="45"/>
      <c r="I91" s="45"/>
      <c r="J91" s="45"/>
      <c r="K91" s="4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4" t="s">
        <v>354</v>
      </c>
      <c r="B92" s="32" t="s">
        <v>82</v>
      </c>
      <c r="C92" s="33" t="s">
        <v>50</v>
      </c>
      <c r="D92" s="34" t="s">
        <v>324</v>
      </c>
      <c r="E92" s="48"/>
      <c r="F92" s="48"/>
      <c r="G92" s="48"/>
      <c r="H92" s="48"/>
      <c r="I92" s="48"/>
      <c r="J92" s="48"/>
      <c r="K92" s="49">
        <f>IF(COUNT(E92:J92)=0,"",AVERAGE(E92:J92))</f>
        <v>0</v>
      </c>
      <c r="L92" s="50">
        <f>IF(COUNT(E92:J92)=0,"",MIN(E92:J92))</f>
        <v>0</v>
      </c>
      <c r="M92" s="50">
        <f>IF(COUNT(E92:J92)=0,"",MAX(E92:J92))</f>
        <v>0</v>
      </c>
    </row>
    <row r="93" spans="1:18" ht="17" customHeight="1">
      <c r="A93" s="24" t="s">
        <v>355</v>
      </c>
      <c r="B93" s="32"/>
      <c r="C93" s="33"/>
      <c r="D93" s="38" t="s">
        <v>326</v>
      </c>
      <c r="E93" s="48"/>
      <c r="F93" s="48"/>
      <c r="G93" s="48"/>
      <c r="H93" s="48"/>
      <c r="I93" s="48"/>
      <c r="J93" s="48"/>
      <c r="K93" s="49">
        <f>IF(COUNT(E93:J93)=0,"",AVERAGE(E93:J93))</f>
        <v>0</v>
      </c>
      <c r="L93" s="50">
        <f>IF(COUNT(E93:J93)=0,"",MIN(E93:J93))</f>
        <v>0</v>
      </c>
      <c r="M93" s="50">
        <f>IF(COUNT(E93:J93)=0,"",MAX(E93:J93))</f>
        <v>0</v>
      </c>
    </row>
    <row r="94" spans="1:18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8" ht="17" customHeight="1">
      <c r="A95" s="24" t="s">
        <v>357</v>
      </c>
      <c r="B95" s="39" t="s">
        <v>67</v>
      </c>
      <c r="C95" s="40" t="s">
        <v>50</v>
      </c>
      <c r="D95" s="41" t="s">
        <v>324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</row>
    <row r="96" spans="1:18" ht="17" customHeight="1">
      <c r="A96" s="24" t="s">
        <v>358</v>
      </c>
      <c r="B96" s="39"/>
      <c r="C96" s="40"/>
      <c r="D96" s="44" t="s">
        <v>326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324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38" t="s">
        <v>326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361</v>
      </c>
      <c r="B99" s="39" t="s">
        <v>92</v>
      </c>
      <c r="C99" s="40" t="s">
        <v>93</v>
      </c>
      <c r="D99" s="41" t="s">
        <v>324</v>
      </c>
      <c r="E99" s="51"/>
      <c r="F99" s="51"/>
      <c r="G99" s="51"/>
      <c r="H99" s="51"/>
      <c r="I99" s="51"/>
      <c r="J99" s="51"/>
      <c r="K99" s="49">
        <f>IF(COUNT(E99:J99)=0,"",AVERAGE(E99:J99))</f>
        <v>0</v>
      </c>
      <c r="L99" s="52">
        <f>IF(COUNT(E99:J99)=0,"",MIN(E99:J99))</f>
        <v>0</v>
      </c>
      <c r="M99" s="52">
        <f>IF(COUNT(E99:J99)=0,"",MAX(E99:J99))</f>
        <v>0</v>
      </c>
    </row>
    <row r="100" spans="1:18" ht="17" customHeight="1">
      <c r="A100" s="24" t="s">
        <v>362</v>
      </c>
      <c r="B100" s="39"/>
      <c r="C100" s="40"/>
      <c r="D100" s="44" t="s">
        <v>326</v>
      </c>
      <c r="E100" s="51"/>
      <c r="F100" s="51"/>
      <c r="G100" s="51"/>
      <c r="H100" s="51"/>
      <c r="I100" s="51"/>
      <c r="J100" s="51"/>
      <c r="K100" s="49">
        <f>IF(COUNT(E100:J100)=0,"",AVERAGE(E100:J100))</f>
        <v>0</v>
      </c>
      <c r="L100" s="52">
        <f>IF(COUNT(E100:J100)=0,"",MIN(E100:J100))</f>
        <v>0</v>
      </c>
      <c r="M100" s="52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324</v>
      </c>
      <c r="E101" s="48"/>
      <c r="F101" s="48"/>
      <c r="G101" s="48"/>
      <c r="H101" s="48"/>
      <c r="I101" s="48"/>
      <c r="J101" s="48"/>
      <c r="K101" s="49">
        <f>IF(COUNT(E101:J101)=0,"",AVERAGE(E101:J101))</f>
        <v>0</v>
      </c>
      <c r="L101" s="50">
        <f>IF(COUNT(E101:J101)=0,"",MIN(E101:J101))</f>
        <v>0</v>
      </c>
      <c r="M101" s="50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38" t="s">
        <v>326</v>
      </c>
      <c r="E102" s="48"/>
      <c r="F102" s="48"/>
      <c r="G102" s="48"/>
      <c r="H102" s="48"/>
      <c r="I102" s="48"/>
      <c r="J102" s="48"/>
      <c r="K102" s="49">
        <f>IF(COUNT(E102:J102)=0,"",AVERAGE(E102:J102))</f>
        <v>0</v>
      </c>
      <c r="L102" s="50">
        <f>IF(COUNT(E102:J102)=0,"",MIN(E102:J102))</f>
        <v>0</v>
      </c>
      <c r="M102" s="50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9" t="s">
        <v>100</v>
      </c>
      <c r="C104" s="40" t="s">
        <v>50</v>
      </c>
      <c r="D104" s="41" t="s">
        <v>324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</row>
    <row r="105" spans="1:18" ht="17" customHeight="1">
      <c r="A105" s="24" t="s">
        <v>367</v>
      </c>
      <c r="B105" s="39"/>
      <c r="C105" s="40"/>
      <c r="D105" s="44" t="s">
        <v>326</v>
      </c>
      <c r="E105" s="45"/>
      <c r="F105" s="45"/>
      <c r="G105" s="45"/>
      <c r="H105" s="45"/>
      <c r="I105" s="45"/>
      <c r="J105" s="45"/>
      <c r="K105" s="46">
        <f>IF(COUNT(E105:J105)=0,"",AVERAGE(E105:J105))</f>
        <v>0</v>
      </c>
      <c r="L105" s="47">
        <f>IF(COUNT(E105:J105)=0,"",MIN(E105:J105))</f>
        <v>0</v>
      </c>
      <c r="M105" s="47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75</v>
      </c>
      <c r="D106" s="34" t="s">
        <v>324</v>
      </c>
      <c r="E106" s="48"/>
      <c r="F106" s="48"/>
      <c r="G106" s="48"/>
      <c r="H106" s="48"/>
      <c r="I106" s="48"/>
      <c r="J106" s="48"/>
      <c r="K106" s="49">
        <f>IF(COUNT(E106:J106)=0,"",AVERAGE(E106:J106))</f>
        <v>0</v>
      </c>
      <c r="L106" s="50">
        <f>IF(COUNT(E106:J106)=0,"",MIN(E106:J106))</f>
        <v>0</v>
      </c>
      <c r="M106" s="50">
        <f>IF(COUNT(E106:J106)=0,"",MAX(E106:J106))</f>
        <v>0</v>
      </c>
      <c r="Q106">
        <f>IFERROR(IF(INDEX('Limites'!$N:$N,MATCH(nProdUS3,'Limites'!$B:$B,0))="","",INDEX('Limites'!$N:$N,MATCH(nProdUS3,'Limites'!$B:$B,0))),"")</f>
        <v>0</v>
      </c>
      <c r="R106">
        <f>IFERROR(IF(INDEX('Limites'!$O:$O,MATCH(nProdUS3,'Limites'!$B:$B,0))="","",INDEX('Limites'!$O:$O,MATCH(nProdUS3,'Limites'!$B:$B,0))),"")</f>
        <v>0</v>
      </c>
    </row>
    <row r="107" spans="1:18" ht="17" customHeight="1">
      <c r="A107" s="24" t="s">
        <v>369</v>
      </c>
      <c r="B107" s="32"/>
      <c r="C107" s="33"/>
      <c r="D107" s="38" t="s">
        <v>326</v>
      </c>
      <c r="E107" s="48"/>
      <c r="F107" s="48"/>
      <c r="G107" s="48"/>
      <c r="H107" s="48"/>
      <c r="I107" s="48"/>
      <c r="J107" s="48"/>
      <c r="K107" s="49">
        <f>IF(COUNT(E107:J107)=0,"",AVERAGE(E107:J107))</f>
        <v>0</v>
      </c>
      <c r="L107" s="50">
        <f>IF(COUNT(E107:J107)=0,"",MIN(E107:J107))</f>
        <v>0</v>
      </c>
      <c r="M107" s="50">
        <f>IF(COUNT(E107:J107)=0,"",MAX(E107:J107))</f>
        <v>0</v>
      </c>
      <c r="Q107">
        <f>IFERROR(IF(INDEX('Limites'!$N:$N,MATCH(nProdUS4,'Limites'!$B:$B,0))="","",INDEX('Limites'!$N:$N,MATCH(nProdUS4,'Limites'!$B:$B,0))),"")</f>
        <v>0</v>
      </c>
      <c r="R107">
        <f>IFERROR(IF(INDEX('Limites'!$O:$O,MATCH(nProdUS4,'Limites'!$B:$B,0))="","",INDEX('Limites'!$O:$O,MATCH(nProdUS4,'Limites'!$B:$B,0))),"")</f>
        <v>0</v>
      </c>
    </row>
    <row r="108" spans="1:18" ht="17" customHeight="1">
      <c r="A108" s="24" t="s">
        <v>370</v>
      </c>
      <c r="B108" s="39" t="s">
        <v>106</v>
      </c>
      <c r="C108" s="40" t="s">
        <v>50</v>
      </c>
      <c r="D108" s="41" t="s">
        <v>324</v>
      </c>
      <c r="E108" s="45"/>
      <c r="F108" s="45"/>
      <c r="G108" s="45"/>
      <c r="H108" s="45"/>
      <c r="I108" s="45"/>
      <c r="J108" s="45"/>
      <c r="K108" s="46">
        <f>IF(COUNT(E108:J108)=0,"",AVERAGE(E108:J108))</f>
        <v>0</v>
      </c>
      <c r="L108" s="47">
        <f>IF(COUNT(E108:J108)=0,"",MIN(E108:J108))</f>
        <v>0</v>
      </c>
      <c r="M108" s="47">
        <f>IF(COUNT(E108:J108)=0,"",MAX(E108:J108))</f>
        <v>0</v>
      </c>
      <c r="Q108">
        <f>IFERROR(IF(INDEX('Limites'!$J:$J,MATCH(nProdUS3,'Limites'!$B:$B,0))="","",INDEX('Limites'!$J:$J,MATCH(nProdUS3,'Limites'!$B:$B,0))),"")</f>
        <v>0</v>
      </c>
      <c r="R108">
        <f>IFERROR(IF(INDEX('Limites'!$K:$K,MATCH(nProdUS3,'Limites'!$B:$B,0))="","",INDEX('Limites'!$K:$K,MATCH(nProdUS3,'Limites'!$B:$B,0))),"")</f>
        <v>0</v>
      </c>
    </row>
    <row r="109" spans="1:18" ht="17" customHeight="1">
      <c r="A109" s="24" t="s">
        <v>371</v>
      </c>
      <c r="B109" s="39"/>
      <c r="C109" s="40"/>
      <c r="D109" s="44" t="s">
        <v>326</v>
      </c>
      <c r="E109" s="45"/>
      <c r="F109" s="45"/>
      <c r="G109" s="45"/>
      <c r="H109" s="45"/>
      <c r="I109" s="45"/>
      <c r="J109" s="45"/>
      <c r="K109" s="46">
        <f>IF(COUNT(E109:J109)=0,"",AVERAGE(E109:J109))</f>
        <v>0</v>
      </c>
      <c r="L109" s="47">
        <f>IF(COUNT(E109:J109)=0,"",MIN(E109:J109))</f>
        <v>0</v>
      </c>
      <c r="M109" s="47">
        <f>IF(COUNT(E109:J109)=0,"",MAX(E109:J109))</f>
        <v>0</v>
      </c>
      <c r="Q109">
        <f>IFERROR(IF(INDEX('Limites'!$J:$J,MATCH(nProdUS4,'Limites'!$B:$B,0))="","",INDEX('Limites'!$J:$J,MATCH(nProdUS4,'Limites'!$B:$B,0))),"")</f>
        <v>0</v>
      </c>
      <c r="R109">
        <f>IFERROR(IF(INDEX('Limites'!$K:$K,MATCH(nProdUS4,'Limites'!$B:$B,0))="","",INDEX('Limites'!$K:$K,MATCH(nProdUS4,'Limites'!$B:$B,0))),"")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324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38" t="s">
        <v>326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374</v>
      </c>
      <c r="B112" s="39" t="s">
        <v>112</v>
      </c>
      <c r="C112" s="40" t="s">
        <v>50</v>
      </c>
      <c r="D112" s="41" t="s">
        <v>324</v>
      </c>
      <c r="E112" s="42"/>
      <c r="F112" s="42"/>
      <c r="G112" s="42"/>
      <c r="H112" s="42"/>
      <c r="I112" s="42"/>
      <c r="J112" s="42"/>
      <c r="K112" s="36">
        <f>IF(COUNT(E112:J112)=0,"",AVERAGE(E112:J112))</f>
        <v>0</v>
      </c>
      <c r="L112" s="43">
        <f>IF(COUNT(E112:J112)=0,"",MIN(E112:J112))</f>
        <v>0</v>
      </c>
      <c r="M112" s="43">
        <f>IF(COUNT(E112:J112)=0,"",MAX(E112:J112))</f>
        <v>0</v>
      </c>
    </row>
    <row r="113" spans="1:18" ht="17" customHeight="1">
      <c r="A113" s="24" t="s">
        <v>375</v>
      </c>
      <c r="B113" s="39"/>
      <c r="C113" s="40"/>
      <c r="D113" s="44" t="s">
        <v>326</v>
      </c>
      <c r="E113" s="42"/>
      <c r="F113" s="42"/>
      <c r="G113" s="42"/>
      <c r="H113" s="42"/>
      <c r="I113" s="42"/>
      <c r="J113" s="42"/>
      <c r="K113" s="36">
        <f>IF(COUNT(E113:J113)=0,"",AVERAGE(E113:J113))</f>
        <v>0</v>
      </c>
      <c r="L113" s="43">
        <f>IF(COUNT(E113:J113)=0,"",MIN(E113:J113))</f>
        <v>0</v>
      </c>
      <c r="M113" s="43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50</v>
      </c>
      <c r="D114" s="34" t="s">
        <v>324</v>
      </c>
      <c r="E114" s="53"/>
      <c r="F114" s="53"/>
      <c r="G114" s="53"/>
      <c r="H114" s="53"/>
      <c r="I114" s="53"/>
      <c r="J114" s="53"/>
      <c r="K114" s="46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IFERROR(IF(INDEX('Limites'!$L:$L,MATCH(nProdUS3,'Limites'!$B:$B,0))="","",INDEX('Limites'!$L:$L,MATCH(nProdUS3,'Limites'!$B:$B,0))),"")</f>
        <v>0</v>
      </c>
      <c r="R114">
        <f>IFERROR(IF(INDEX('Limites'!$M:$M,MATCH(nProdUS3,'Limites'!$B:$B,0))="","",INDEX('Limites'!$M:$M,MATCH(nProdUS3,'Limites'!$B:$B,0))),"")</f>
        <v>0</v>
      </c>
    </row>
    <row r="115" spans="1:18" ht="17" customHeight="1">
      <c r="A115" s="24" t="s">
        <v>377</v>
      </c>
      <c r="B115" s="32"/>
      <c r="C115" s="33"/>
      <c r="D115" s="38" t="s">
        <v>326</v>
      </c>
      <c r="E115" s="53"/>
      <c r="F115" s="53"/>
      <c r="G115" s="53"/>
      <c r="H115" s="53"/>
      <c r="I115" s="53"/>
      <c r="J115" s="53"/>
      <c r="K115" s="46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IFERROR(IF(INDEX('Limites'!$L:$L,MATCH(nProdUS4,'Limites'!$B:$B,0))="","",INDEX('Limites'!$L:$L,MATCH(nProdUS4,'Limites'!$B:$B,0))),"")</f>
        <v>0</v>
      </c>
      <c r="R115">
        <f>IFERROR(IF(INDEX('Limites'!$M:$M,MATCH(nProdUS4,'Limites'!$B:$B,0))="","",INDEX('Limites'!$M:$M,MATCH(nProdUS4,'Limites'!$B:$B,0))),"")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9" t="s">
        <v>118</v>
      </c>
      <c r="C117" s="40" t="s">
        <v>119</v>
      </c>
      <c r="D117" s="41" t="s">
        <v>324</v>
      </c>
      <c r="E117" s="42"/>
      <c r="F117" s="42"/>
      <c r="G117" s="42"/>
      <c r="H117" s="42"/>
      <c r="I117" s="42"/>
      <c r="J117" s="42"/>
      <c r="K117" s="36">
        <f>IF(COUNT(E117:J117)=0,"",SUM(E117:J117))</f>
        <v>0</v>
      </c>
      <c r="L117" s="43">
        <f>IF(COUNT(E117:J117)=0,"",MIN(E117:J117))</f>
        <v>0</v>
      </c>
      <c r="M117" s="43">
        <f>IF(COUNT(E117:J117)=0,"",MAX(E117:J117))</f>
        <v>0</v>
      </c>
    </row>
    <row r="118" spans="1:18" ht="17" customHeight="1">
      <c r="A118" s="24" t="s">
        <v>380</v>
      </c>
      <c r="B118" s="39"/>
      <c r="C118" s="40"/>
      <c r="D118" s="44" t="s">
        <v>326</v>
      </c>
      <c r="E118" s="42"/>
      <c r="F118" s="42"/>
      <c r="G118" s="42"/>
      <c r="H118" s="42"/>
      <c r="I118" s="42"/>
      <c r="J118" s="42"/>
      <c r="K118" s="36">
        <f>IF(COUNT(E118:J118)=0,"",SUM(E118:J118))</f>
        <v>0</v>
      </c>
      <c r="L118" s="43">
        <f>IF(COUNT(E118:J118)=0,"",MIN(E118:J118))</f>
        <v>0</v>
      </c>
      <c r="M118" s="43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324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38" t="s">
        <v>326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383</v>
      </c>
      <c r="B121" s="39" t="s">
        <v>128</v>
      </c>
      <c r="C121" s="40" t="s">
        <v>124</v>
      </c>
      <c r="D121" s="41" t="s">
        <v>324</v>
      </c>
      <c r="E121" s="42"/>
      <c r="F121" s="42"/>
      <c r="G121" s="42"/>
      <c r="H121" s="42"/>
      <c r="I121" s="42"/>
      <c r="J121" s="42"/>
      <c r="K121" s="36">
        <f>IF(COUNT(E121:J121)=0,"",LOOKUP(2,1/ISNUMBER(E121:J121),E121:J121))</f>
        <v>0</v>
      </c>
      <c r="L121" s="43">
        <f>IF(COUNT(E121:J121)=0,"",MIN(E121:J121))</f>
        <v>0</v>
      </c>
      <c r="M121" s="43">
        <f>IF(COUNT(E121:J121)=0,"",MAX(E121:J121))</f>
        <v>0</v>
      </c>
    </row>
    <row r="122" spans="1:18" ht="17" customHeight="1">
      <c r="A122" s="24" t="s">
        <v>384</v>
      </c>
      <c r="B122" s="39"/>
      <c r="C122" s="40"/>
      <c r="D122" s="44" t="s">
        <v>326</v>
      </c>
      <c r="E122" s="42"/>
      <c r="F122" s="42"/>
      <c r="G122" s="42"/>
      <c r="H122" s="42"/>
      <c r="I122" s="42"/>
      <c r="J122" s="42"/>
      <c r="K122" s="36">
        <f>IF(COUNT(E122:J122)=0,"",LOOKUP(2,1/ISNUMBER(E122:J122),E122:J122))</f>
        <v>0</v>
      </c>
      <c r="L122" s="43">
        <f>IF(COUNT(E122:J122)=0,"",MIN(E122:J122))</f>
        <v>0</v>
      </c>
      <c r="M122" s="43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3:M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17">
      <formula>AND(ISNUMBER(E106),OR(AND(ISNUMBER($Q106),ROUND(E106,2)&lt;$Q106),AND(ISNUMBER($R106),ROUND(E106,2)&gt;$R106)))</formula>
    </cfRule>
    <cfRule type="expression" dxfId="2" priority="18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19">
      <formula>AND(ISNUMBER(E107),OR(AND(ISNUMBER($Q107),ROUND(E107,2)&lt;$Q107),AND(ISNUMBER($R107),ROUND(E107,2)&gt;$R107)))</formula>
    </cfRule>
    <cfRule type="expression" dxfId="2" priority="20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1">
      <formula>AND(ISNUMBER(E108),OR(AND(ISNUMBER($Q108),ROUND(E108,1)&lt;$Q108),AND(ISNUMBER($R108),ROUND(E108,1)&gt;$R108)))</formula>
    </cfRule>
    <cfRule type="expression" dxfId="2" priority="22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3">
      <formula>AND(ISNUMBER(E109),OR(AND(ISNUMBER($Q109),ROUND(E109,1)&lt;$Q109),AND(ISNUMBER($R109),ROUND(E109,1)&gt;$R109)))</formula>
    </cfRule>
    <cfRule type="expression" dxfId="2" priority="24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5">
      <formula>AND(ISNUMBER(E114),OR(AND(ISNUMBER($Q114),ROUND(E114,1)&lt;$Q114),AND(ISNUMBER($R114),ROUND(E114,1)&gt;$R114)))</formula>
    </cfRule>
    <cfRule type="expression" dxfId="2" priority="26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27">
      <formula>AND(ISNUMBER(E115),OR(AND(ISNUMBER($Q115),ROUND(E115,1)&lt;$Q115),AND(ISNUMBER($R115),ROUND(E115,1)&gt;$R115)))</formula>
    </cfRule>
    <cfRule type="expression" dxfId="2" priority="28">
      <formula>AND(ISNUMBER(E115),OR(ISNUMBER($Q115),ISNUMBER($R115)),NOT(OR(AND(ISNUMBER($Q115),ROUND(E115,1)&lt;$Q115),AND(ISNUMBER($R115),ROUND(E115,1)&gt;$R115))))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4:K84">
    <cfRule type="expression" dxfId="1" priority="5">
      <formula>AND(ISNUMBER(E84),OR(AND(ISNUMBER($Q84),ROUND(E84,2)&lt;$Q84),AND(ISNUMBER($R84),ROUND(E84,2)&gt;$R84)))</formula>
    </cfRule>
    <cfRule type="expression" dxfId="2" priority="6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7">
      <formula>AND(ISNUMBER(E85),OR(AND(ISNUMBER($Q85),ROUND(E85,2)&lt;$Q85),AND(ISNUMBER($R85),ROUND(E85,2)&gt;$R85)))</formula>
    </cfRule>
    <cfRule type="expression" dxfId="2" priority="8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9">
      <formula>AND(ISNUMBER(E86),OR(AND(ISNUMBER($Q86),ROUND(E86,2)&lt;$Q86),AND(ISNUMBER($R86),ROUND(E86,2)&gt;$R86)))</formula>
    </cfRule>
    <cfRule type="expression" dxfId="2" priority="10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1">
      <formula>AND(ISNUMBER(E87),OR(AND(ISNUMBER($Q87),ROUND(E87,2)&lt;$Q87),AND(ISNUMBER($R87),ROUND(E87,2)&gt;$R87)))</formula>
    </cfRule>
    <cfRule type="expression" dxfId="2" priority="12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13">
      <formula>AND(ISNUMBER(E88),OR(AND(ISNUMBER($Q88),ROUND(E88,2)&lt;$Q88),AND(ISNUMBER($R88),ROUND(E88,2)&gt;$R88)))</formula>
    </cfRule>
    <cfRule type="expression" dxfId="2" priority="14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15">
      <formula>AND(ISNUMBER(E89),OR(AND(ISNUMBER($Q89),ROUND(E89,2)&lt;$Q89),AND(ISNUMBER($R89),ROUND(E89,2)&gt;$R89)))</formula>
    </cfRule>
    <cfRule type="expression" dxfId="2" priority="16">
      <formula>AND(ISNUMBER(E89),OR(ISNUMBER($Q89),ISNUMBER($R89)),NOT(OR(AND(ISNUMBER($Q89),ROUND(E89,2)&lt;$Q89),AND(ISNUMBER($R89),ROUND(E89,2)&gt;$R89))))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7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258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259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56" t="s">
        <v>393</v>
      </c>
      <c r="C6" s="57" t="s">
        <v>194</v>
      </c>
      <c r="D6" s="57"/>
      <c r="E6" s="58"/>
      <c r="F6" s="58"/>
      <c r="G6" s="58"/>
      <c r="H6" s="59" t="s">
        <v>195</v>
      </c>
      <c r="I6" s="58"/>
      <c r="J6" s="58"/>
      <c r="K6" s="58"/>
      <c r="L6" s="60" t="s">
        <v>394</v>
      </c>
      <c r="M6" s="60"/>
      <c r="N6" s="60"/>
      <c r="O6" s="60"/>
      <c r="P6" s="60"/>
      <c r="Q6" s="60"/>
      <c r="R6" s="60"/>
      <c r="S6" s="60"/>
    </row>
    <row r="7" spans="1:21" ht="6" customHeight="1"/>
    <row r="8" spans="1:21" ht="20" customHeight="1">
      <c r="B8" s="56" t="s">
        <v>266</v>
      </c>
      <c r="C8" s="61">
        <f>IF(dProdUS3="","",dProdUS3)</f>
        <v>0</v>
      </c>
      <c r="D8" s="61"/>
    </row>
    <row r="9" spans="1:21" ht="20" customHeight="1">
      <c r="B9" s="56" t="s">
        <v>267</v>
      </c>
      <c r="C9" s="61">
        <f>IF(dProdUS4="","",dProdUS4)</f>
        <v>0</v>
      </c>
      <c r="D9" s="61"/>
    </row>
    <row r="10" spans="1:21">
      <c r="B10" s="62" t="s">
        <v>310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386</v>
      </c>
    </row>
    <row r="11" spans="1:21" ht="30" customHeight="1">
      <c r="B11" s="30" t="s">
        <v>311</v>
      </c>
      <c r="C11" s="30" t="s">
        <v>312</v>
      </c>
      <c r="D11" s="30" t="s">
        <v>313</v>
      </c>
      <c r="E11" s="30" t="s">
        <v>395</v>
      </c>
      <c r="F11" s="30" t="s">
        <v>395</v>
      </c>
      <c r="G11" s="30" t="s">
        <v>395</v>
      </c>
      <c r="H11" s="30" t="s">
        <v>395</v>
      </c>
      <c r="I11" s="30" t="s">
        <v>395</v>
      </c>
      <c r="J11" s="30" t="s">
        <v>395</v>
      </c>
      <c r="K11" s="30" t="s">
        <v>395</v>
      </c>
      <c r="L11" s="30" t="s">
        <v>395</v>
      </c>
      <c r="M11" s="30" t="s">
        <v>395</v>
      </c>
      <c r="N11" s="30" t="s">
        <v>395</v>
      </c>
      <c r="O11" s="30" t="s">
        <v>395</v>
      </c>
      <c r="P11" s="30" t="s">
        <v>395</v>
      </c>
      <c r="Q11" s="30" t="s">
        <v>396</v>
      </c>
      <c r="R11" s="30" t="s">
        <v>320</v>
      </c>
      <c r="S11" s="30" t="s">
        <v>321</v>
      </c>
    </row>
    <row r="12" spans="1:21" ht="18" customHeight="1">
      <c r="A12" s="24" t="s">
        <v>322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1" ht="17" customHeight="1">
      <c r="A13" s="24" t="s">
        <v>323</v>
      </c>
      <c r="B13" s="32" t="s">
        <v>34</v>
      </c>
      <c r="C13" s="33" t="s">
        <v>35</v>
      </c>
      <c r="D13" s="34" t="s">
        <v>324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1" ht="17" customHeight="1">
      <c r="A14" s="24" t="s">
        <v>325</v>
      </c>
      <c r="B14" s="32"/>
      <c r="C14" s="33"/>
      <c r="D14" s="38" t="s">
        <v>326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1" ht="18" customHeight="1">
      <c r="A15" s="24" t="s">
        <v>327</v>
      </c>
      <c r="B15" s="31" t="s">
        <v>40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1:21" ht="17" customHeight="1">
      <c r="A16" s="24" t="s">
        <v>328</v>
      </c>
      <c r="B16" s="39" t="s">
        <v>41</v>
      </c>
      <c r="C16" s="40" t="s">
        <v>42</v>
      </c>
      <c r="D16" s="41" t="s">
        <v>324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6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4" t="s">
        <v>329</v>
      </c>
      <c r="B17" s="39"/>
      <c r="C17" s="40"/>
      <c r="D17" s="44" t="s">
        <v>326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6">
        <f>IF(COUNT(E17:P17)=0,"",AVERAGE(E17:P17))</f>
        <v>0</v>
      </c>
      <c r="R17" s="43">
        <f>IF(COUNT(E17:P17)=0,"",MIN(E17:P17))</f>
        <v>0</v>
      </c>
      <c r="S17" s="43">
        <f>IF(COUNT(E17:P17)=0,"",MAX(E17:P17))</f>
        <v>0</v>
      </c>
    </row>
    <row r="18" spans="1:24" ht="17" customHeight="1">
      <c r="A18" s="24" t="s">
        <v>330</v>
      </c>
      <c r="B18" s="32" t="s">
        <v>46</v>
      </c>
      <c r="C18" s="33" t="s">
        <v>42</v>
      </c>
      <c r="D18" s="34" t="s">
        <v>324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6">
        <f>IF(COUNT(E18:P18)=0,"",AVERAGE(E18:P18))</f>
        <v>0</v>
      </c>
      <c r="R18" s="37">
        <f>IF(COUNT(E18:P18)=0,"",MIN(E18:P18))</f>
        <v>0</v>
      </c>
      <c r="S18" s="37">
        <f>IF(COUNT(E18:P18)=0,"",MAX(E18:P18))</f>
        <v>0</v>
      </c>
    </row>
    <row r="19" spans="1:24" ht="17" customHeight="1">
      <c r="A19" s="24" t="s">
        <v>331</v>
      </c>
      <c r="B19" s="32"/>
      <c r="C19" s="33"/>
      <c r="D19" s="38" t="s">
        <v>326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6">
        <f>IF(COUNT(E19:P19)=0,"",AVERAGE(E19:P19))</f>
        <v>0</v>
      </c>
      <c r="R19" s="37">
        <f>IF(COUNT(E19:P19)=0,"",MIN(E19:P19))</f>
        <v>0</v>
      </c>
      <c r="S19" s="37">
        <f>IF(COUNT(E19:P19)=0,"",MAX(E19:P19))</f>
        <v>0</v>
      </c>
    </row>
    <row r="20" spans="1:24" ht="17" customHeight="1">
      <c r="A20" s="24" t="s">
        <v>332</v>
      </c>
      <c r="B20" s="39" t="s">
        <v>49</v>
      </c>
      <c r="C20" s="40" t="s">
        <v>50</v>
      </c>
      <c r="D20" s="41" t="s">
        <v>324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6">
        <f>IF(COUNT(E20:P20)=0,"",AVERAGE(E20:P20))</f>
        <v>0</v>
      </c>
      <c r="R20" s="47">
        <f>IF(COUNT(E20:P20)=0,"",MIN(E20:P20))</f>
        <v>0</v>
      </c>
      <c r="S20" s="47">
        <f>IF(COUNT(E20:P20)=0,"",MAX(E20:P20))</f>
        <v>0</v>
      </c>
    </row>
    <row r="21" spans="1:24" ht="17" customHeight="1">
      <c r="A21" s="24" t="s">
        <v>333</v>
      </c>
      <c r="B21" s="39"/>
      <c r="C21" s="40"/>
      <c r="D21" s="44" t="s">
        <v>326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6">
        <f>IF(COUNT(E21:P21)=0,"",AVERAGE(E21:P21))</f>
        <v>0</v>
      </c>
      <c r="R21" s="47">
        <f>IF(COUNT(E21:P21)=0,"",MIN(E21:P21))</f>
        <v>0</v>
      </c>
      <c r="S21" s="47">
        <f>IF(COUNT(E21:P21)=0,"",MAX(E21:P21))</f>
        <v>0</v>
      </c>
    </row>
    <row r="22" spans="1:24" ht="17" customHeight="1">
      <c r="A22" s="24" t="s">
        <v>334</v>
      </c>
      <c r="B22" s="32" t="s">
        <v>53</v>
      </c>
      <c r="C22" s="33" t="s">
        <v>50</v>
      </c>
      <c r="D22" s="34" t="s">
        <v>324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9">
        <f>IF(COUNT(E22:P22)=0,"",AVERAGE(E22:P22))</f>
        <v>0</v>
      </c>
      <c r="R22" s="50">
        <f>IF(COUNT(E22:P22)=0,"",MIN(E22:P22))</f>
        <v>0</v>
      </c>
      <c r="S22" s="50">
        <f>IF(COUNT(E22:P22)=0,"",MAX(E22:P22))</f>
        <v>0</v>
      </c>
    </row>
    <row r="23" spans="1:24" ht="17" customHeight="1">
      <c r="A23" s="24" t="s">
        <v>335</v>
      </c>
      <c r="B23" s="32"/>
      <c r="C23" s="33"/>
      <c r="D23" s="38" t="s">
        <v>326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9">
        <f>IF(COUNT(E23:P23)=0,"",AVERAGE(E23:P23))</f>
        <v>0</v>
      </c>
      <c r="R23" s="50">
        <f>IF(COUNT(E23:P23)=0,"",MIN(E23:P23))</f>
        <v>0</v>
      </c>
      <c r="S23" s="50">
        <f>IF(COUNT(E23:P23)=0,"",MAX(E23:P23))</f>
        <v>0</v>
      </c>
    </row>
    <row r="24" spans="1:24" ht="17" customHeight="1">
      <c r="A24" s="24" t="s">
        <v>336</v>
      </c>
      <c r="B24" s="39" t="s">
        <v>56</v>
      </c>
      <c r="C24" s="40" t="s">
        <v>50</v>
      </c>
      <c r="D24" s="41" t="s">
        <v>324</v>
      </c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49">
        <f>IF(COUNT(E24:P24)=0,"",AVERAGE(E24:P24))</f>
        <v>0</v>
      </c>
      <c r="R24" s="52">
        <f>IF(COUNT(E24:P24)=0,"",MIN(E24:P24))</f>
        <v>0</v>
      </c>
      <c r="S24" s="52">
        <f>IF(COUNT(E24:P24)=0,"",MAX(E24:P24))</f>
        <v>0</v>
      </c>
    </row>
    <row r="25" spans="1:24" ht="17" customHeight="1">
      <c r="A25" s="24" t="s">
        <v>337</v>
      </c>
      <c r="B25" s="39"/>
      <c r="C25" s="40"/>
      <c r="D25" s="44" t="s">
        <v>326</v>
      </c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49">
        <f>IF(COUNT(E25:P25)=0,"",AVERAGE(E25:P25))</f>
        <v>0</v>
      </c>
      <c r="R25" s="52">
        <f>IF(COUNT(E25:P25)=0,"",MIN(E25:P25))</f>
        <v>0</v>
      </c>
      <c r="S25" s="52">
        <f>IF(COUNT(E25:P25)=0,"",MAX(E25:P25))</f>
        <v>0</v>
      </c>
    </row>
    <row r="26" spans="1:24" ht="18" customHeight="1">
      <c r="A26" s="24" t="s">
        <v>338</v>
      </c>
      <c r="B26" s="31" t="s">
        <v>59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</row>
    <row r="27" spans="1:24" ht="17" customHeight="1">
      <c r="A27" s="24" t="s">
        <v>339</v>
      </c>
      <c r="B27" s="32" t="s">
        <v>60</v>
      </c>
      <c r="C27" s="33" t="s">
        <v>50</v>
      </c>
      <c r="D27" s="34" t="s">
        <v>340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9">
        <f>IF(COUNT(E27:P27)=0,"",AVERAGE(E27:P27))</f>
        <v>0</v>
      </c>
      <c r="R27" s="50">
        <f>IF(COUNT(E27:P27)=0,"",MIN(E27:P27))</f>
        <v>0</v>
      </c>
      <c r="S27" s="50">
        <f>IF(COUNT(E27:P27)=0,"",MAX(E27:P27))</f>
        <v>0</v>
      </c>
      <c r="W27">
        <f>IFERROR(IF(INDEX('Limites'!$R:$R,MATCH(IF(gProdUS3="",gProdUS4,gProdUS3),'Limites'!$B:$B,0))="","",INDEX('Limites'!$R:$R,MATCH(IF(gProdUS3="",gProdUS4,gProdUS3),'Limites'!$B:$B,0))),"")</f>
        <v>0</v>
      </c>
      <c r="X27">
        <f>IFERROR(IF(INDEX('Limites'!$S:$S,MATCH(IF(gProdUS3="",gProdUS4,gProdUS3),'Limites'!$B:$B,0))="","",INDEX('Limites'!$S:$S,MATCH(IF(gProdUS3="",gProdUS4,gProdUS3),'Limites'!$B:$B,0))),"")</f>
        <v>0</v>
      </c>
    </row>
    <row r="28" spans="1:24" ht="17" customHeight="1">
      <c r="A28" s="24" t="s">
        <v>341</v>
      </c>
      <c r="B28" s="39" t="s">
        <v>62</v>
      </c>
      <c r="C28" s="40" t="s">
        <v>50</v>
      </c>
      <c r="D28" s="41" t="s">
        <v>340</v>
      </c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49">
        <f>IF(COUNT(E28:P28)=0,"",AVERAGE(E28:P28))</f>
        <v>0</v>
      </c>
      <c r="R28" s="52">
        <f>IF(COUNT(E28:P28)=0,"",MIN(E28:P28))</f>
        <v>0</v>
      </c>
      <c r="S28" s="52">
        <f>IF(COUNT(E28:P28)=0,"",MAX(E28:P28))</f>
        <v>0</v>
      </c>
      <c r="W28">
        <f>IFERROR(IF(INDEX('Limites'!$P:$P,MATCH(IF(gProdUS3="",gProdUS4,gProdUS3),'Limites'!$B:$B,0))="","",INDEX('Limites'!$P:$P,MATCH(IF(gProdUS3="",gProdUS4,gProdUS3),'Limites'!$B:$B,0))),"")</f>
        <v>0</v>
      </c>
      <c r="X28">
        <f>IFERROR(IF(INDEX('Limites'!$Q:$Q,MATCH(IF(gProdUS3="",gProdUS4,gProdUS3),'Limites'!$B:$B,0))="","",INDEX('Limites'!$Q:$Q,MATCH(IF(gProdUS3="",gProdUS4,gProdUS3),'Limites'!$B:$B,0))),"")</f>
        <v>0</v>
      </c>
    </row>
    <row r="29" spans="1:24" ht="17" customHeight="1">
      <c r="A29" s="24" t="s">
        <v>342</v>
      </c>
      <c r="B29" s="32" t="s">
        <v>64</v>
      </c>
      <c r="C29" s="33" t="s">
        <v>50</v>
      </c>
      <c r="D29" s="34" t="s">
        <v>340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9">
        <f>IF(COUNT(E29:P29)=0,"",AVERAGE(E29:P29))</f>
        <v>0</v>
      </c>
      <c r="R29" s="50">
        <f>IF(COUNT(E29:P29)=0,"",MIN(E29:P29))</f>
        <v>0</v>
      </c>
      <c r="S29" s="50">
        <f>IF(COUNT(E29:P29)=0,"",MAX(E29:P29))</f>
        <v>0</v>
      </c>
    </row>
    <row r="30" spans="1:24" ht="18" customHeight="1">
      <c r="A30" s="24" t="s">
        <v>343</v>
      </c>
      <c r="B30" s="31" t="s">
        <v>66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344</v>
      </c>
      <c r="B31" s="39" t="s">
        <v>67</v>
      </c>
      <c r="C31" s="40" t="s">
        <v>50</v>
      </c>
      <c r="D31" s="41" t="s">
        <v>340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9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</row>
    <row r="32" spans="1:24" ht="18" customHeight="1">
      <c r="A32" s="24" t="s">
        <v>345</v>
      </c>
      <c r="B32" s="31" t="s">
        <v>69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</row>
    <row r="33" spans="1:24" ht="17" customHeight="1">
      <c r="A33" s="24" t="s">
        <v>346</v>
      </c>
      <c r="B33" s="32" t="s">
        <v>62</v>
      </c>
      <c r="C33" s="33" t="s">
        <v>50</v>
      </c>
      <c r="D33" s="34" t="s">
        <v>324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9">
        <f>IF(COUNT(E33:P33)=0,"",AVERAGE(E33:P33))</f>
        <v>0</v>
      </c>
      <c r="R33" s="50">
        <f>IF(COUNT(E33:P33)=0,"",MIN(E33:P33))</f>
        <v>0</v>
      </c>
      <c r="S33" s="50">
        <f>IF(COUNT(E33:P33)=0,"",MAX(E33:P33))</f>
        <v>0</v>
      </c>
      <c r="W33">
        <f>IFERROR(IF(INDEX('Limites'!$D:$D,MATCH(gProdUS3,'Limites'!$B:$B,0))="","",INDEX('Limites'!$D:$D,MATCH(gProdUS3,'Limites'!$B:$B,0))),"")</f>
        <v>0</v>
      </c>
      <c r="X33">
        <f>IFERROR(IF(INDEX('Limites'!$E:$E,MATCH(gProdUS3,'Limites'!$B:$B,0))="","",INDEX('Limites'!$E:$E,MATCH(gProdUS3,'Limites'!$B:$B,0))),"")</f>
        <v>0</v>
      </c>
    </row>
    <row r="34" spans="1:24" ht="17" customHeight="1">
      <c r="A34" s="24" t="s">
        <v>347</v>
      </c>
      <c r="B34" s="32"/>
      <c r="C34" s="33"/>
      <c r="D34" s="38" t="s">
        <v>326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9">
        <f>IF(COUNT(E34:P34)=0,"",AVERAGE(E34:P34))</f>
        <v>0</v>
      </c>
      <c r="R34" s="50">
        <f>IF(COUNT(E34:P34)=0,"",MIN(E34:P34))</f>
        <v>0</v>
      </c>
      <c r="S34" s="50">
        <f>IF(COUNT(E34:P34)=0,"",MAX(E34:P34))</f>
        <v>0</v>
      </c>
      <c r="W34">
        <f>IFERROR(IF(INDEX('Limites'!$D:$D,MATCH(gProdUS4,'Limites'!$B:$B,0))="","",INDEX('Limites'!$D:$D,MATCH(gProdUS4,'Limites'!$B:$B,0))),"")</f>
        <v>0</v>
      </c>
      <c r="X34">
        <f>IFERROR(IF(INDEX('Limites'!$E:$E,MATCH(gProdUS4,'Limites'!$B:$B,0))="","",INDEX('Limites'!$E:$E,MATCH(gProdUS4,'Limites'!$B:$B,0))),"")</f>
        <v>0</v>
      </c>
    </row>
    <row r="35" spans="1:24" ht="17" customHeight="1">
      <c r="A35" s="24" t="s">
        <v>348</v>
      </c>
      <c r="B35" s="39" t="s">
        <v>64</v>
      </c>
      <c r="C35" s="40" t="s">
        <v>50</v>
      </c>
      <c r="D35" s="41" t="s">
        <v>324</v>
      </c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49">
        <f>IF(COUNT(E35:P35)=0,"",AVERAGE(E35:P35))</f>
        <v>0</v>
      </c>
      <c r="R35" s="52">
        <f>IF(COUNT(E35:P35)=0,"",MIN(E35:P35))</f>
        <v>0</v>
      </c>
      <c r="S35" s="52">
        <f>IF(COUNT(E35:P35)=0,"",MAX(E35:P35))</f>
        <v>0</v>
      </c>
      <c r="W35">
        <f>IFERROR(IF(INDEX('Limites'!$F:$F,MATCH(gProdUS3,'Limites'!$B:$B,0))="","",INDEX('Limites'!$F:$F,MATCH(gProdUS3,'Limites'!$B:$B,0))),"")</f>
        <v>0</v>
      </c>
      <c r="X35">
        <f>IFERROR(IF(INDEX('Limites'!$G:$G,MATCH(gProdUS3,'Limites'!$B:$B,0))="","",INDEX('Limites'!$G:$G,MATCH(gProdUS3,'Limites'!$B:$B,0))),"")</f>
        <v>0</v>
      </c>
    </row>
    <row r="36" spans="1:24" ht="17" customHeight="1">
      <c r="A36" s="24" t="s">
        <v>349</v>
      </c>
      <c r="B36" s="39"/>
      <c r="C36" s="40"/>
      <c r="D36" s="44" t="s">
        <v>326</v>
      </c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49">
        <f>IF(COUNT(E36:P36)=0,"",AVERAGE(E36:P36))</f>
        <v>0</v>
      </c>
      <c r="R36" s="52">
        <f>IF(COUNT(E36:P36)=0,"",MIN(E36:P36))</f>
        <v>0</v>
      </c>
      <c r="S36" s="52">
        <f>IF(COUNT(E36:P36)=0,"",MAX(E36:P36))</f>
        <v>0</v>
      </c>
      <c r="W36">
        <f>IFERROR(IF(INDEX('Limites'!$F:$F,MATCH(gProdUS4,'Limites'!$B:$B,0))="","",INDEX('Limites'!$F:$F,MATCH(gProdUS4,'Limites'!$B:$B,0))),"")</f>
        <v>0</v>
      </c>
      <c r="X36">
        <f>IFERROR(IF(INDEX('Limites'!$G:$G,MATCH(gProdUS4,'Limites'!$B:$B,0))="","",INDEX('Limites'!$G:$G,MATCH(gProdUS4,'Limites'!$B:$B,0))),"")</f>
        <v>0</v>
      </c>
    </row>
    <row r="37" spans="1:24" ht="17" customHeight="1">
      <c r="A37" s="24" t="s">
        <v>350</v>
      </c>
      <c r="B37" s="32" t="s">
        <v>74</v>
      </c>
      <c r="C37" s="33" t="s">
        <v>75</v>
      </c>
      <c r="D37" s="34" t="s">
        <v>324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9">
        <f>IF(COUNT(E37:P37)=0,"",AVERAGE(E37:P37))</f>
        <v>0</v>
      </c>
      <c r="R37" s="50">
        <f>IF(COUNT(E37:P37)=0,"",MIN(E37:P37))</f>
        <v>0</v>
      </c>
      <c r="S37" s="50">
        <f>IF(COUNT(E37:P37)=0,"",MAX(E37:P37))</f>
        <v>0</v>
      </c>
      <c r="W37">
        <f>IFERROR(IF(INDEX('Limites'!$H:$H,MATCH(gProdUS3,'Limites'!$B:$B,0))="","",INDEX('Limites'!$H:$H,MATCH(gProdUS3,'Limites'!$B:$B,0))),"")</f>
        <v>0</v>
      </c>
      <c r="X37">
        <f>IFERROR(IF(INDEX('Limites'!$I:$I,MATCH(gProdUS3,'Limites'!$B:$B,0))="","",INDEX('Limites'!$I:$I,MATCH(gProdUS3,'Limites'!$B:$B,0))),"")</f>
        <v>0</v>
      </c>
    </row>
    <row r="38" spans="1:24" ht="17" customHeight="1">
      <c r="A38" s="24" t="s">
        <v>351</v>
      </c>
      <c r="B38" s="32"/>
      <c r="C38" s="33"/>
      <c r="D38" s="38" t="s">
        <v>326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9">
        <f>IF(COUNT(E38:P38)=0,"",AVERAGE(E38:P38))</f>
        <v>0</v>
      </c>
      <c r="R38" s="50">
        <f>IF(COUNT(E38:P38)=0,"",MIN(E38:P38))</f>
        <v>0</v>
      </c>
      <c r="S38" s="50">
        <f>IF(COUNT(E38:P38)=0,"",MAX(E38:P38))</f>
        <v>0</v>
      </c>
      <c r="W38">
        <f>IFERROR(IF(INDEX('Limites'!$H:$H,MATCH(gProdUS4,'Limites'!$B:$B,0))="","",INDEX('Limites'!$H:$H,MATCH(gProdUS4,'Limites'!$B:$B,0))),"")</f>
        <v>0</v>
      </c>
      <c r="X38">
        <f>IFERROR(IF(INDEX('Limites'!$I:$I,MATCH(gProdUS4,'Limites'!$B:$B,0))="","",INDEX('Limites'!$I:$I,MATCH(gProdUS4,'Limites'!$B:$B,0))),"")</f>
        <v>0</v>
      </c>
    </row>
    <row r="39" spans="1:24" ht="17" customHeight="1">
      <c r="A39" s="24" t="s">
        <v>352</v>
      </c>
      <c r="B39" s="39" t="s">
        <v>78</v>
      </c>
      <c r="C39" s="40" t="s">
        <v>79</v>
      </c>
      <c r="D39" s="41" t="s">
        <v>324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6">
        <f>IF(COUNT(E39:P39)=0,"",AVERAGE(E39:P39))</f>
        <v>0</v>
      </c>
      <c r="R39" s="47">
        <f>IF(COUNT(E39:P39)=0,"",MIN(E39:P39))</f>
        <v>0</v>
      </c>
      <c r="S39" s="47">
        <f>IF(COUNT(E39:P39)=0,"",MAX(E39:P39))</f>
        <v>0</v>
      </c>
    </row>
    <row r="40" spans="1:24" ht="17" customHeight="1">
      <c r="A40" s="24" t="s">
        <v>353</v>
      </c>
      <c r="B40" s="39"/>
      <c r="C40" s="40"/>
      <c r="D40" s="44" t="s">
        <v>326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6">
        <f>IF(COUNT(E40:P40)=0,"",AVERAGE(E40:P40))</f>
        <v>0</v>
      </c>
      <c r="R40" s="47">
        <f>IF(COUNT(E40:P40)=0,"",MIN(E40:P40))</f>
        <v>0</v>
      </c>
      <c r="S40" s="47">
        <f>IF(COUNT(E40:P40)=0,"",MAX(E40:P40))</f>
        <v>0</v>
      </c>
    </row>
    <row r="41" spans="1:24" ht="17" customHeight="1">
      <c r="A41" s="24" t="s">
        <v>354</v>
      </c>
      <c r="B41" s="32" t="s">
        <v>82</v>
      </c>
      <c r="C41" s="33" t="s">
        <v>50</v>
      </c>
      <c r="D41" s="34" t="s">
        <v>324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9">
        <f>IF(COUNT(E41:P41)=0,"",AVERAGE(E41:P41))</f>
        <v>0</v>
      </c>
      <c r="R41" s="50">
        <f>IF(COUNT(E41:P41)=0,"",MIN(E41:P41))</f>
        <v>0</v>
      </c>
      <c r="S41" s="50">
        <f>IF(COUNT(E41:P41)=0,"",MAX(E41:P41))</f>
        <v>0</v>
      </c>
    </row>
    <row r="42" spans="1:24" ht="17" customHeight="1">
      <c r="A42" s="24" t="s">
        <v>355</v>
      </c>
      <c r="B42" s="32"/>
      <c r="C42" s="33"/>
      <c r="D42" s="38" t="s">
        <v>326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9">
        <f>IF(COUNT(E42:P42)=0,"",AVERAGE(E42:P42))</f>
        <v>0</v>
      </c>
      <c r="R42" s="50">
        <f>IF(COUNT(E42:P42)=0,"",MIN(E42:P42))</f>
        <v>0</v>
      </c>
      <c r="S42" s="50">
        <f>IF(COUNT(E42:P42)=0,"",MAX(E42:P42))</f>
        <v>0</v>
      </c>
    </row>
    <row r="43" spans="1:24" ht="18" customHeight="1">
      <c r="A43" s="24" t="s">
        <v>356</v>
      </c>
      <c r="B43" s="31" t="s">
        <v>85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</row>
    <row r="44" spans="1:24" ht="17" customHeight="1">
      <c r="A44" s="24" t="s">
        <v>357</v>
      </c>
      <c r="B44" s="39" t="s">
        <v>67</v>
      </c>
      <c r="C44" s="40" t="s">
        <v>50</v>
      </c>
      <c r="D44" s="41" t="s">
        <v>324</v>
      </c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49">
        <f>IF(COUNT(E44:P44)=0,"",AVERAGE(E44:P44))</f>
        <v>0</v>
      </c>
      <c r="R44" s="52">
        <f>IF(COUNT(E44:P44)=0,"",MIN(E44:P44))</f>
        <v>0</v>
      </c>
      <c r="S44" s="52">
        <f>IF(COUNT(E44:P44)=0,"",MAX(E44:P44))</f>
        <v>0</v>
      </c>
    </row>
    <row r="45" spans="1:24" ht="17" customHeight="1">
      <c r="A45" s="24" t="s">
        <v>358</v>
      </c>
      <c r="B45" s="39"/>
      <c r="C45" s="40"/>
      <c r="D45" s="44" t="s">
        <v>326</v>
      </c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49">
        <f>IF(COUNT(E45:P45)=0,"",AVERAGE(E45:P45))</f>
        <v>0</v>
      </c>
      <c r="R45" s="52">
        <f>IF(COUNT(E45:P45)=0,"",MIN(E45:P45))</f>
        <v>0</v>
      </c>
      <c r="S45" s="52">
        <f>IF(COUNT(E45:P45)=0,"",MAX(E45:P45))</f>
        <v>0</v>
      </c>
    </row>
    <row r="46" spans="1:24" ht="17" customHeight="1">
      <c r="A46" s="24" t="s">
        <v>359</v>
      </c>
      <c r="B46" s="32" t="s">
        <v>88</v>
      </c>
      <c r="C46" s="33" t="s">
        <v>89</v>
      </c>
      <c r="D46" s="34" t="s">
        <v>324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46">
        <f>IF(COUNT(E46:P46)=0,"",AVERAGE(E46:P46))</f>
        <v>0</v>
      </c>
      <c r="R46" s="54">
        <f>IF(COUNT(E46:P46)=0,"",MIN(E46:P46))</f>
        <v>0</v>
      </c>
      <c r="S46" s="54">
        <f>IF(COUNT(E46:P46)=0,"",MAX(E46:P46))</f>
        <v>0</v>
      </c>
    </row>
    <row r="47" spans="1:24" ht="17" customHeight="1">
      <c r="A47" s="24" t="s">
        <v>360</v>
      </c>
      <c r="B47" s="32"/>
      <c r="C47" s="33"/>
      <c r="D47" s="38" t="s">
        <v>326</v>
      </c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46">
        <f>IF(COUNT(E47:P47)=0,"",AVERAGE(E47:P47))</f>
        <v>0</v>
      </c>
      <c r="R47" s="54">
        <f>IF(COUNT(E47:P47)=0,"",MIN(E47:P47))</f>
        <v>0</v>
      </c>
      <c r="S47" s="54">
        <f>IF(COUNT(E47:P47)=0,"",MAX(E47:P47))</f>
        <v>0</v>
      </c>
    </row>
    <row r="48" spans="1:24" ht="17" customHeight="1">
      <c r="A48" s="24" t="s">
        <v>361</v>
      </c>
      <c r="B48" s="39" t="s">
        <v>92</v>
      </c>
      <c r="C48" s="40" t="s">
        <v>93</v>
      </c>
      <c r="D48" s="41" t="s">
        <v>324</v>
      </c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49">
        <f>IF(COUNT(E48:P48)=0,"",AVERAGE(E48:P48))</f>
        <v>0</v>
      </c>
      <c r="R48" s="52">
        <f>IF(COUNT(E48:P48)=0,"",MIN(E48:P48))</f>
        <v>0</v>
      </c>
      <c r="S48" s="52">
        <f>IF(COUNT(E48:P48)=0,"",MAX(E48:P48))</f>
        <v>0</v>
      </c>
    </row>
    <row r="49" spans="1:24" ht="17" customHeight="1">
      <c r="A49" s="24" t="s">
        <v>362</v>
      </c>
      <c r="B49" s="39"/>
      <c r="C49" s="40"/>
      <c r="D49" s="44" t="s">
        <v>326</v>
      </c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49">
        <f>IF(COUNT(E49:P49)=0,"",AVERAGE(E49:P49))</f>
        <v>0</v>
      </c>
      <c r="R49" s="52">
        <f>IF(COUNT(E49:P49)=0,"",MIN(E49:P49))</f>
        <v>0</v>
      </c>
      <c r="S49" s="52">
        <f>IF(COUNT(E49:P49)=0,"",MAX(E49:P49))</f>
        <v>0</v>
      </c>
    </row>
    <row r="50" spans="1:24" ht="17" customHeight="1">
      <c r="A50" s="24" t="s">
        <v>363</v>
      </c>
      <c r="B50" s="32" t="s">
        <v>96</v>
      </c>
      <c r="C50" s="33" t="s">
        <v>93</v>
      </c>
      <c r="D50" s="34" t="s">
        <v>324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9">
        <f>IF(COUNT(E50:P50)=0,"",AVERAGE(E50:P50))</f>
        <v>0</v>
      </c>
      <c r="R50" s="50">
        <f>IF(COUNT(E50:P50)=0,"",MIN(E50:P50))</f>
        <v>0</v>
      </c>
      <c r="S50" s="50">
        <f>IF(COUNT(E50:P50)=0,"",MAX(E50:P50))</f>
        <v>0</v>
      </c>
    </row>
    <row r="51" spans="1:24" ht="17" customHeight="1">
      <c r="A51" s="24" t="s">
        <v>364</v>
      </c>
      <c r="B51" s="32"/>
      <c r="C51" s="33"/>
      <c r="D51" s="38" t="s">
        <v>326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9">
        <f>IF(COUNT(E51:P51)=0,"",AVERAGE(E51:P51))</f>
        <v>0</v>
      </c>
      <c r="R51" s="50">
        <f>IF(COUNT(E51:P51)=0,"",MIN(E51:P51))</f>
        <v>0</v>
      </c>
      <c r="S51" s="50">
        <f>IF(COUNT(E51:P51)=0,"",MAX(E51:P51))</f>
        <v>0</v>
      </c>
    </row>
    <row r="52" spans="1:24" ht="18" customHeight="1">
      <c r="A52" s="24" t="s">
        <v>365</v>
      </c>
      <c r="B52" s="31" t="s">
        <v>99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24" ht="17" customHeight="1">
      <c r="A53" s="24" t="s">
        <v>366</v>
      </c>
      <c r="B53" s="39" t="s">
        <v>100</v>
      </c>
      <c r="C53" s="40" t="s">
        <v>50</v>
      </c>
      <c r="D53" s="41" t="s">
        <v>324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6">
        <f>IF(COUNT(E53:P53)=0,"",AVERAGE(E53:P53))</f>
        <v>0</v>
      </c>
      <c r="R53" s="47">
        <f>IF(COUNT(E53:P53)=0,"",MIN(E53:P53))</f>
        <v>0</v>
      </c>
      <c r="S53" s="47">
        <f>IF(COUNT(E53:P53)=0,"",MAX(E53:P53))</f>
        <v>0</v>
      </c>
    </row>
    <row r="54" spans="1:24" ht="17" customHeight="1">
      <c r="A54" s="24" t="s">
        <v>367</v>
      </c>
      <c r="B54" s="39"/>
      <c r="C54" s="40"/>
      <c r="D54" s="44" t="s">
        <v>326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6">
        <f>IF(COUNT(E54:P54)=0,"",AVERAGE(E54:P54))</f>
        <v>0</v>
      </c>
      <c r="R54" s="47">
        <f>IF(COUNT(E54:P54)=0,"",MIN(E54:P54))</f>
        <v>0</v>
      </c>
      <c r="S54" s="47">
        <f>IF(COUNT(E54:P54)=0,"",MAX(E54:P54))</f>
        <v>0</v>
      </c>
    </row>
    <row r="55" spans="1:24" ht="17" customHeight="1">
      <c r="A55" s="24" t="s">
        <v>368</v>
      </c>
      <c r="B55" s="32" t="s">
        <v>103</v>
      </c>
      <c r="C55" s="33" t="s">
        <v>75</v>
      </c>
      <c r="D55" s="34" t="s">
        <v>324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9">
        <f>IF(COUNT(E55:P55)=0,"",AVERAGE(E55:P55))</f>
        <v>0</v>
      </c>
      <c r="R55" s="50">
        <f>IF(COUNT(E55:P55)=0,"",MIN(E55:P55))</f>
        <v>0</v>
      </c>
      <c r="S55" s="50">
        <f>IF(COUNT(E55:P55)=0,"",MAX(E55:P55))</f>
        <v>0</v>
      </c>
      <c r="W55">
        <f>IFERROR(IF(INDEX('Limites'!$N:$N,MATCH(gProdUS3,'Limites'!$B:$B,0))="","",INDEX('Limites'!$N:$N,MATCH(gProdUS3,'Limites'!$B:$B,0))),"")</f>
        <v>0</v>
      </c>
      <c r="X55">
        <f>IFERROR(IF(INDEX('Limites'!$O:$O,MATCH(gProdUS3,'Limites'!$B:$B,0))="","",INDEX('Limites'!$O:$O,MATCH(gProdUS3,'Limites'!$B:$B,0))),"")</f>
        <v>0</v>
      </c>
    </row>
    <row r="56" spans="1:24" ht="17" customHeight="1">
      <c r="A56" s="24" t="s">
        <v>369</v>
      </c>
      <c r="B56" s="32"/>
      <c r="C56" s="33"/>
      <c r="D56" s="38" t="s">
        <v>326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9">
        <f>IF(COUNT(E56:P56)=0,"",AVERAGE(E56:P56))</f>
        <v>0</v>
      </c>
      <c r="R56" s="50">
        <f>IF(COUNT(E56:P56)=0,"",MIN(E56:P56))</f>
        <v>0</v>
      </c>
      <c r="S56" s="50">
        <f>IF(COUNT(E56:P56)=0,"",MAX(E56:P56))</f>
        <v>0</v>
      </c>
      <c r="W56">
        <f>IFERROR(IF(INDEX('Limites'!$N:$N,MATCH(gProdUS4,'Limites'!$B:$B,0))="","",INDEX('Limites'!$N:$N,MATCH(gProdUS4,'Limites'!$B:$B,0))),"")</f>
        <v>0</v>
      </c>
      <c r="X56">
        <f>IFERROR(IF(INDEX('Limites'!$O:$O,MATCH(gProdUS4,'Limites'!$B:$B,0))="","",INDEX('Limites'!$O:$O,MATCH(gProdUS4,'Limites'!$B:$B,0))),"")</f>
        <v>0</v>
      </c>
    </row>
    <row r="57" spans="1:24" ht="17" customHeight="1">
      <c r="A57" s="24" t="s">
        <v>370</v>
      </c>
      <c r="B57" s="39" t="s">
        <v>106</v>
      </c>
      <c r="C57" s="40" t="s">
        <v>50</v>
      </c>
      <c r="D57" s="41" t="s">
        <v>324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6">
        <f>IF(COUNT(E57:P57)=0,"",AVERAGE(E57:P57))</f>
        <v>0</v>
      </c>
      <c r="R57" s="47">
        <f>IF(COUNT(E57:P57)=0,"",MIN(E57:P57))</f>
        <v>0</v>
      </c>
      <c r="S57" s="47">
        <f>IF(COUNT(E57:P57)=0,"",MAX(E57:P57))</f>
        <v>0</v>
      </c>
      <c r="W57">
        <f>IFERROR(IF(INDEX('Limites'!$J:$J,MATCH(gProdUS3,'Limites'!$B:$B,0))="","",INDEX('Limites'!$J:$J,MATCH(gProdUS3,'Limites'!$B:$B,0))),"")</f>
        <v>0</v>
      </c>
      <c r="X57">
        <f>IFERROR(IF(INDEX('Limites'!$K:$K,MATCH(gProdUS3,'Limites'!$B:$B,0))="","",INDEX('Limites'!$K:$K,MATCH(gProdUS3,'Limites'!$B:$B,0))),"")</f>
        <v>0</v>
      </c>
    </row>
    <row r="58" spans="1:24" ht="17" customHeight="1">
      <c r="A58" s="24" t="s">
        <v>371</v>
      </c>
      <c r="B58" s="39"/>
      <c r="C58" s="40"/>
      <c r="D58" s="44" t="s">
        <v>326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6">
        <f>IF(COUNT(E58:P58)=0,"",AVERAGE(E58:P58))</f>
        <v>0</v>
      </c>
      <c r="R58" s="47">
        <f>IF(COUNT(E58:P58)=0,"",MIN(E58:P58))</f>
        <v>0</v>
      </c>
      <c r="S58" s="47">
        <f>IF(COUNT(E58:P58)=0,"",MAX(E58:P58))</f>
        <v>0</v>
      </c>
      <c r="W58">
        <f>IFERROR(IF(INDEX('Limites'!$J:$J,MATCH(gProdUS4,'Limites'!$B:$B,0))="","",INDEX('Limites'!$J:$J,MATCH(gProdUS4,'Limites'!$B:$B,0))),"")</f>
        <v>0</v>
      </c>
      <c r="X58">
        <f>IFERROR(IF(INDEX('Limites'!$K:$K,MATCH(gProdUS4,'Limites'!$B:$B,0))="","",INDEX('Limites'!$K:$K,MATCH(gProdUS4,'Limites'!$B:$B,0))),"")</f>
        <v>0</v>
      </c>
    </row>
    <row r="59" spans="1:24" ht="17" customHeight="1">
      <c r="A59" s="24" t="s">
        <v>372</v>
      </c>
      <c r="B59" s="32" t="s">
        <v>109</v>
      </c>
      <c r="C59" s="33" t="s">
        <v>93</v>
      </c>
      <c r="D59" s="34" t="s">
        <v>324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IF(COUNT(E59:P59)=0,"",AVERAGE(E59:P59))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24" ht="17" customHeight="1">
      <c r="A60" s="24" t="s">
        <v>373</v>
      </c>
      <c r="B60" s="32"/>
      <c r="C60" s="33"/>
      <c r="D60" s="38" t="s">
        <v>326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IF(COUNT(E60:P60)=0,"",AVERAGE(E60:P60))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24" ht="17" customHeight="1">
      <c r="A61" s="24" t="s">
        <v>374</v>
      </c>
      <c r="B61" s="39" t="s">
        <v>112</v>
      </c>
      <c r="C61" s="40" t="s">
        <v>50</v>
      </c>
      <c r="D61" s="41" t="s">
        <v>324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36">
        <f>IF(COUNT(E61:P61)=0,"",AVERAGE(E61:P61))</f>
        <v>0</v>
      </c>
      <c r="R61" s="43">
        <f>IF(COUNT(E61:P61)=0,"",MIN(E61:P61))</f>
        <v>0</v>
      </c>
      <c r="S61" s="43">
        <f>IF(COUNT(E61:P61)=0,"",MAX(E61:P61))</f>
        <v>0</v>
      </c>
    </row>
    <row r="62" spans="1:24" ht="17" customHeight="1">
      <c r="A62" s="24" t="s">
        <v>375</v>
      </c>
      <c r="B62" s="39"/>
      <c r="C62" s="40"/>
      <c r="D62" s="44" t="s">
        <v>326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36">
        <f>IF(COUNT(E62:P62)=0,"",AVERAGE(E62:P62))</f>
        <v>0</v>
      </c>
      <c r="R62" s="43">
        <f>IF(COUNT(E62:P62)=0,"",MIN(E62:P62))</f>
        <v>0</v>
      </c>
      <c r="S62" s="43">
        <f>IF(COUNT(E62:P62)=0,"",MAX(E62:P62))</f>
        <v>0</v>
      </c>
    </row>
    <row r="63" spans="1:24" ht="17" customHeight="1">
      <c r="A63" s="24" t="s">
        <v>376</v>
      </c>
      <c r="B63" s="32" t="s">
        <v>115</v>
      </c>
      <c r="C63" s="33" t="s">
        <v>50</v>
      </c>
      <c r="D63" s="34" t="s">
        <v>324</v>
      </c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46">
        <f>IF(COUNT(E63:P63)=0,"",AVERAGE(E63:P63))</f>
        <v>0</v>
      </c>
      <c r="R63" s="54">
        <f>IF(COUNT(E63:P63)=0,"",MIN(E63:P63))</f>
        <v>0</v>
      </c>
      <c r="S63" s="54">
        <f>IF(COUNT(E63:P63)=0,"",MAX(E63:P63))</f>
        <v>0</v>
      </c>
      <c r="W63">
        <f>IFERROR(IF(INDEX('Limites'!$L:$L,MATCH(gProdUS3,'Limites'!$B:$B,0))="","",INDEX('Limites'!$L:$L,MATCH(gProdUS3,'Limites'!$B:$B,0))),"")</f>
        <v>0</v>
      </c>
      <c r="X63">
        <f>IFERROR(IF(INDEX('Limites'!$M:$M,MATCH(gProdUS3,'Limites'!$B:$B,0))="","",INDEX('Limites'!$M:$M,MATCH(gProdUS3,'Limites'!$B:$B,0))),"")</f>
        <v>0</v>
      </c>
    </row>
    <row r="64" spans="1:24" ht="17" customHeight="1">
      <c r="A64" s="24" t="s">
        <v>377</v>
      </c>
      <c r="B64" s="32"/>
      <c r="C64" s="33"/>
      <c r="D64" s="38" t="s">
        <v>326</v>
      </c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46">
        <f>IF(COUNT(E64:P64)=0,"",AVERAGE(E64:P64))</f>
        <v>0</v>
      </c>
      <c r="R64" s="54">
        <f>IF(COUNT(E64:P64)=0,"",MIN(E64:P64))</f>
        <v>0</v>
      </c>
      <c r="S64" s="54">
        <f>IF(COUNT(E64:P64)=0,"",MAX(E64:P64))</f>
        <v>0</v>
      </c>
      <c r="W64">
        <f>IFERROR(IF(INDEX('Limites'!$L:$L,MATCH(gProdUS4,'Limites'!$B:$B,0))="","",INDEX('Limites'!$L:$L,MATCH(gProdUS4,'Limites'!$B:$B,0))),"")</f>
        <v>0</v>
      </c>
      <c r="X64">
        <f>IFERROR(IF(INDEX('Limites'!$M:$M,MATCH(gProdUS4,'Limites'!$B:$B,0))="","",INDEX('Limites'!$M:$M,MATCH(gProdUS4,'Limites'!$B:$B,0))),"")</f>
        <v>0</v>
      </c>
    </row>
    <row r="65" spans="1:19" ht="18" customHeight="1">
      <c r="A65" s="24" t="s">
        <v>378</v>
      </c>
      <c r="B65" s="31" t="s">
        <v>118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</row>
    <row r="66" spans="1:19" ht="17" customHeight="1">
      <c r="A66" s="24" t="s">
        <v>379</v>
      </c>
      <c r="B66" s="39" t="s">
        <v>118</v>
      </c>
      <c r="C66" s="40" t="s">
        <v>119</v>
      </c>
      <c r="D66" s="41" t="s">
        <v>324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36">
        <f>IF(COUNT(E66:P66)=0,"",SUM(E66:P66))</f>
        <v>0</v>
      </c>
      <c r="R66" s="43">
        <f>IF(COUNT(E66:P66)=0,"",MIN(E66:P66))</f>
        <v>0</v>
      </c>
      <c r="S66" s="43">
        <f>IF(COUNT(E66:P66)=0,"",MAX(E66:P66))</f>
        <v>0</v>
      </c>
    </row>
    <row r="67" spans="1:19" ht="17" customHeight="1">
      <c r="A67" s="24" t="s">
        <v>380</v>
      </c>
      <c r="B67" s="39"/>
      <c r="C67" s="40"/>
      <c r="D67" s="44" t="s">
        <v>326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36">
        <f>IF(COUNT(E67:P67)=0,"",SUM(E67:P67))</f>
        <v>0</v>
      </c>
      <c r="R67" s="43">
        <f>IF(COUNT(E67:P67)=0,"",MIN(E67:P67))</f>
        <v>0</v>
      </c>
      <c r="S67" s="43">
        <f>IF(COUNT(E67:P67)=0,"",MAX(E67:P67))</f>
        <v>0</v>
      </c>
    </row>
    <row r="68" spans="1:19" ht="17" customHeight="1">
      <c r="A68" s="24" t="s">
        <v>381</v>
      </c>
      <c r="B68" s="32" t="s">
        <v>123</v>
      </c>
      <c r="C68" s="33" t="s">
        <v>124</v>
      </c>
      <c r="D68" s="34" t="s">
        <v>324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6">
        <f>IF(COUNT(E68:P68)=0,"",LOOKUP(2,1/ISNUMBER(E68:P68),E68:P68))</f>
        <v>0</v>
      </c>
      <c r="R68" s="37">
        <f>IF(COUNT(E68:P68)=0,"",MIN(E68:P68))</f>
        <v>0</v>
      </c>
      <c r="S68" s="37">
        <f>IF(COUNT(E68:P68)=0,"",MAX(E68:P68))</f>
        <v>0</v>
      </c>
    </row>
    <row r="69" spans="1:19" ht="17" customHeight="1">
      <c r="A69" s="24" t="s">
        <v>382</v>
      </c>
      <c r="B69" s="32"/>
      <c r="C69" s="33"/>
      <c r="D69" s="38" t="s">
        <v>326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6">
        <f>IF(COUNT(E69:P69)=0,"",LOOKUP(2,1/ISNUMBER(E69:P69),E69:P69))</f>
        <v>0</v>
      </c>
      <c r="R69" s="37">
        <f>IF(COUNT(E69:P69)=0,"",MIN(E69:P69))</f>
        <v>0</v>
      </c>
      <c r="S69" s="37">
        <f>IF(COUNT(E69:P69)=0,"",MAX(E69:P69))</f>
        <v>0</v>
      </c>
    </row>
    <row r="70" spans="1:19" ht="17" customHeight="1">
      <c r="A70" s="24" t="s">
        <v>383</v>
      </c>
      <c r="B70" s="39" t="s">
        <v>128</v>
      </c>
      <c r="C70" s="40" t="s">
        <v>124</v>
      </c>
      <c r="D70" s="41" t="s">
        <v>324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36">
        <f>IF(COUNT(E70:P70)=0,"",LOOKUP(2,1/ISNUMBER(E70:P70),E70:P70))</f>
        <v>0</v>
      </c>
      <c r="R70" s="43">
        <f>IF(COUNT(E70:P70)=0,"",MIN(E70:P70))</f>
        <v>0</v>
      </c>
      <c r="S70" s="43">
        <f>IF(COUNT(E70:P70)=0,"",MAX(E70:P70))</f>
        <v>0</v>
      </c>
    </row>
    <row r="71" spans="1:19" ht="17" customHeight="1">
      <c r="A71" s="24" t="s">
        <v>384</v>
      </c>
      <c r="B71" s="39"/>
      <c r="C71" s="40"/>
      <c r="D71" s="44" t="s">
        <v>326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36">
        <f>IF(COUNT(E71:P71)=0,"",LOOKUP(2,1/ISNUMBER(E71:P71),E71:P71))</f>
        <v>0</v>
      </c>
      <c r="R71" s="43">
        <f>IF(COUNT(E71:P71)=0,"",MIN(E71:P71))</f>
        <v>0</v>
      </c>
      <c r="S71" s="43">
        <f>IF(COUNT(E71:P71)=0,"",MAX(E71:P71))</f>
        <v>0</v>
      </c>
    </row>
    <row r="72" spans="1:19" ht="16" customHeight="1">
      <c r="B72" s="63" t="s">
        <v>385</v>
      </c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</row>
  </sheetData>
  <sheetProtection sheet="1" objects="1" scenarios="1" formatColumns="0" formatRows="0"/>
  <mergeCells count="6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S15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S26"/>
    <mergeCell ref="B30:S30"/>
    <mergeCell ref="B32:S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S43"/>
    <mergeCell ref="B44:B45"/>
    <mergeCell ref="C44:C45"/>
    <mergeCell ref="B46:B47"/>
    <mergeCell ref="C46:C47"/>
    <mergeCell ref="B48:B49"/>
    <mergeCell ref="C48:C49"/>
    <mergeCell ref="B50:B51"/>
    <mergeCell ref="C50:C51"/>
    <mergeCell ref="B52:S52"/>
    <mergeCell ref="B53:B54"/>
    <mergeCell ref="C53:C54"/>
    <mergeCell ref="B55:B56"/>
    <mergeCell ref="C55:C56"/>
    <mergeCell ref="B57:B58"/>
    <mergeCell ref="C57:C58"/>
    <mergeCell ref="B59:B60"/>
    <mergeCell ref="C59:C60"/>
    <mergeCell ref="B61:B62"/>
    <mergeCell ref="C61:C62"/>
    <mergeCell ref="B63:B64"/>
    <mergeCell ref="C63:C64"/>
    <mergeCell ref="B65:S65"/>
    <mergeCell ref="B66:B67"/>
    <mergeCell ref="C66:C67"/>
    <mergeCell ref="B68:B69"/>
    <mergeCell ref="C68:C69"/>
    <mergeCell ref="B70:B71"/>
    <mergeCell ref="C70:C71"/>
    <mergeCell ref="B72:S72"/>
  </mergeCells>
  <conditionalFormatting sqref="E27:Q27">
    <cfRule type="expression" dxfId="1" priority="1">
      <formula>AND(ISNUMBER(E27),OR(AND(ISNUMBER($W27),ROUND(E27,2)&lt;$W27),AND(ISNUMBER($X27),ROUND(E27,2)&gt;$X27)))</formula>
    </cfRule>
    <cfRule type="expression" dxfId="2" priority="2">
      <formula>AND(ISNUMBER(E27),OR(ISNUMBER($W27),ISNUMBER($X27)),NOT(OR(AND(ISNUMBER($W27),ROUND(E27,2)&lt;$W27),AND(ISNUMBER($X27),ROUND(E27,2)&gt;$X27))))</formula>
    </cfRule>
  </conditionalFormatting>
  <conditionalFormatting sqref="E28:Q28">
    <cfRule type="expression" dxfId="1" priority="3">
      <formula>AND(ISNUMBER(E28),OR(AND(ISNUMBER($W28),ROUND(E28,2)&lt;$W28),AND(ISNUMBER($X28),ROUND(E28,2)&gt;$X28)))</formula>
    </cfRule>
    <cfRule type="expression" dxfId="2" priority="4">
      <formula>AND(ISNUMBER(E28),OR(ISNUMBER($W28),ISNUMBER($X28)),NOT(OR(AND(ISNUMBER($W28),ROUND(E28,2)&lt;$W28),AND(ISNUMBER($X28),ROUND(E28,2)&gt;$X28))))</formula>
    </cfRule>
  </conditionalFormatting>
  <conditionalFormatting sqref="E33:Q33">
    <cfRule type="expression" dxfId="1" priority="5">
      <formula>AND(ISNUMBER(E33),OR(AND(ISNUMBER($W33),ROUND(E33,2)&lt;$W33),AND(ISNUMBER($X33),ROUND(E33,2)&gt;$X33)))</formula>
    </cfRule>
    <cfRule type="expression" dxfId="2" priority="6">
      <formula>AND(ISNUMBER(E33),OR(ISNUMBER($W33),ISNUMBER($X33)),NOT(OR(AND(ISNUMBER($W33),ROUND(E33,2)&lt;$W33),AND(ISNUMBER($X33),ROUND(E33,2)&gt;$X33))))</formula>
    </cfRule>
  </conditionalFormatting>
  <conditionalFormatting sqref="E34:Q34">
    <cfRule type="expression" dxfId="1" priority="7">
      <formula>AND(ISNUMBER(E34),OR(AND(ISNUMBER($W34),ROUND(E34,2)&lt;$W34),AND(ISNUMBER($X34),ROUND(E34,2)&gt;$X34)))</formula>
    </cfRule>
    <cfRule type="expression" dxfId="2" priority="8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9">
      <formula>AND(ISNUMBER(E35),OR(AND(ISNUMBER($W35),ROUND(E35,2)&lt;$W35),AND(ISNUMBER($X35),ROUND(E35,2)&gt;$X35)))</formula>
    </cfRule>
    <cfRule type="expression" dxfId="2" priority="10">
      <formula>AND(ISNUMBER(E35),OR(ISNUMBER($W35),ISNUMBER($X35)),NOT(OR(AND(ISNUMBER($W35),ROUND(E35,2)&lt;$W35),AND(ISNUMBER($X35),ROUND(E35,2)&gt;$X35))))</formula>
    </cfRule>
  </conditionalFormatting>
  <conditionalFormatting sqref="E36:Q36">
    <cfRule type="expression" dxfId="1" priority="11">
      <formula>AND(ISNUMBER(E36),OR(AND(ISNUMBER($W36),ROUND(E36,2)&lt;$W36),AND(ISNUMBER($X36),ROUND(E36,2)&gt;$X36)))</formula>
    </cfRule>
    <cfRule type="expression" dxfId="2" priority="12">
      <formula>AND(ISNUMBER(E36),OR(ISNUMBER($W36),ISNUMBER($X36)),NOT(OR(AND(ISNUMBER($W36),ROUND(E36,2)&lt;$W36),AND(ISNUMBER($X36),ROUND(E36,2)&gt;$X36))))</formula>
    </cfRule>
  </conditionalFormatting>
  <conditionalFormatting sqref="E37:Q37">
    <cfRule type="expression" dxfId="1" priority="13">
      <formula>AND(ISNUMBER(E37),OR(AND(ISNUMBER($W37),ROUND(E37,2)&lt;$W37),AND(ISNUMBER($X37),ROUND(E37,2)&gt;$X37)))</formula>
    </cfRule>
    <cfRule type="expression" dxfId="2" priority="14">
      <formula>AND(ISNUMBER(E37),OR(ISNUMBER($W37),ISNUMBER($X37)),NOT(OR(AND(ISNUMBER($W37),ROUND(E37,2)&lt;$W37),AND(ISNUMBER($X37),ROUND(E37,2)&gt;$X37))))</formula>
    </cfRule>
  </conditionalFormatting>
  <conditionalFormatting sqref="E38:Q38">
    <cfRule type="expression" dxfId="1" priority="15">
      <formula>AND(ISNUMBER(E38),OR(AND(ISNUMBER($W38),ROUND(E38,2)&lt;$W38),AND(ISNUMBER($X38),ROUND(E38,2)&gt;$X38)))</formula>
    </cfRule>
    <cfRule type="expression" dxfId="2" priority="16">
      <formula>AND(ISNUMBER(E38),OR(ISNUMBER($W38),ISNUMBER($X38)),NOT(OR(AND(ISNUMBER($W38),ROUND(E38,2)&lt;$W38),AND(ISNUMBER($X38),ROUND(E38,2)&gt;$X38))))</formula>
    </cfRule>
  </conditionalFormatting>
  <conditionalFormatting sqref="E55:Q55">
    <cfRule type="expression" dxfId="1" priority="17">
      <formula>AND(ISNUMBER(E55),OR(AND(ISNUMBER($W55),ROUND(E55,2)&lt;$W55),AND(ISNUMBER($X55),ROUND(E55,2)&gt;$X55)))</formula>
    </cfRule>
    <cfRule type="expression" dxfId="2" priority="18">
      <formula>AND(ISNUMBER(E55),OR(ISNUMBER($W55),ISNUMBER($X55)),NOT(OR(AND(ISNUMBER($W55),ROUND(E55,2)&lt;$W55),AND(ISNUMBER($X55),ROUND(E55,2)&gt;$X55))))</formula>
    </cfRule>
  </conditionalFormatting>
  <conditionalFormatting sqref="E56:Q56">
    <cfRule type="expression" dxfId="1" priority="19">
      <formula>AND(ISNUMBER(E56),OR(AND(ISNUMBER($W56),ROUND(E56,2)&lt;$W56),AND(ISNUMBER($X56),ROUND(E56,2)&gt;$X56)))</formula>
    </cfRule>
    <cfRule type="expression" dxfId="2" priority="20">
      <formula>AND(ISNUMBER(E56),OR(ISNUMBER($W56),ISNUMBER($X56)),NOT(OR(AND(ISNUMBER($W56),ROUND(E56,2)&lt;$W56),AND(ISNUMBER($X56),ROUND(E56,2)&gt;$X56))))</formula>
    </cfRule>
  </conditionalFormatting>
  <conditionalFormatting sqref="E57:Q57">
    <cfRule type="expression" dxfId="1" priority="21">
      <formula>AND(ISNUMBER(E57),OR(AND(ISNUMBER($W57),ROUND(E57,1)&lt;$W57),AND(ISNUMBER($X57),ROUND(E57,1)&gt;$X57)))</formula>
    </cfRule>
    <cfRule type="expression" dxfId="2" priority="22">
      <formula>AND(ISNUMBER(E57),OR(ISNUMBER($W57),ISNUMBER($X57)),NOT(OR(AND(ISNUMBER($W57),ROUND(E57,1)&lt;$W57),AND(ISNUMBER($X57),ROUND(E57,1)&gt;$X57))))</formula>
    </cfRule>
  </conditionalFormatting>
  <conditionalFormatting sqref="E58:Q58">
    <cfRule type="expression" dxfId="1" priority="23">
      <formula>AND(ISNUMBER(E58),OR(AND(ISNUMBER($W58),ROUND(E58,1)&lt;$W58),AND(ISNUMBER($X58),ROUND(E58,1)&gt;$X58)))</formula>
    </cfRule>
    <cfRule type="expression" dxfId="2" priority="24">
      <formula>AND(ISNUMBER(E58),OR(ISNUMBER($W58),ISNUMBER($X58)),NOT(OR(AND(ISNUMBER($W58),ROUND(E58,1)&lt;$W58),AND(ISNUMBER($X58),ROUND(E58,1)&gt;$X58))))</formula>
    </cfRule>
  </conditionalFormatting>
  <conditionalFormatting sqref="E63:Q63">
    <cfRule type="expression" dxfId="1" priority="25">
      <formula>AND(ISNUMBER(E63),OR(AND(ISNUMBER($W63),ROUND(E63,1)&lt;$W63),AND(ISNUMBER($X63),ROUND(E63,1)&gt;$X63)))</formula>
    </cfRule>
    <cfRule type="expression" dxfId="2" priority="26">
      <formula>AND(ISNUMBER(E63),OR(ISNUMBER($W63),ISNUMBER($X63)),NOT(OR(AND(ISNUMBER($W63),ROUND(E63,1)&lt;$W63),AND(ISNUMBER($X63),ROUND(E63,1)&gt;$X63))))</formula>
    </cfRule>
  </conditionalFormatting>
  <conditionalFormatting sqref="E64:Q64">
    <cfRule type="expression" dxfId="1" priority="27">
      <formula>AND(ISNUMBER(E64),OR(AND(ISNUMBER($W64),ROUND(E64,1)&lt;$W64),AND(ISNUMBER($X64),ROUND(E64,1)&gt;$X64)))</formula>
    </cfRule>
    <cfRule type="expression" dxfId="2" priority="28">
      <formula>AND(ISNUMBER(E64),OR(ISNUMBER($W64),ISNUMBER($X64)),NOT(OR(AND(ISNUMBER($W64),ROUND(E64,1)&lt;$W64),AND(ISNUMBER($X64),ROUND(E64,1)&gt;$X64))))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162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163</v>
      </c>
      <c r="C7" s="30" t="s">
        <v>164</v>
      </c>
      <c r="D7" s="30" t="s">
        <v>165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166</v>
      </c>
      <c r="Q7" s="30"/>
      <c r="R7" s="30"/>
      <c r="S7" s="30"/>
    </row>
    <row r="8" spans="2:19">
      <c r="B8" s="30"/>
      <c r="C8" s="30"/>
      <c r="D8" s="65" t="s">
        <v>167</v>
      </c>
      <c r="E8" s="65" t="s">
        <v>168</v>
      </c>
      <c r="F8" s="65" t="s">
        <v>169</v>
      </c>
      <c r="G8" s="65" t="s">
        <v>170</v>
      </c>
      <c r="H8" s="65" t="s">
        <v>171</v>
      </c>
      <c r="I8" s="65" t="s">
        <v>172</v>
      </c>
      <c r="J8" s="65" t="s">
        <v>173</v>
      </c>
      <c r="K8" s="65" t="s">
        <v>174</v>
      </c>
      <c r="L8" s="65" t="s">
        <v>175</v>
      </c>
      <c r="M8" s="65" t="s">
        <v>176</v>
      </c>
      <c r="N8" s="65" t="s">
        <v>177</v>
      </c>
      <c r="O8" s="65" t="s">
        <v>178</v>
      </c>
      <c r="P8" s="65" t="s">
        <v>167</v>
      </c>
      <c r="Q8" s="65" t="s">
        <v>168</v>
      </c>
      <c r="R8" s="65" t="s">
        <v>179</v>
      </c>
      <c r="S8" s="65" t="s">
        <v>180</v>
      </c>
    </row>
    <row r="9" spans="2:19" ht="17" customHeight="1">
      <c r="B9" s="66" t="s">
        <v>181</v>
      </c>
      <c r="C9" s="21" t="s">
        <v>182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183</v>
      </c>
      <c r="C10" s="21" t="s">
        <v>184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185</v>
      </c>
      <c r="C11" s="21" t="s">
        <v>186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187</v>
      </c>
      <c r="C12" s="21" t="s">
        <v>186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188</v>
      </c>
      <c r="C13" s="21" t="s">
        <v>184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189</v>
      </c>
      <c r="C14" s="21" t="s">
        <v>184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190</v>
      </c>
      <c r="C15" s="21" t="s">
        <v>191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192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O7"/>
    <mergeCell ref="P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7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0" t="s">
        <v>132</v>
      </c>
      <c r="T5" s="70"/>
      <c r="U5" s="70"/>
      <c r="V5" s="70"/>
      <c r="W5" s="70"/>
      <c r="X5" s="70"/>
      <c r="Y5" s="70"/>
      <c r="Z5" s="70"/>
      <c r="AA5" s="70"/>
      <c r="AB5" s="70"/>
    </row>
    <row r="6" spans="2:28" ht="20" customHeight="1">
      <c r="B6" s="71" t="s">
        <v>3</v>
      </c>
      <c r="C6" s="71"/>
      <c r="D6" s="21" t="s">
        <v>4</v>
      </c>
      <c r="E6" s="21"/>
      <c r="F6" s="21"/>
      <c r="G6" s="7" t="s">
        <v>5</v>
      </c>
      <c r="H6" s="7"/>
      <c r="I6" s="7"/>
      <c r="J6" s="7"/>
      <c r="S6" s="72" t="s">
        <v>133</v>
      </c>
      <c r="T6" s="72" t="s">
        <v>136</v>
      </c>
      <c r="U6" s="72" t="s">
        <v>141</v>
      </c>
      <c r="V6" s="72" t="s">
        <v>144</v>
      </c>
      <c r="W6" s="72" t="s">
        <v>147</v>
      </c>
      <c r="X6" s="72" t="s">
        <v>22</v>
      </c>
      <c r="Y6" s="72" t="s">
        <v>151</v>
      </c>
      <c r="Z6" s="72" t="s">
        <v>153</v>
      </c>
      <c r="AA6" s="72" t="s">
        <v>156</v>
      </c>
      <c r="AB6" s="72" t="s">
        <v>157</v>
      </c>
    </row>
    <row r="7" spans="2:28" ht="20" customHeight="1">
      <c r="B7" s="71" t="s">
        <v>6</v>
      </c>
      <c r="C7" s="71"/>
      <c r="D7" s="21" t="s">
        <v>7</v>
      </c>
      <c r="E7" s="21"/>
      <c r="F7" s="21"/>
      <c r="G7" s="7" t="s">
        <v>8</v>
      </c>
      <c r="H7" s="7"/>
      <c r="I7" s="7"/>
      <c r="J7" s="7"/>
      <c r="S7" s="73" t="s">
        <v>134</v>
      </c>
      <c r="T7" s="73" t="s">
        <v>137</v>
      </c>
      <c r="U7" s="73" t="s">
        <v>142</v>
      </c>
      <c r="V7" s="73" t="s">
        <v>145</v>
      </c>
      <c r="W7" s="73" t="s">
        <v>148</v>
      </c>
      <c r="X7" s="73" t="s">
        <v>36</v>
      </c>
      <c r="Y7" s="73" t="s">
        <v>4</v>
      </c>
      <c r="Z7" s="73" t="s">
        <v>154</v>
      </c>
      <c r="AA7" s="73" t="s">
        <v>44</v>
      </c>
      <c r="AB7" s="73" t="s">
        <v>158</v>
      </c>
    </row>
    <row r="8" spans="2:28" ht="20" customHeight="1">
      <c r="B8" s="71" t="s">
        <v>9</v>
      </c>
      <c r="C8" s="71"/>
      <c r="D8" s="74">
        <v>0.2916666666666667</v>
      </c>
      <c r="E8" s="74"/>
      <c r="F8" s="74"/>
      <c r="G8" s="7" t="s">
        <v>10</v>
      </c>
      <c r="H8" s="7"/>
      <c r="I8" s="7"/>
      <c r="J8" s="7"/>
      <c r="S8" s="73" t="s">
        <v>135</v>
      </c>
      <c r="T8" s="73" t="s">
        <v>138</v>
      </c>
      <c r="U8" s="73" t="s">
        <v>143</v>
      </c>
      <c r="V8" s="73" t="s">
        <v>146</v>
      </c>
      <c r="W8" s="73" t="s">
        <v>149</v>
      </c>
      <c r="X8" s="73" t="s">
        <v>120</v>
      </c>
      <c r="Y8" s="73" t="s">
        <v>152</v>
      </c>
      <c r="Z8" s="73" t="s">
        <v>155</v>
      </c>
      <c r="AA8" s="73" t="s">
        <v>38</v>
      </c>
      <c r="AB8" s="73" t="s">
        <v>14</v>
      </c>
    </row>
    <row r="9" spans="2:28" ht="20" customHeight="1">
      <c r="B9" s="71" t="s">
        <v>11</v>
      </c>
      <c r="C9" s="71"/>
      <c r="D9" s="21">
        <v>60</v>
      </c>
      <c r="E9" s="21"/>
      <c r="F9" s="21"/>
      <c r="G9" s="7" t="s">
        <v>12</v>
      </c>
      <c r="H9" s="7"/>
      <c r="I9" s="7"/>
      <c r="J9" s="7"/>
      <c r="T9" s="73" t="s">
        <v>139</v>
      </c>
      <c r="W9" s="73" t="s">
        <v>150</v>
      </c>
      <c r="X9" s="73" t="s">
        <v>125</v>
      </c>
      <c r="AB9" s="73" t="s">
        <v>159</v>
      </c>
    </row>
    <row r="10" spans="2:28" ht="20" customHeight="1">
      <c r="B10" s="71" t="s">
        <v>13</v>
      </c>
      <c r="C10" s="71"/>
      <c r="D10" s="21" t="s">
        <v>14</v>
      </c>
      <c r="E10" s="21"/>
      <c r="F10" s="21"/>
      <c r="G10" s="7" t="s">
        <v>15</v>
      </c>
      <c r="H10" s="7"/>
      <c r="I10" s="7"/>
      <c r="J10" s="7"/>
      <c r="T10" s="73" t="s">
        <v>140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21" t="s">
        <v>35</v>
      </c>
      <c r="E18" s="21">
        <v>0</v>
      </c>
      <c r="F18" s="21" t="s">
        <v>36</v>
      </c>
      <c r="G18" s="79" t="s">
        <v>37</v>
      </c>
      <c r="H18" s="80" t="s">
        <v>38</v>
      </c>
      <c r="I18" s="79" t="s">
        <v>39</v>
      </c>
      <c r="J18" s="80" t="s">
        <v>38</v>
      </c>
      <c r="K18" s="21"/>
      <c r="L18" s="21"/>
      <c r="M18" s="21">
        <v>0</v>
      </c>
      <c r="N18" s="21">
        <v>50000</v>
      </c>
      <c r="O18" s="21">
        <v>1000</v>
      </c>
      <c r="P18" s="21">
        <v>1100</v>
      </c>
    </row>
    <row r="19" spans="2:16">
      <c r="B19" s="81" t="s">
        <v>40</v>
      </c>
      <c r="C19" s="82" t="s">
        <v>41</v>
      </c>
      <c r="D19" s="21" t="s">
        <v>42</v>
      </c>
      <c r="E19" s="21">
        <v>0</v>
      </c>
      <c r="F19" s="21" t="s">
        <v>36</v>
      </c>
      <c r="G19" s="79" t="s">
        <v>43</v>
      </c>
      <c r="H19" s="80" t="s">
        <v>44</v>
      </c>
      <c r="I19" s="79" t="s">
        <v>45</v>
      </c>
      <c r="J19" s="80" t="s">
        <v>44</v>
      </c>
      <c r="K19" s="21"/>
      <c r="L19" s="21"/>
      <c r="M19" s="21">
        <v>0</v>
      </c>
      <c r="N19" s="21">
        <v>50000</v>
      </c>
      <c r="O19" s="21">
        <v>2010</v>
      </c>
      <c r="P19" s="21">
        <v>2010</v>
      </c>
    </row>
    <row r="20" spans="2:16">
      <c r="B20" s="77" t="s">
        <v>40</v>
      </c>
      <c r="C20" s="78" t="s">
        <v>46</v>
      </c>
      <c r="D20" s="21" t="s">
        <v>42</v>
      </c>
      <c r="E20" s="21">
        <v>0</v>
      </c>
      <c r="F20" s="21" t="s">
        <v>36</v>
      </c>
      <c r="G20" s="79" t="s">
        <v>47</v>
      </c>
      <c r="H20" s="80" t="s">
        <v>44</v>
      </c>
      <c r="I20" s="79" t="s">
        <v>48</v>
      </c>
      <c r="J20" s="80" t="s">
        <v>44</v>
      </c>
      <c r="K20" s="21"/>
      <c r="L20" s="21"/>
      <c r="M20" s="21">
        <v>0</v>
      </c>
      <c r="N20" s="21">
        <v>50000</v>
      </c>
      <c r="O20" s="21">
        <v>2160</v>
      </c>
      <c r="P20" s="21">
        <v>2120</v>
      </c>
    </row>
    <row r="21" spans="2:16">
      <c r="B21" s="81" t="s">
        <v>40</v>
      </c>
      <c r="C21" s="82" t="s">
        <v>49</v>
      </c>
      <c r="D21" s="21" t="s">
        <v>50</v>
      </c>
      <c r="E21" s="21">
        <v>1</v>
      </c>
      <c r="F21" s="21" t="s">
        <v>36</v>
      </c>
      <c r="G21" s="79" t="s">
        <v>51</v>
      </c>
      <c r="H21" s="80" t="s">
        <v>44</v>
      </c>
      <c r="I21" s="79" t="s">
        <v>52</v>
      </c>
      <c r="J21" s="80" t="s">
        <v>44</v>
      </c>
      <c r="K21" s="21"/>
      <c r="L21" s="21"/>
      <c r="M21" s="21">
        <v>0</v>
      </c>
      <c r="N21" s="21">
        <v>50000</v>
      </c>
      <c r="O21" s="21">
        <v>90.2</v>
      </c>
      <c r="P21" s="21">
        <v>89.90000000000001</v>
      </c>
    </row>
    <row r="22" spans="2:16">
      <c r="B22" s="77" t="s">
        <v>40</v>
      </c>
      <c r="C22" s="78" t="s">
        <v>53</v>
      </c>
      <c r="D22" s="21" t="s">
        <v>50</v>
      </c>
      <c r="E22" s="21">
        <v>2</v>
      </c>
      <c r="F22" s="21" t="s">
        <v>36</v>
      </c>
      <c r="G22" s="79" t="s">
        <v>54</v>
      </c>
      <c r="H22" s="80" t="s">
        <v>44</v>
      </c>
      <c r="I22" s="79" t="s">
        <v>55</v>
      </c>
      <c r="J22" s="80" t="s">
        <v>44</v>
      </c>
      <c r="K22" s="21"/>
      <c r="L22" s="21"/>
      <c r="M22" s="21">
        <v>0</v>
      </c>
      <c r="N22" s="21">
        <v>50000</v>
      </c>
      <c r="O22" s="21">
        <v>11.2</v>
      </c>
      <c r="P22" s="21">
        <v>11.2</v>
      </c>
    </row>
    <row r="23" spans="2:16">
      <c r="B23" s="81" t="s">
        <v>40</v>
      </c>
      <c r="C23" s="82" t="s">
        <v>56</v>
      </c>
      <c r="D23" s="21" t="s">
        <v>50</v>
      </c>
      <c r="E23" s="21">
        <v>2</v>
      </c>
      <c r="F23" s="21" t="s">
        <v>36</v>
      </c>
      <c r="G23" s="79" t="s">
        <v>57</v>
      </c>
      <c r="H23" s="80" t="s">
        <v>44</v>
      </c>
      <c r="I23" s="79" t="s">
        <v>58</v>
      </c>
      <c r="J23" s="80" t="s">
        <v>44</v>
      </c>
      <c r="K23" s="21"/>
      <c r="L23" s="21"/>
      <c r="M23" s="21">
        <v>0</v>
      </c>
      <c r="N23" s="21">
        <v>50000</v>
      </c>
      <c r="O23" s="21">
        <v>11</v>
      </c>
      <c r="P23" s="21">
        <v>11</v>
      </c>
    </row>
    <row r="24" spans="2:16">
      <c r="B24" s="77" t="s">
        <v>59</v>
      </c>
      <c r="C24" s="78" t="s">
        <v>60</v>
      </c>
      <c r="D24" s="21" t="s">
        <v>50</v>
      </c>
      <c r="E24" s="21">
        <v>2</v>
      </c>
      <c r="F24" s="21" t="s">
        <v>36</v>
      </c>
      <c r="G24" s="79" t="s">
        <v>61</v>
      </c>
      <c r="H24" s="80" t="s">
        <v>44</v>
      </c>
      <c r="I24" s="83" t="str">
        <f>IF(G24="","",G24)</f>
        <v>M650030010-0013-HHLQU</v>
      </c>
      <c r="J24" s="80" t="s">
        <v>44</v>
      </c>
      <c r="K24" s="21"/>
      <c r="L24" s="21"/>
      <c r="M24" s="21">
        <v>0</v>
      </c>
      <c r="N24" s="21">
        <v>50000</v>
      </c>
      <c r="O24" s="21">
        <v>3.66</v>
      </c>
      <c r="P24" s="21">
        <v>3.66</v>
      </c>
    </row>
    <row r="25" spans="2:16">
      <c r="B25" s="81" t="s">
        <v>59</v>
      </c>
      <c r="C25" s="82" t="s">
        <v>62</v>
      </c>
      <c r="D25" s="21" t="s">
        <v>50</v>
      </c>
      <c r="E25" s="21">
        <v>2</v>
      </c>
      <c r="F25" s="21" t="s">
        <v>36</v>
      </c>
      <c r="G25" s="79" t="s">
        <v>63</v>
      </c>
      <c r="H25" s="80" t="s">
        <v>44</v>
      </c>
      <c r="I25" s="83" t="str">
        <f>IF(G25="","",G25)</f>
        <v>M650030010-0004-HHLQU</v>
      </c>
      <c r="J25" s="80" t="s">
        <v>44</v>
      </c>
      <c r="K25" s="21"/>
      <c r="L25" s="21"/>
      <c r="M25" s="21">
        <v>0</v>
      </c>
      <c r="N25" s="21">
        <v>50000</v>
      </c>
      <c r="O25" s="21">
        <v>1.29</v>
      </c>
      <c r="P25" s="21">
        <v>1.29</v>
      </c>
    </row>
    <row r="26" spans="2:16">
      <c r="B26" s="77" t="s">
        <v>59</v>
      </c>
      <c r="C26" s="78" t="s">
        <v>64</v>
      </c>
      <c r="D26" s="21" t="s">
        <v>50</v>
      </c>
      <c r="E26" s="21">
        <v>2</v>
      </c>
      <c r="F26" s="21" t="s">
        <v>36</v>
      </c>
      <c r="G26" s="79" t="s">
        <v>65</v>
      </c>
      <c r="H26" s="80" t="s">
        <v>44</v>
      </c>
      <c r="I26" s="83" t="str">
        <f>IF(G26="","",G26)</f>
        <v>M650030010-0006-HHLQU</v>
      </c>
      <c r="J26" s="80" t="s">
        <v>44</v>
      </c>
      <c r="K26" s="21"/>
      <c r="L26" s="21"/>
      <c r="M26" s="21">
        <v>0</v>
      </c>
      <c r="N26" s="21">
        <v>50000</v>
      </c>
      <c r="O26" s="21">
        <v>0.09</v>
      </c>
      <c r="P26" s="21">
        <v>0.09</v>
      </c>
    </row>
    <row r="27" spans="2:16">
      <c r="B27" s="81" t="s">
        <v>66</v>
      </c>
      <c r="C27" s="82" t="s">
        <v>67</v>
      </c>
      <c r="D27" s="21" t="s">
        <v>50</v>
      </c>
      <c r="E27" s="21">
        <v>2</v>
      </c>
      <c r="F27" s="21" t="s">
        <v>36</v>
      </c>
      <c r="G27" s="79" t="s">
        <v>68</v>
      </c>
      <c r="H27" s="80" t="s">
        <v>44</v>
      </c>
      <c r="I27" s="83" t="str">
        <f>IF(G27="","",G27)</f>
        <v>M650030020-0001-HHLFU</v>
      </c>
      <c r="J27" s="80" t="s">
        <v>44</v>
      </c>
      <c r="K27" s="21"/>
      <c r="L27" s="21"/>
      <c r="M27" s="21">
        <v>0</v>
      </c>
      <c r="N27" s="21">
        <v>50000</v>
      </c>
      <c r="O27" s="21">
        <v>9.6</v>
      </c>
      <c r="P27" s="21">
        <v>9.6</v>
      </c>
    </row>
    <row r="28" spans="2:16">
      <c r="B28" s="77" t="s">
        <v>69</v>
      </c>
      <c r="C28" s="78" t="s">
        <v>62</v>
      </c>
      <c r="D28" s="21" t="s">
        <v>50</v>
      </c>
      <c r="E28" s="21">
        <v>2</v>
      </c>
      <c r="F28" s="21" t="s">
        <v>36</v>
      </c>
      <c r="G28" s="79" t="s">
        <v>70</v>
      </c>
      <c r="H28" s="80" t="s">
        <v>44</v>
      </c>
      <c r="I28" s="79" t="s">
        <v>71</v>
      </c>
      <c r="J28" s="80" t="s">
        <v>44</v>
      </c>
      <c r="K28" s="21"/>
      <c r="L28" s="21"/>
      <c r="M28" s="21">
        <v>0</v>
      </c>
      <c r="N28" s="21">
        <v>50000</v>
      </c>
      <c r="O28" s="21">
        <v>1.82</v>
      </c>
      <c r="P28" s="21">
        <v>2.9</v>
      </c>
    </row>
    <row r="29" spans="2:16">
      <c r="B29" s="81" t="s">
        <v>69</v>
      </c>
      <c r="C29" s="82" t="s">
        <v>64</v>
      </c>
      <c r="D29" s="21" t="s">
        <v>50</v>
      </c>
      <c r="E29" s="21">
        <v>2</v>
      </c>
      <c r="F29" s="21" t="s">
        <v>36</v>
      </c>
      <c r="G29" s="79" t="s">
        <v>72</v>
      </c>
      <c r="H29" s="80" t="s">
        <v>44</v>
      </c>
      <c r="I29" s="79" t="s">
        <v>73</v>
      </c>
      <c r="J29" s="80" t="s">
        <v>44</v>
      </c>
      <c r="K29" s="21"/>
      <c r="L29" s="21"/>
      <c r="M29" s="21">
        <v>0</v>
      </c>
      <c r="N29" s="21">
        <v>50000</v>
      </c>
      <c r="O29" s="21">
        <v>0.82</v>
      </c>
      <c r="P29" s="21">
        <v>1.4</v>
      </c>
    </row>
    <row r="30" spans="2:16">
      <c r="B30" s="77" t="s">
        <v>69</v>
      </c>
      <c r="C30" s="78" t="s">
        <v>74</v>
      </c>
      <c r="D30" s="21" t="s">
        <v>75</v>
      </c>
      <c r="E30" s="21">
        <v>2</v>
      </c>
      <c r="F30" s="21" t="s">
        <v>36</v>
      </c>
      <c r="G30" s="79" t="s">
        <v>76</v>
      </c>
      <c r="H30" s="80" t="s">
        <v>44</v>
      </c>
      <c r="I30" s="79" t="s">
        <v>77</v>
      </c>
      <c r="J30" s="80" t="s">
        <v>44</v>
      </c>
      <c r="K30" s="21"/>
      <c r="L30" s="21"/>
      <c r="M30" s="21">
        <v>0</v>
      </c>
      <c r="N30" s="21">
        <v>50000</v>
      </c>
      <c r="O30" s="21">
        <v>0.45</v>
      </c>
      <c r="P30" s="21">
        <v>0.48</v>
      </c>
    </row>
    <row r="31" spans="2:16">
      <c r="B31" s="81" t="s">
        <v>69</v>
      </c>
      <c r="C31" s="82" t="s">
        <v>78</v>
      </c>
      <c r="D31" s="21" t="s">
        <v>79</v>
      </c>
      <c r="E31" s="21">
        <v>1</v>
      </c>
      <c r="F31" s="21" t="s">
        <v>36</v>
      </c>
      <c r="G31" s="79" t="s">
        <v>80</v>
      </c>
      <c r="H31" s="80" t="s">
        <v>44</v>
      </c>
      <c r="I31" s="79" t="s">
        <v>81</v>
      </c>
      <c r="J31" s="80" t="s">
        <v>44</v>
      </c>
      <c r="K31" s="21"/>
      <c r="L31" s="21"/>
      <c r="M31" s="21">
        <v>0</v>
      </c>
      <c r="N31" s="21">
        <v>50000</v>
      </c>
      <c r="O31" s="21">
        <v>12.7</v>
      </c>
      <c r="P31" s="21">
        <v>17.6</v>
      </c>
    </row>
    <row r="32" spans="2:16">
      <c r="B32" s="77" t="s">
        <v>69</v>
      </c>
      <c r="C32" s="78" t="s">
        <v>82</v>
      </c>
      <c r="D32" s="21" t="s">
        <v>50</v>
      </c>
      <c r="E32" s="21">
        <v>2</v>
      </c>
      <c r="F32" s="21" t="s">
        <v>36</v>
      </c>
      <c r="G32" s="79" t="s">
        <v>83</v>
      </c>
      <c r="H32" s="80" t="s">
        <v>44</v>
      </c>
      <c r="I32" s="79" t="s">
        <v>84</v>
      </c>
      <c r="J32" s="80" t="s">
        <v>44</v>
      </c>
      <c r="K32" s="21"/>
      <c r="L32" s="21"/>
      <c r="M32" s="21">
        <v>0</v>
      </c>
      <c r="N32" s="21">
        <v>50000</v>
      </c>
      <c r="O32" s="21">
        <v>1.07</v>
      </c>
      <c r="P32" s="21">
        <v>1.2</v>
      </c>
    </row>
    <row r="33" spans="2:16">
      <c r="B33" s="81" t="s">
        <v>85</v>
      </c>
      <c r="C33" s="82" t="s">
        <v>67</v>
      </c>
      <c r="D33" s="21" t="s">
        <v>50</v>
      </c>
      <c r="E33" s="21">
        <v>2</v>
      </c>
      <c r="F33" s="21" t="s">
        <v>36</v>
      </c>
      <c r="G33" s="79" t="s">
        <v>86</v>
      </c>
      <c r="H33" s="80" t="s">
        <v>44</v>
      </c>
      <c r="I33" s="79" t="s">
        <v>87</v>
      </c>
      <c r="J33" s="80" t="s">
        <v>44</v>
      </c>
      <c r="K33" s="21"/>
      <c r="L33" s="21"/>
      <c r="M33" s="21">
        <v>0</v>
      </c>
      <c r="N33" s="21">
        <v>50000</v>
      </c>
      <c r="O33" s="21">
        <v>9.4</v>
      </c>
      <c r="P33" s="21">
        <v>9.5</v>
      </c>
    </row>
    <row r="34" spans="2:16">
      <c r="B34" s="77" t="s">
        <v>85</v>
      </c>
      <c r="C34" s="78" t="s">
        <v>88</v>
      </c>
      <c r="D34" s="21" t="s">
        <v>89</v>
      </c>
      <c r="E34" s="21">
        <v>1</v>
      </c>
      <c r="F34" s="21" t="s">
        <v>36</v>
      </c>
      <c r="G34" s="79" t="s">
        <v>90</v>
      </c>
      <c r="H34" s="80" t="s">
        <v>44</v>
      </c>
      <c r="I34" s="79" t="s">
        <v>91</v>
      </c>
      <c r="J34" s="80" t="s">
        <v>44</v>
      </c>
      <c r="K34" s="21"/>
      <c r="L34" s="21"/>
      <c r="M34" s="21">
        <v>0</v>
      </c>
      <c r="N34" s="21">
        <v>50000</v>
      </c>
      <c r="O34" s="21">
        <v>5.5</v>
      </c>
      <c r="P34" s="21">
        <v>5.8</v>
      </c>
    </row>
    <row r="35" spans="2:16">
      <c r="B35" s="81" t="s">
        <v>85</v>
      </c>
      <c r="C35" s="82" t="s">
        <v>92</v>
      </c>
      <c r="D35" s="21" t="s">
        <v>93</v>
      </c>
      <c r="E35" s="21">
        <v>2</v>
      </c>
      <c r="F35" s="21" t="s">
        <v>36</v>
      </c>
      <c r="G35" s="79" t="s">
        <v>94</v>
      </c>
      <c r="H35" s="80" t="s">
        <v>44</v>
      </c>
      <c r="I35" s="79" t="s">
        <v>95</v>
      </c>
      <c r="J35" s="80" t="s">
        <v>44</v>
      </c>
      <c r="K35" s="21"/>
      <c r="L35" s="21"/>
      <c r="M35" s="21">
        <v>0</v>
      </c>
      <c r="N35" s="21">
        <v>50000</v>
      </c>
      <c r="O35" s="21">
        <v>6.2</v>
      </c>
      <c r="P35" s="21">
        <v>6.5</v>
      </c>
    </row>
    <row r="36" spans="2:16">
      <c r="B36" s="77" t="s">
        <v>85</v>
      </c>
      <c r="C36" s="78" t="s">
        <v>96</v>
      </c>
      <c r="D36" s="21" t="s">
        <v>93</v>
      </c>
      <c r="E36" s="21">
        <v>2</v>
      </c>
      <c r="F36" s="21" t="s">
        <v>36</v>
      </c>
      <c r="G36" s="79" t="s">
        <v>97</v>
      </c>
      <c r="H36" s="80" t="s">
        <v>44</v>
      </c>
      <c r="I36" s="79" t="s">
        <v>98</v>
      </c>
      <c r="J36" s="80" t="s">
        <v>44</v>
      </c>
      <c r="K36" s="21"/>
      <c r="L36" s="21"/>
      <c r="M36" s="21">
        <v>0</v>
      </c>
      <c r="N36" s="21">
        <v>50000</v>
      </c>
      <c r="O36" s="21">
        <v>1.6</v>
      </c>
      <c r="P36" s="21">
        <v>1.7</v>
      </c>
    </row>
    <row r="37" spans="2:16">
      <c r="B37" s="81" t="s">
        <v>99</v>
      </c>
      <c r="C37" s="82" t="s">
        <v>100</v>
      </c>
      <c r="D37" s="21" t="s">
        <v>50</v>
      </c>
      <c r="E37" s="21">
        <v>1</v>
      </c>
      <c r="F37" s="21" t="s">
        <v>36</v>
      </c>
      <c r="G37" s="79" t="s">
        <v>101</v>
      </c>
      <c r="H37" s="80" t="s">
        <v>44</v>
      </c>
      <c r="I37" s="79" t="s">
        <v>102</v>
      </c>
      <c r="J37" s="80" t="s">
        <v>44</v>
      </c>
      <c r="K37" s="21"/>
      <c r="L37" s="21"/>
      <c r="M37" s="21">
        <v>0</v>
      </c>
      <c r="N37" s="21">
        <v>50000</v>
      </c>
      <c r="O37" s="21">
        <v>92.5</v>
      </c>
      <c r="P37" s="21">
        <v>90.90000000000001</v>
      </c>
    </row>
    <row r="38" spans="2:16">
      <c r="B38" s="77" t="s">
        <v>99</v>
      </c>
      <c r="C38" s="78" t="s">
        <v>103</v>
      </c>
      <c r="D38" s="21" t="s">
        <v>75</v>
      </c>
      <c r="E38" s="21">
        <v>2</v>
      </c>
      <c r="F38" s="21" t="s">
        <v>36</v>
      </c>
      <c r="G38" s="79" t="s">
        <v>104</v>
      </c>
      <c r="H38" s="80" t="s">
        <v>44</v>
      </c>
      <c r="I38" s="79" t="s">
        <v>105</v>
      </c>
      <c r="J38" s="80" t="s">
        <v>44</v>
      </c>
      <c r="K38" s="21"/>
      <c r="L38" s="21"/>
      <c r="M38" s="21">
        <v>0</v>
      </c>
      <c r="N38" s="21">
        <v>50000</v>
      </c>
      <c r="O38" s="21">
        <v>0.73</v>
      </c>
      <c r="P38" s="21">
        <v>0.8</v>
      </c>
    </row>
    <row r="39" spans="2:16">
      <c r="B39" s="81" t="s">
        <v>99</v>
      </c>
      <c r="C39" s="82" t="s">
        <v>106</v>
      </c>
      <c r="D39" s="21" t="s">
        <v>50</v>
      </c>
      <c r="E39" s="21">
        <v>1</v>
      </c>
      <c r="F39" s="21" t="s">
        <v>36</v>
      </c>
      <c r="G39" s="79" t="s">
        <v>107</v>
      </c>
      <c r="H39" s="80" t="s">
        <v>44</v>
      </c>
      <c r="I39" s="79" t="s">
        <v>108</v>
      </c>
      <c r="J39" s="80" t="s">
        <v>44</v>
      </c>
      <c r="K39" s="21"/>
      <c r="L39" s="21"/>
      <c r="M39" s="21">
        <v>0</v>
      </c>
      <c r="N39" s="21">
        <v>50000</v>
      </c>
      <c r="O39" s="21">
        <v>94</v>
      </c>
      <c r="P39" s="21">
        <v>93.90000000000001</v>
      </c>
    </row>
    <row r="40" spans="2:16">
      <c r="B40" s="77" t="s">
        <v>99</v>
      </c>
      <c r="C40" s="78" t="s">
        <v>109</v>
      </c>
      <c r="D40" s="21" t="s">
        <v>93</v>
      </c>
      <c r="E40" s="21">
        <v>0</v>
      </c>
      <c r="F40" s="21" t="s">
        <v>36</v>
      </c>
      <c r="G40" s="79" t="s">
        <v>110</v>
      </c>
      <c r="H40" s="80" t="s">
        <v>44</v>
      </c>
      <c r="I40" s="79" t="s">
        <v>111</v>
      </c>
      <c r="J40" s="80" t="s">
        <v>44</v>
      </c>
      <c r="K40" s="21"/>
      <c r="L40" s="21"/>
      <c r="M40" s="21">
        <v>0</v>
      </c>
      <c r="N40" s="21">
        <v>50000</v>
      </c>
      <c r="O40" s="21">
        <v>320</v>
      </c>
      <c r="P40" s="21">
        <v>334</v>
      </c>
    </row>
    <row r="41" spans="2:16">
      <c r="B41" s="81" t="s">
        <v>99</v>
      </c>
      <c r="C41" s="82" t="s">
        <v>112</v>
      </c>
      <c r="D41" s="21" t="s">
        <v>50</v>
      </c>
      <c r="E41" s="21">
        <v>0</v>
      </c>
      <c r="F41" s="21" t="s">
        <v>36</v>
      </c>
      <c r="G41" s="79" t="s">
        <v>113</v>
      </c>
      <c r="H41" s="80" t="s">
        <v>44</v>
      </c>
      <c r="I41" s="79" t="s">
        <v>114</v>
      </c>
      <c r="J41" s="80" t="s">
        <v>44</v>
      </c>
      <c r="K41" s="21"/>
      <c r="L41" s="21"/>
      <c r="M41" s="21">
        <v>0</v>
      </c>
      <c r="N41" s="21">
        <v>50000</v>
      </c>
      <c r="O41" s="21">
        <v>17</v>
      </c>
      <c r="P41" s="21">
        <v>16</v>
      </c>
    </row>
    <row r="42" spans="2:16">
      <c r="B42" s="77" t="s">
        <v>99</v>
      </c>
      <c r="C42" s="78" t="s">
        <v>115</v>
      </c>
      <c r="D42" s="21" t="s">
        <v>50</v>
      </c>
      <c r="E42" s="21">
        <v>1</v>
      </c>
      <c r="F42" s="21" t="s">
        <v>36</v>
      </c>
      <c r="G42" s="79" t="s">
        <v>116</v>
      </c>
      <c r="H42" s="80" t="s">
        <v>44</v>
      </c>
      <c r="I42" s="79" t="s">
        <v>117</v>
      </c>
      <c r="J42" s="80" t="s">
        <v>44</v>
      </c>
      <c r="K42" s="21"/>
      <c r="L42" s="21"/>
      <c r="M42" s="21">
        <v>0</v>
      </c>
      <c r="N42" s="21">
        <v>50000</v>
      </c>
      <c r="O42" s="21">
        <v>0.97</v>
      </c>
      <c r="P42" s="21">
        <v>1.17</v>
      </c>
    </row>
    <row r="43" spans="2:16">
      <c r="B43" s="81" t="s">
        <v>118</v>
      </c>
      <c r="C43" s="82" t="s">
        <v>118</v>
      </c>
      <c r="D43" s="21" t="s">
        <v>119</v>
      </c>
      <c r="E43" s="21">
        <v>0</v>
      </c>
      <c r="F43" s="21" t="s">
        <v>120</v>
      </c>
      <c r="G43" s="79" t="s">
        <v>121</v>
      </c>
      <c r="H43" s="80" t="s">
        <v>44</v>
      </c>
      <c r="I43" s="79" t="s">
        <v>122</v>
      </c>
      <c r="J43" s="80" t="s">
        <v>44</v>
      </c>
      <c r="K43" s="21"/>
      <c r="L43" s="21"/>
      <c r="M43" s="21">
        <v>0</v>
      </c>
      <c r="N43" s="21">
        <v>50000</v>
      </c>
      <c r="O43" s="21">
        <v>700</v>
      </c>
      <c r="P43" s="21">
        <v>750</v>
      </c>
    </row>
    <row r="44" spans="2:16">
      <c r="B44" s="77" t="s">
        <v>118</v>
      </c>
      <c r="C44" s="78" t="s">
        <v>123</v>
      </c>
      <c r="D44" s="21" t="s">
        <v>124</v>
      </c>
      <c r="E44" s="21">
        <v>0</v>
      </c>
      <c r="F44" s="21" t="s">
        <v>125</v>
      </c>
      <c r="G44" s="79" t="s">
        <v>126</v>
      </c>
      <c r="H44" s="80" t="s">
        <v>44</v>
      </c>
      <c r="I44" s="79" t="s">
        <v>127</v>
      </c>
      <c r="J44" s="80" t="s">
        <v>44</v>
      </c>
      <c r="K44" s="21"/>
      <c r="L44" s="21"/>
      <c r="M44" s="21">
        <v>0</v>
      </c>
      <c r="N44" s="21">
        <v>50000</v>
      </c>
      <c r="O44" s="21">
        <v>19000</v>
      </c>
      <c r="P44" s="21">
        <v>20600</v>
      </c>
    </row>
    <row r="45" spans="2:16">
      <c r="B45" s="81" t="s">
        <v>118</v>
      </c>
      <c r="C45" s="82" t="s">
        <v>128</v>
      </c>
      <c r="D45" s="21" t="s">
        <v>124</v>
      </c>
      <c r="E45" s="21">
        <v>0</v>
      </c>
      <c r="F45" s="21" t="s">
        <v>125</v>
      </c>
      <c r="G45" s="79" t="s">
        <v>129</v>
      </c>
      <c r="H45" s="80" t="s">
        <v>38</v>
      </c>
      <c r="I45" s="79" t="s">
        <v>130</v>
      </c>
      <c r="J45" s="80" t="s">
        <v>38</v>
      </c>
      <c r="K45" s="21"/>
      <c r="L45" s="21"/>
      <c r="M45" s="21">
        <v>0</v>
      </c>
      <c r="N45" s="21">
        <v>50000</v>
      </c>
      <c r="O45" s="21">
        <v>19000</v>
      </c>
      <c r="P45" s="21">
        <v>20600</v>
      </c>
    </row>
    <row r="47" spans="2:16">
      <c r="C47" s="84" t="s">
        <v>131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5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5">
      <formula1>lstAgreg</formula1>
    </dataValidation>
    <dataValidation type="list" allowBlank="1" showInputMessage="1" showErrorMessage="1" sqref="H18:H45">
      <formula1>lstTipo</formula1>
    </dataValidation>
    <dataValidation type="list" allowBlank="1" showInputMessage="1" showErrorMessage="1" sqref="J18:J45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Y34"/>
  <sheetViews>
    <sheetView showGridLines="0" workbookViewId="0"/>
  </sheetViews>
  <sheetFormatPr defaultRowHeight="15"/>
  <cols>
    <col min="1" max="1" width="18.7109375" style="85" customWidth="1"/>
    <col min="2" max="57" width="14.7109375" customWidth="1"/>
  </cols>
  <sheetData>
    <row r="1" spans="1:51">
      <c r="A1" s="86" t="s">
        <v>193</v>
      </c>
    </row>
    <row r="3" spans="1:51">
      <c r="A3" s="87" t="s">
        <v>194</v>
      </c>
      <c r="B3" s="88"/>
      <c r="D3" s="87" t="s">
        <v>196</v>
      </c>
    </row>
    <row r="4" spans="1:51">
      <c r="A4" s="87" t="s">
        <v>195</v>
      </c>
      <c r="B4" s="88"/>
      <c r="D4" s="87" t="s">
        <v>197</v>
      </c>
    </row>
    <row r="6" spans="1:51">
      <c r="A6" s="89" t="s">
        <v>198</v>
      </c>
    </row>
    <row r="7" spans="1:51">
      <c r="A7" s="90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650030020-0001-HHLFU,M650030020-0001-HHLFU,M710050020-0004-HHLQU,M4710050020-0004-HHLQU,M710050020-0006-HHLQU,M471"&amp;"0050020-0006-HHLQU,M710050020-0018-HHLQU,M4710050020-0018-HHLQU,M710050020-0084-HHLQU,M4710050020-0084-HHLQU,M710050020-0493-HHLQU,M4710050020-0493-HHLQU,M690025000-0001-HHLFU,M4690025000-0001-HHLFU,M690025000-0094-HHLFU,M4690025000-0094-HHLFU,M69002"&amp;"5000-0095-HHLFU,M4690025000-0095-HHLFU,M690025000-0120-HHLFU,M4690025000-0120-HHLFU,M710050020-0028-HHLFU,M4710050020-0028-HHLFU,M710050020-2021-HHLFU,M4710050020-2021-HHLFU,M710050020-0029-HHLFU,M4710050020-0029-HHLFU,M710050020-0031-HHLFU,M47100500"&amp;"20-0031-HHLFU,M710050020-0032-HHLFU,M4710050020-0032-HHLFU,M710050020-0026-HHLFU,M4710050020-0026-HHLFU","UBU,UBU,UBU,UBU,UBU,UBU,UBU,UBU,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51" ht="45" customHeight="1">
      <c r="A8" s="91" t="s">
        <v>199</v>
      </c>
      <c r="B8" s="92" t="s">
        <v>200</v>
      </c>
      <c r="C8" s="92" t="s">
        <v>201</v>
      </c>
      <c r="D8" s="92" t="s">
        <v>202</v>
      </c>
      <c r="E8" s="92" t="s">
        <v>203</v>
      </c>
      <c r="F8" s="92" t="s">
        <v>204</v>
      </c>
      <c r="G8" s="92" t="s">
        <v>205</v>
      </c>
      <c r="H8" s="92" t="s">
        <v>206</v>
      </c>
      <c r="I8" s="92" t="s">
        <v>207</v>
      </c>
      <c r="J8" s="92" t="s">
        <v>208</v>
      </c>
      <c r="K8" s="92" t="s">
        <v>209</v>
      </c>
      <c r="L8" s="92" t="s">
        <v>210</v>
      </c>
      <c r="M8" s="92" t="s">
        <v>211</v>
      </c>
      <c r="N8" s="92" t="s">
        <v>212</v>
      </c>
      <c r="O8" s="92" t="s">
        <v>213</v>
      </c>
      <c r="P8" s="92" t="s">
        <v>214</v>
      </c>
      <c r="Q8" s="92" t="s">
        <v>215</v>
      </c>
      <c r="R8" s="92" t="s">
        <v>216</v>
      </c>
      <c r="S8" s="92" t="s">
        <v>217</v>
      </c>
      <c r="T8" s="92" t="s">
        <v>218</v>
      </c>
      <c r="U8" s="92" t="s">
        <v>219</v>
      </c>
      <c r="V8" s="92" t="s">
        <v>220</v>
      </c>
      <c r="W8" s="92" t="s">
        <v>221</v>
      </c>
      <c r="X8" s="92" t="s">
        <v>222</v>
      </c>
      <c r="Y8" s="92" t="s">
        <v>223</v>
      </c>
      <c r="Z8" s="92" t="s">
        <v>224</v>
      </c>
      <c r="AA8" s="92" t="s">
        <v>225</v>
      </c>
      <c r="AB8" s="92" t="s">
        <v>226</v>
      </c>
      <c r="AC8" s="92" t="s">
        <v>227</v>
      </c>
      <c r="AD8" s="92" t="s">
        <v>228</v>
      </c>
      <c r="AE8" s="92" t="s">
        <v>229</v>
      </c>
      <c r="AF8" s="92" t="s">
        <v>230</v>
      </c>
      <c r="AG8" s="92" t="s">
        <v>231</v>
      </c>
      <c r="AH8" s="92" t="s">
        <v>232</v>
      </c>
      <c r="AI8" s="92" t="s">
        <v>233</v>
      </c>
      <c r="AJ8" s="92" t="s">
        <v>234</v>
      </c>
      <c r="AK8" s="92" t="s">
        <v>235</v>
      </c>
      <c r="AL8" s="92" t="s">
        <v>236</v>
      </c>
      <c r="AM8" s="92" t="s">
        <v>237</v>
      </c>
      <c r="AN8" s="92" t="s">
        <v>238</v>
      </c>
      <c r="AO8" s="92" t="s">
        <v>239</v>
      </c>
      <c r="AP8" s="92" t="s">
        <v>240</v>
      </c>
      <c r="AQ8" s="92" t="s">
        <v>241</v>
      </c>
      <c r="AR8" s="92" t="s">
        <v>242</v>
      </c>
      <c r="AS8" s="92" t="s">
        <v>243</v>
      </c>
      <c r="AT8" s="92" t="s">
        <v>244</v>
      </c>
      <c r="AU8" s="92" t="s">
        <v>245</v>
      </c>
      <c r="AV8" s="92" t="s">
        <v>246</v>
      </c>
      <c r="AW8" s="92" t="s">
        <v>247</v>
      </c>
      <c r="AX8" s="92" t="s">
        <v>248</v>
      </c>
      <c r="AY8" s="92" t="s">
        <v>249</v>
      </c>
    </row>
    <row r="9" spans="1:51">
      <c r="A9" s="93">
        <f t="array" ref="A9:AY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</row>
    <row r="10" spans="1:51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0</v>
      </c>
      <c r="AV10" s="93">
        <v>0</v>
      </c>
      <c r="AW10" s="93">
        <v>0</v>
      </c>
      <c r="AX10" s="93">
        <v>0</v>
      </c>
      <c r="AY10" s="93">
        <v>0</v>
      </c>
    </row>
    <row r="11" spans="1:51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</row>
    <row r="12" spans="1:51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</row>
    <row r="13" spans="1:51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</row>
    <row r="14" spans="1:51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</row>
    <row r="16" spans="1:51">
      <c r="A16" s="89" t="s">
        <v>250</v>
      </c>
    </row>
    <row r="17" spans="1:5">
      <c r="A17" s="9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1" t="s">
        <v>199</v>
      </c>
      <c r="B18" s="92" t="s">
        <v>251</v>
      </c>
      <c r="C18" s="92" t="s">
        <v>252</v>
      </c>
      <c r="D18" s="92" t="s">
        <v>253</v>
      </c>
      <c r="E18" s="92" t="s">
        <v>254</v>
      </c>
    </row>
    <row r="19" spans="1:5">
      <c r="A19" s="93">
        <f t="array" ref="A19:E24">_xll.AspenTech.PME.ProcessData.Functions.ShowCalculationValues(ADDRESS(ROW(Dados_MES!A17),COLUMN(Dados_MES!A17),1,,"Dados_MES"),Dados_MES!A17, 0)</f>
        <v>0</v>
      </c>
      <c r="B19" s="93">
        <v>0</v>
      </c>
      <c r="C19" s="93">
        <v>0</v>
      </c>
      <c r="D19" s="93">
        <v>0</v>
      </c>
      <c r="E19" s="93">
        <v>0</v>
      </c>
    </row>
    <row r="20" spans="1:5">
      <c r="A20" s="93">
        <v>0</v>
      </c>
      <c r="B20" s="93">
        <v>0</v>
      </c>
      <c r="C20" s="93">
        <v>0</v>
      </c>
      <c r="D20" s="93">
        <v>0</v>
      </c>
      <c r="E20" s="93">
        <v>0</v>
      </c>
    </row>
    <row r="21" spans="1:5">
      <c r="A21" s="93">
        <v>0</v>
      </c>
      <c r="B21" s="93">
        <v>0</v>
      </c>
      <c r="C21" s="93">
        <v>0</v>
      </c>
      <c r="D21" s="93">
        <v>0</v>
      </c>
      <c r="E21" s="93">
        <v>0</v>
      </c>
    </row>
    <row r="22" spans="1:5">
      <c r="A22" s="93">
        <v>0</v>
      </c>
      <c r="B22" s="93">
        <v>0</v>
      </c>
      <c r="C22" s="93">
        <v>0</v>
      </c>
      <c r="D22" s="93">
        <v>0</v>
      </c>
      <c r="E22" s="93">
        <v>0</v>
      </c>
    </row>
    <row r="23" spans="1:5">
      <c r="A23" s="93">
        <v>0</v>
      </c>
      <c r="B23" s="93">
        <v>0</v>
      </c>
      <c r="C23" s="93">
        <v>0</v>
      </c>
      <c r="D23" s="93">
        <v>0</v>
      </c>
      <c r="E23" s="93">
        <v>0</v>
      </c>
    </row>
    <row r="24" spans="1:5">
      <c r="A24" s="93">
        <v>0</v>
      </c>
      <c r="B24" s="93">
        <v>0</v>
      </c>
      <c r="C24" s="93">
        <v>0</v>
      </c>
      <c r="D24" s="93">
        <v>0</v>
      </c>
      <c r="E24" s="93">
        <v>0</v>
      </c>
    </row>
    <row r="26" spans="1:5">
      <c r="A26" s="89" t="s">
        <v>255</v>
      </c>
    </row>
    <row r="27" spans="1:5">
      <c r="A27" s="9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1" t="s">
        <v>199</v>
      </c>
      <c r="B28" s="92" t="s">
        <v>256</v>
      </c>
      <c r="C28" s="92" t="s">
        <v>257</v>
      </c>
    </row>
    <row r="29" spans="1:5">
      <c r="A29" s="93">
        <f t="array" ref="A29:C34">_xll.AspenTech.PME.ProcessData.Functions.ShowCalculationValues(ADDRESS(ROW(Dados_MES!A27),COLUMN(Dados_MES!A27),1,,"Dados_MES"),Dados_MES!A27, 0)</f>
        <v>0</v>
      </c>
      <c r="B29" s="93">
        <v>0</v>
      </c>
      <c r="C29" s="93">
        <v>0</v>
      </c>
    </row>
    <row r="30" spans="1:5">
      <c r="A30" s="93">
        <v>0</v>
      </c>
      <c r="B30" s="93">
        <v>0</v>
      </c>
      <c r="C30" s="93">
        <v>0</v>
      </c>
    </row>
    <row r="31" spans="1:5">
      <c r="A31" s="93">
        <v>0</v>
      </c>
      <c r="B31" s="93">
        <v>0</v>
      </c>
      <c r="C31" s="93">
        <v>0</v>
      </c>
    </row>
    <row r="32" spans="1:5">
      <c r="A32" s="93">
        <v>0</v>
      </c>
      <c r="B32" s="93">
        <v>0</v>
      </c>
      <c r="C32" s="93">
        <v>0</v>
      </c>
    </row>
    <row r="33" spans="1:3">
      <c r="A33" s="93">
        <v>0</v>
      </c>
      <c r="B33" s="93">
        <v>0</v>
      </c>
      <c r="C33" s="93">
        <v>0</v>
      </c>
    </row>
    <row r="34" spans="1:3">
      <c r="A34" s="93">
        <v>0</v>
      </c>
      <c r="B34" s="93">
        <v>0</v>
      </c>
      <c r="C3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397</v>
      </c>
      <c r="L1" t="s">
        <v>398</v>
      </c>
      <c r="M1" t="s">
        <v>399</v>
      </c>
      <c r="N1" t="s">
        <v>400</v>
      </c>
      <c r="O1" t="s">
        <v>401</v>
      </c>
      <c r="P1" t="s">
        <v>402</v>
      </c>
      <c r="Q1" t="s">
        <v>403</v>
      </c>
    </row>
    <row r="2" spans="11:17">
      <c r="K2" t="s">
        <v>404</v>
      </c>
      <c r="L2" t="s">
        <v>405</v>
      </c>
      <c r="M2" t="s">
        <v>406</v>
      </c>
      <c r="N2" t="s">
        <v>407</v>
      </c>
      <c r="O2" t="s">
        <v>408</v>
      </c>
      <c r="P2" t="s">
        <v>409</v>
      </c>
      <c r="Q2">
        <v>51</v>
      </c>
    </row>
    <row r="3" spans="11:17">
      <c r="K3" t="s">
        <v>274</v>
      </c>
      <c r="L3" t="s">
        <v>118</v>
      </c>
      <c r="M3" t="s">
        <v>406</v>
      </c>
      <c r="N3" t="s">
        <v>410</v>
      </c>
      <c r="O3" t="s">
        <v>411</v>
      </c>
      <c r="P3" t="s">
        <v>412</v>
      </c>
      <c r="Q3">
        <v>5</v>
      </c>
    </row>
    <row r="4" spans="11:17">
      <c r="K4" t="s">
        <v>413</v>
      </c>
      <c r="L4" t="s">
        <v>414</v>
      </c>
      <c r="M4" t="s">
        <v>415</v>
      </c>
      <c r="N4" t="s">
        <v>416</v>
      </c>
      <c r="O4" t="s">
        <v>417</v>
      </c>
      <c r="P4" t="s">
        <v>418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2026-10-14T10:12:02Z</dcterms:created>
  <dcterms:modified xsi:type="dcterms:W3CDTF">2026-10-14T10:12:02Z</dcterms:modified>
</cp:coreProperties>
</file>