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Limites" sheetId="5" state="hidden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">'Preenchimento'!$E$61</definedName>
    <definedName name="dArea">'Resumo Dia'!$B$2:$M$91</definedName>
    <definedName name="dAReal">'Preenchimento'!$C$41:$C$48</definedName>
    <definedName name="dArStatus">'Preenchimento'!$H$61</definedName>
    <definedName name="dAtualizado">'Resumo Dia'!$B$68</definedName>
    <definedName name="dCadinhos">'Preenchimento'!$E$65</definedName>
    <definedName name="dCompressor">'Preenchimento'!$E$62</definedName>
    <definedName name="dComUS3">'Preenchimento'!$E$51</definedName>
    <definedName name="dComUS4">'Preenchimento'!$E$54</definedName>
    <definedName name="dCoque04">'Preenchimento'!$E$70</definedName>
    <definedName name="dEquip">'Preenchimento'!$C$35:$C$38</definedName>
    <definedName name="dH2Carvao">'Preenchimento'!$E$69</definedName>
    <definedName name="dH2Coque">'Preenchimento'!$I$69</definedName>
    <definedName name="dHoras">'Resumo Dia'!$E$69:$J$69</definedName>
    <definedName name="dLetra">'Preenchimento'!$D$11</definedName>
    <definedName name="dNitrogenio">'Preenchimento'!$H$62</definedName>
    <definedName name="dObs">'Preenchimento'!$E$71</definedName>
    <definedName name="dPadroes">'Preenchimento'!$E$60</definedName>
    <definedName name="dPadroesQuais">'Preenchimento'!$H$60</definedName>
    <definedName name="dProdUS3">'Preenchimento'!$D$12</definedName>
    <definedName name="dProdUS4">'Preenchimento'!$I$12</definedName>
    <definedName name="dProg">'Preenchimento'!$E$59</definedName>
    <definedName name="dReal">'Preenchimento'!$C$15:$C$26</definedName>
    <definedName name="dRecebe">'Preenchimento'!$K$11</definedName>
    <definedName name="dReforma">'Preenchimento'!$E$66</definedName>
    <definedName name="dSol">'Preenchimento'!$C$29:$C$32</definedName>
    <definedName name="dTecnico">'Preenchimento'!$F$11</definedName>
    <definedName name="gArea">'Resultados gerais'!$B$2:$S$33</definedName>
    <definedName name="gAtualizado">'Resultados gerais'!$B$10</definedName>
    <definedName name="gFim">'Resultados gerais'!$I$6</definedName>
    <definedName name="gHoras">'Resultados gerais'!$E$11:$P$11</definedName>
    <definedName name="gIni">'Resultados gerais'!$E$6</definedName>
    <definedName name="gProdUS3">'Resultados gerais'!$C$8</definedName>
    <definedName name="gProdUS4">'Resultados gerais'!$C$9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'Configurações'!$C$18:$C$29</definedName>
    <definedName name="lstProdutos">OFFSET('Limites'!$B$9,0,0,MAX(1,COUNTA('Limites'!$B$9:$B$33)),1)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mesPrefixo">'Dados_MES'!$E$3</definedName>
    <definedName name="mesTempo">'Dados_MES'!$E$4</definedName>
    <definedName name="nAr">'Preenchimento'!$E$126</definedName>
    <definedName name="nArea">'Resumo Noite'!$B$2:$M$91</definedName>
    <definedName name="nAReal">'Preenchimento'!$C$106:$C$113</definedName>
    <definedName name="nArStatus">'Preenchimento'!$H$126</definedName>
    <definedName name="nAtualizado">'Resumo Noite'!$B$68</definedName>
    <definedName name="nCadinhos">'Preenchimento'!$E$130</definedName>
    <definedName name="nCompressor">'Preenchimento'!$E$127</definedName>
    <definedName name="nComUS3">'Preenchimento'!$E$116</definedName>
    <definedName name="nComUS4">'Preenchimento'!$E$119</definedName>
    <definedName name="nCoque04">'Preenchimento'!$E$135</definedName>
    <definedName name="nEquip">'Preenchimento'!$C$100:$C$103</definedName>
    <definedName name="nH2Carvao">'Preenchimento'!$E$134</definedName>
    <definedName name="nH2Coque">'Preenchimento'!$I$134</definedName>
    <definedName name="nHoras">'Resumo Noite'!$E$69:$J$69</definedName>
    <definedName name="nLetra">'Preenchimento'!$D$76</definedName>
    <definedName name="nNitrogenio">'Preenchimento'!$H$127</definedName>
    <definedName name="nObs">'Preenchimento'!$E$136</definedName>
    <definedName name="nPadroes">'Preenchimento'!$E$125</definedName>
    <definedName name="nPadroesQuais">'Preenchimento'!$H$125</definedName>
    <definedName name="nProdUS3">'Preenchimento'!$D$77</definedName>
    <definedName name="nProdUS4">'Preenchimento'!$I$77</definedName>
    <definedName name="nProg">'Preenchimento'!$E$124</definedName>
    <definedName name="nReal">'Preenchimento'!$C$80:$C$91</definedName>
    <definedName name="nRecebe">'Preenchimento'!$K$76</definedName>
    <definedName name="nReforma">'Preenchimento'!$E$131</definedName>
    <definedName name="nSol">'Preenchimento'!$C$94:$C$97</definedName>
    <definedName name="nTecnico">'Preenchimento'!$F$76</definedName>
    <definedName name="pData">'Preenchimento'!$E$6</definedName>
    <definedName name="_xlnm.Print_Area" localSheetId="5">Configurações!$B$2:$P$31</definedName>
    <definedName name="_xlnm.Print_Area" localSheetId="4">Limites!$B$2:$S$37</definedName>
    <definedName name="_xlnm.Print_Area" localSheetId="0">Preenchimento!$B$2:$K$138</definedName>
    <definedName name="_xlnm.Print_Area" localSheetId="3">'Resultados gerais'!$B$2:$S$33</definedName>
    <definedName name="_xlnm.Print_Area" localSheetId="1">'Resumo Dia'!$B$2:$M$91</definedName>
    <definedName name="_xlnm.Print_Area" localSheetId="2">'Resumo Noite'!$B$2:$M$91</definedName>
  </definedNames>
  <calcPr calcId="124519" fullCalcOnLoad="1"/>
</workbook>
</file>

<file path=xl/sharedStrings.xml><?xml version="1.0" encoding="utf-8"?>
<sst xmlns="http://schemas.openxmlformats.org/spreadsheetml/2006/main" count="715" uniqueCount="270">
  <si>
    <t>CONFIGURAÇÕES</t>
  </si>
  <si>
    <t>LABORATÓRIO QUÍMICO  |  MES E TAGS</t>
  </si>
  <si>
    <t>Parâmetros gerais</t>
  </si>
  <si>
    <t>Fonte dos dados</t>
  </si>
  <si>
    <t>MES</t>
  </si>
  <si>
    <t>MES ou SIMULAÇÃO (dados fictícios, para treino)</t>
  </si>
  <si>
    <t>Servidor do MES</t>
  </si>
  <si>
    <t>UBU</t>
  </si>
  <si>
    <t>Servidor do suplemento Aspen</t>
  </si>
  <si>
    <t>Início do turno Dia</t>
  </si>
  <si>
    <t>O turno Noite inicia 12 h depois</t>
  </si>
  <si>
    <t>Espera máxima pelo MES (s)</t>
  </si>
  <si>
    <t>Tempo máximo de resposta do Aspen</t>
  </si>
  <si>
    <t>Formato da data para o MES</t>
  </si>
  <si>
    <t>Texto dd/mm/aaaa</t>
  </si>
  <si>
    <t>Padrão: Texto dd/mm/aaaa</t>
  </si>
  <si>
    <t>Análise sem tag não é consultada no MES e não aparece no relatório. Pellet Feed: amostra única US3/4 (tag US4 = tag US3). Tags: Plano Amostral rev. 06.</t>
  </si>
  <si>
    <t>Tags do MES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</si>
  <si>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</si>
  <si>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</si>
  <si>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</si>
  <si>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</si>
  <si>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</si>
  <si>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</si>
  <si>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</si>
  <si>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</si>
  <si>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</si>
  <si>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</si>
  <si>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</si>
  <si>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</si>
  <si>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</si>
  <si>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</si>
  <si>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</si>
  <si>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Filtragem - Pellet Feed</t>
  </si>
  <si>
    <t>SiO2</t>
  </si>
  <si>
    <t>%</t>
  </si>
  <si>
    <t>Média</t>
  </si>
  <si>
    <t>M650030010-0004-HHLQU</t>
  </si>
  <si>
    <t>IP_MESVALOR</t>
  </si>
  <si>
    <t>P</t>
  </si>
  <si>
    <t>M650030010-0008-HHLQU</t>
  </si>
  <si>
    <t>MgO</t>
  </si>
  <si>
    <t>M650030010-0007-HHLQU</t>
  </si>
  <si>
    <t>CaO</t>
  </si>
  <si>
    <t>M650030010-0006-HHLQU</t>
  </si>
  <si>
    <t>PPC</t>
  </si>
  <si>
    <t>M650030010-0013-HHLQU</t>
  </si>
  <si>
    <t>Pelota Queimada</t>
  </si>
  <si>
    <t>Fe</t>
  </si>
  <si>
    <t>M710050020-0002-HHLQU</t>
  </si>
  <si>
    <t>M4710050020-0002-HHLQU</t>
  </si>
  <si>
    <t>M710050020-0004-HHLQU</t>
  </si>
  <si>
    <t>M4710050020-0004-HHLQU</t>
  </si>
  <si>
    <t>Al2O3</t>
  </si>
  <si>
    <t>M710050020-0005-HHLQU</t>
  </si>
  <si>
    <t>M4710050020-0005-HHLQU</t>
  </si>
  <si>
    <t>M710050020-0006-HHLQU</t>
  </si>
  <si>
    <t>M4710050020-0006-HHLQU</t>
  </si>
  <si>
    <t>M710050020-0007-HHLQU</t>
  </si>
  <si>
    <t>M4710050020-0007-HHLQU</t>
  </si>
  <si>
    <t>B2 (CaO/SiO2)</t>
  </si>
  <si>
    <t>-</t>
  </si>
  <si>
    <t>M710050020-0018-HHLQU</t>
  </si>
  <si>
    <t>M4710050020-0018-HHLQU</t>
  </si>
  <si>
    <t>Mn</t>
  </si>
  <si>
    <t>M710050020-0115-HHLQU</t>
  </si>
  <si>
    <t>M4710050020-0115-HHLQU</t>
  </si>
  <si>
    <t>Laranja: análise sem tag.</t>
  </si>
  <si>
    <t>Listas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</si>
  <si>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</si>
  <si>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</si>
  <si>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</si>
  <si>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</si>
  <si>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</si>
  <si>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</si>
  <si>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</si>
  <si>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</si>
  <si>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</si>
  <si>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</si>
  <si>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</si>
  <si>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</si>
  <si>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</si>
  <si>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</si>
  <si>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</si>
  <si>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</si>
  <si>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</si>
  <si>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</si>
  <si>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Soma</t>
  </si>
  <si>
    <t>Último valor</t>
  </si>
  <si>
    <t>Fonte</t>
  </si>
  <si>
    <t>SIMULAÇÃO</t>
  </si>
  <si>
    <t>Sim/Não</t>
  </si>
  <si>
    <t>Sim</t>
  </si>
  <si>
    <t>Não</t>
  </si>
  <si>
    <t>Tipo de tag</t>
  </si>
  <si>
    <t>IP_ANALOGMAP</t>
  </si>
  <si>
    <t>Formato data MES</t>
  </si>
  <si>
    <t>Data do Excel</t>
  </si>
  <si>
    <t>Texto mm/dd/aaaa</t>
  </si>
  <si>
    <t>LIMITES DE PROCESSO POR PRODUTO</t>
  </si>
  <si>
    <t>LABORATÓRIO QUÍMICO  |  SMIN-POP-GEA-001 REV. 12</t>
  </si>
  <si>
    <t>Verde: dentro do limite (igual ou acima do mínimo, igual ou abaixo do máximo). Vermelho: fora do limite. Célula vazia: sem limite. Produto novo: usar uma linha livre.</t>
  </si>
  <si>
    <t>Produto</t>
  </si>
  <si>
    <t>Concentrado</t>
  </si>
  <si>
    <t>PELOTA  |  PROCESSO (GPU), DADOS HORÁRIOS</t>
  </si>
  <si>
    <t>PELLET FEED (FILTRAGEM)  |  POR CONCENTRADO</t>
  </si>
  <si>
    <t>Fe mín.</t>
  </si>
  <si>
    <t>Fe máx.</t>
  </si>
  <si>
    <t>SiO2 mín.</t>
  </si>
  <si>
    <t>SiO2 máx.</t>
  </si>
  <si>
    <t>P mín.</t>
  </si>
  <si>
    <t>P máx.</t>
  </si>
  <si>
    <t>CaO mín.</t>
  </si>
  <si>
    <t>CaO máx.</t>
  </si>
  <si>
    <t>B2 mín.</t>
  </si>
  <si>
    <t>B2 máx.</t>
  </si>
  <si>
    <t>PPC mín.</t>
  </si>
  <si>
    <t>PPC máx.</t>
  </si>
  <si>
    <t>PDR/MX</t>
  </si>
  <si>
    <t>CLS</t>
  </si>
  <si>
    <t>PDR/STD</t>
  </si>
  <si>
    <t>CNS</t>
  </si>
  <si>
    <t>PBF/MB45</t>
  </si>
  <si>
    <t>CHS</t>
  </si>
  <si>
    <t>PBF/STD</t>
  </si>
  <si>
    <t>PBF/HB</t>
  </si>
  <si>
    <t>PBF/SF</t>
  </si>
  <si>
    <t>PBF/SA</t>
  </si>
  <si>
    <t>CSP</t>
  </si>
  <si>
    <t>Incorporações de terceiros/internas: reduzir alvos e limites de SiO2 do concentrado em 0,10 p.p. (item 10.2). Pellet Feed: SiO2 bi-horário; P e PPC máximo diário do batch.</t>
  </si>
  <si>
    <t>Dados brutos do MES (Aspen IP.21) - não editar</t>
  </si>
  <si>
    <t>Início</t>
  </si>
  <si>
    <t>Fim</t>
  </si>
  <si>
    <t>Prefixo Aspen</t>
  </si>
  <si>
    <t>Última consulta</t>
  </si>
  <si>
    <t>Consulta: Análises químicas  (tipo de cálculo "1")</t>
  </si>
  <si>
    <t>Data/hora</t>
  </si>
  <si>
    <t>P01 US3 · SiO2</t>
  </si>
  <si>
    <t>P01 US4 · SiO2</t>
  </si>
  <si>
    <t>P02 US3 · P</t>
  </si>
  <si>
    <t>P02 US4 · P</t>
  </si>
  <si>
    <t>P03 US3 · MgO</t>
  </si>
  <si>
    <t>P03 US4 · MgO</t>
  </si>
  <si>
    <t>P04 US3 · CaO</t>
  </si>
  <si>
    <t>P04 US4 · CaO</t>
  </si>
  <si>
    <t>P05 US3 · PPC</t>
  </si>
  <si>
    <t>P05 US4 · PPC</t>
  </si>
  <si>
    <t>P06 US3 · Fe</t>
  </si>
  <si>
    <t>P06 US4 · Fe</t>
  </si>
  <si>
    <t>P07 US3 · SiO2</t>
  </si>
  <si>
    <t>P07 US4 · SiO2</t>
  </si>
  <si>
    <t>P08 US3 · Al2O3</t>
  </si>
  <si>
    <t>P08 US4 · Al2O3</t>
  </si>
  <si>
    <t>P09 US3 · CaO</t>
  </si>
  <si>
    <t>P09 US4 · CaO</t>
  </si>
  <si>
    <t>P10 US3 · MgO</t>
  </si>
  <si>
    <t>P10 US4 · MgO</t>
  </si>
  <si>
    <t>P11 US3 · B2 (CaO/SiO2)</t>
  </si>
  <si>
    <t>P11 US4 · B2 (CaO/SiO2)</t>
  </si>
  <si>
    <t>P12 US3 · Mn</t>
  </si>
  <si>
    <t>P12 US4 · Mn</t>
  </si>
  <si>
    <t>RELATÓRIO DE PASSAGEM DE TURNO</t>
  </si>
  <si>
    <t>LABORATÓRIO QUÍMICO</t>
  </si>
  <si>
    <t>Data do dia</t>
  </si>
  <si>
    <t>Turno Dia 07:00 às 19:00   |   Turno Noite 19:00 às 07:00</t>
  </si>
  <si>
    <t>TURNO DIA   07:00 – 19:00</t>
  </si>
  <si>
    <t>Resumo Dia</t>
  </si>
  <si>
    <t>Letra</t>
  </si>
  <si>
    <t>Técnico</t>
  </si>
  <si>
    <t>Letra que recebe</t>
  </si>
  <si>
    <t>Produto US3</t>
  </si>
  <si>
    <t>Produto US4</t>
  </si>
  <si>
    <t>1. Tarefas realizadas</t>
  </si>
  <si>
    <t>2. Solicitações</t>
  </si>
  <si>
    <t>3. Equipamentos</t>
  </si>
  <si>
    <t>4. Tarefas a realizar (próximo turno)</t>
  </si>
  <si>
    <t>5. Comentários por usina</t>
  </si>
  <si>
    <t>Comentário US3</t>
  </si>
  <si>
    <t>Comentário US4</t>
  </si>
  <si>
    <t>6. Controle do laboratório</t>
  </si>
  <si>
    <t>Programa em uso</t>
  </si>
  <si>
    <t>OREGON (RX), Carbono (Leco CS-230), PCS (Calorímetro), mufla 1000 ºC, fotômetro, balanças, estufa e máquina de fusão</t>
  </si>
  <si>
    <t>Foi necessário preparar padrões?</t>
  </si>
  <si>
    <t>Quais</t>
  </si>
  <si>
    <t>Sistema de ar utilizado</t>
  </si>
  <si>
    <t>7. Cadinhos de platina</t>
  </si>
  <si>
    <t>Repassados para o turno</t>
  </si>
  <si>
    <t>Retirado para reforma</t>
  </si>
  <si>
    <t>8. Observações gerais</t>
  </si>
  <si>
    <t>Hidrogênio no carvão</t>
  </si>
  <si>
    <t>Hidrogênio no coque</t>
  </si>
  <si>
    <t>Coque Planta 04</t>
  </si>
  <si>
    <t>Observações</t>
  </si>
  <si>
    <t>TURNO NOITE   19:00 – 07:00</t>
  </si>
  <si>
    <t>Resumo Noite</t>
  </si>
  <si>
    <t>Ir para:</t>
  </si>
  <si>
    <t>Turno Noite</t>
  </si>
  <si>
    <t>Resultados gerais</t>
  </si>
  <si>
    <t>Data</t>
  </si>
  <si>
    <t>Turno</t>
  </si>
  <si>
    <t>OCORRÊNCIAS DO TURNO</t>
  </si>
  <si>
    <t>T</t>
  </si>
  <si>
    <t>W</t>
  </si>
  <si>
    <t>CONTROLE DO LABORATÓRIO</t>
  </si>
  <si>
    <t>Status do equipamento</t>
  </si>
  <si>
    <t>CADINHOS DE PLATINA</t>
  </si>
  <si>
    <t>OBSERVAÇÕES GERAIS</t>
  </si>
  <si>
    <t>INFORMATIVO DE QUALIDADE DO TURNO  |  RESULTADOS DO MES</t>
  </si>
  <si>
    <t>Resultados não atualizados</t>
  </si>
  <si>
    <t>Amostra / análise</t>
  </si>
  <si>
    <t>Un.</t>
  </si>
  <si>
    <t>Usina</t>
  </si>
  <si>
    <t>07:30</t>
  </si>
  <si>
    <t>09:30</t>
  </si>
  <si>
    <t>11:30</t>
  </si>
  <si>
    <t>13:30</t>
  </si>
  <si>
    <t>15:30</t>
  </si>
  <si>
    <t>17:30</t>
  </si>
  <si>
    <t>Média do turno</t>
  </si>
  <si>
    <t>Mín.</t>
  </si>
  <si>
    <t>Máx.</t>
  </si>
  <si>
    <t>G1</t>
  </si>
  <si>
    <t>P01U3</t>
  </si>
  <si>
    <t>US3/4</t>
  </si>
  <si>
    <t>P02U3</t>
  </si>
  <si>
    <t>P03U3</t>
  </si>
  <si>
    <t>P04U3</t>
  </si>
  <si>
    <t>P05U3</t>
  </si>
  <si>
    <t>G2</t>
  </si>
  <si>
    <t>P06U3</t>
  </si>
  <si>
    <t>US3</t>
  </si>
  <si>
    <t>P06U4</t>
  </si>
  <si>
    <t>US4</t>
  </si>
  <si>
    <t>P07U3</t>
  </si>
  <si>
    <t>P07U4</t>
  </si>
  <si>
    <t>P08U3</t>
  </si>
  <si>
    <t>P08U4</t>
  </si>
  <si>
    <t>P09U3</t>
  </si>
  <si>
    <t>P09U4</t>
  </si>
  <si>
    <t>P10U3</t>
  </si>
  <si>
    <t>P10U4</t>
  </si>
  <si>
    <t>P11U3</t>
  </si>
  <si>
    <t>P11U4</t>
  </si>
  <si>
    <t>P12U3</t>
  </si>
  <si>
    <t>P12U4</t>
  </si>
  <si>
    <t>Verde: dentro do limite   |   Vermelho: fora do limite   |   Limites: SMIN-POP-GEA-001 rev. 12   |   Tags: Plano Amostral rev. 06</t>
  </si>
  <si>
    <t>Voltar ao Preenchimento</t>
  </si>
  <si>
    <t>19:30</t>
  </si>
  <si>
    <t>21:30</t>
  </si>
  <si>
    <t>23:30</t>
  </si>
  <si>
    <t>01:30</t>
  </si>
  <si>
    <t>03:30</t>
  </si>
  <si>
    <t>05:30</t>
  </si>
  <si>
    <t>Período (máx. 24 h)</t>
  </si>
  <si>
    <t>Formato: dd/mm/aaaa hh:mm</t>
  </si>
  <si>
    <t>—</t>
  </si>
  <si>
    <t>Média do período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</si>
  <si>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</si>
  <si>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</si>
  <si>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</si>
  <si>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</si>
  <si>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</si>
  <si>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</si>
  <si>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</si>
  <si>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</si>
  <si>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Análises químicas</t>
  </si>
  <si>
    <t>1</t>
  </si>
  <si>
    <t>A7</t>
  </si>
  <si>
    <t>A9</t>
  </si>
  <si>
    <t>1,2,3,4,5,6,7,8,9,10,11,12</t>
  </si>
</sst>
</file>

<file path=xl/styles.xml><?xml version="1.0" encoding="utf-8"?>
<styleSheet xmlns="http://schemas.openxmlformats.org/spreadsheetml/2006/main">
  <numFmts count="6">
    <numFmt numFmtId="164" formatCode="dd/mm/yyyy"/>
    <numFmt numFmtId="165" formatCode="0.00"/>
    <numFmt numFmtId="166" formatCode="0.000"/>
    <numFmt numFmtId="167" formatCode="dd/mm/yyyy hh:mm"/>
    <numFmt numFmtId="168" formatCode="hh:mm"/>
    <numFmt numFmtId="169" formatCode="dd/mm/yyyy hh:mm:ss"/>
  </numFmts>
  <fonts count="41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9"/>
      <color rgb="FF5B6B77"/>
      <name val="Segoe UI"/>
      <family val="2"/>
    </font>
    <font>
      <b/>
      <sz val="9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sz val="8"/>
      <color rgb="FF5B6B77"/>
      <name val="Segoe UI"/>
      <family val="2"/>
    </font>
    <font>
      <b/>
      <sz val="10"/>
      <color rgb="FF003B6C"/>
      <name val="Segoe UI"/>
      <family val="2"/>
    </font>
    <font>
      <sz val="9"/>
      <color rgb="FF1D2B36"/>
      <name val="Segoe UI"/>
      <family val="2"/>
    </font>
    <font>
      <b/>
      <sz val="11"/>
      <color rgb="FFFFFFFF"/>
      <name val="Segoe UI"/>
      <family val="2"/>
    </font>
    <font>
      <sz val="6"/>
      <color rgb="FFFFFFFF"/>
      <name val="Segoe UI"/>
      <family val="2"/>
    </font>
    <font>
      <i/>
      <sz val="10"/>
      <color rgb="FF5B6B77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b/>
      <sz val="10"/>
      <color rgb="FF1D2B36"/>
      <name val="Segoe UI"/>
      <family val="2"/>
    </font>
    <font>
      <b/>
      <sz val="9"/>
      <color rgb="FF00335A"/>
      <name val="Segoe UI"/>
      <family val="2"/>
    </font>
    <font>
      <b/>
      <sz val="10.5"/>
      <color rgb="FF003B6C"/>
      <name val="Segoe UI"/>
      <family val="2"/>
    </font>
    <font>
      <sz val="9"/>
      <color rgb="FF61889B"/>
      <name val="Segoe UI"/>
      <family val="2"/>
    </font>
    <font>
      <b/>
      <sz val="9"/>
      <color rgb="FF61889B"/>
      <name val="Segoe UI"/>
      <family val="2"/>
    </font>
    <font>
      <i/>
      <sz val="8.5"/>
      <color rgb="FF5B6B77"/>
      <name val="Segoe UI"/>
      <family val="2"/>
    </font>
    <font>
      <i/>
      <sz val="8"/>
      <color rgb="FF5B6B77"/>
      <name val="Segoe UI"/>
      <family val="2"/>
    </font>
    <font>
      <i/>
      <sz val="7.5"/>
      <color rgb="FF5B6B77"/>
      <name val="Segoe UI"/>
      <family val="2"/>
    </font>
    <font>
      <b/>
      <sz val="8"/>
      <color rgb="FF003B6C"/>
      <name val="Segoe UI"/>
      <family val="2"/>
    </font>
    <font>
      <b/>
      <sz val="10"/>
      <color rgb="FFFFFFFF"/>
      <name val="Segoe UI"/>
      <family val="2"/>
    </font>
    <font>
      <b/>
      <sz val="9"/>
      <color rgb="FF1D2B36"/>
      <name val="Segoe UI"/>
      <family val="2"/>
    </font>
    <font>
      <i/>
      <sz val="9"/>
      <color rgb="FF61889B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b/>
      <sz val="8"/>
      <color rgb="FFFFFFFF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8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2" borderId="2" xfId="0" applyFont="1" applyFill="1" applyBorder="1" applyAlignment="1">
      <alignment horizontal="left" vertical="center" indent="1"/>
    </xf>
    <xf numFmtId="0" fontId="10" fillId="0" borderId="0" xfId="0" applyFont="1" applyAlignment="1">
      <alignment vertical="center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12" fillId="0" borderId="3" xfId="0" applyFont="1" applyBorder="1" applyAlignment="1"/>
    <xf numFmtId="0" fontId="13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/>
      <protection locked="0"/>
    </xf>
    <xf numFmtId="0" fontId="14" fillId="4" borderId="1" xfId="0" applyFont="1" applyFill="1" applyBorder="1" applyAlignment="1">
      <alignment horizontal="left" vertical="center" indent="1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5" fillId="5" borderId="1" xfId="0" applyFont="1" applyFill="1" applyBorder="1" applyAlignment="1" applyProtection="1">
      <alignment horizontal="left" vertical="center" indent="1" wrapText="1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 indent="1"/>
    </xf>
    <xf numFmtId="0" fontId="16" fillId="6" borderId="0" xfId="0" applyFont="1" applyFill="1" applyAlignment="1">
      <alignment horizontal="left" vertical="center" indent="1"/>
    </xf>
    <xf numFmtId="0" fontId="14" fillId="7" borderId="1" xfId="0" applyFont="1" applyFill="1" applyBorder="1" applyAlignment="1">
      <alignment horizontal="left" vertical="center" indent="1"/>
    </xf>
    <xf numFmtId="0" fontId="17" fillId="0" borderId="0" xfId="0" applyFont="1" applyAlignment="1">
      <alignment vertical="center"/>
    </xf>
    <xf numFmtId="0" fontId="6" fillId="0" borderId="4" xfId="0" applyFont="1" applyBorder="1" applyAlignment="1">
      <alignment horizontal="right" vertical="center"/>
    </xf>
    <xf numFmtId="0" fontId="1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left" vertical="center" indent="1"/>
    </xf>
    <xf numFmtId="0" fontId="1" fillId="0" borderId="1" xfId="0" applyFont="1" applyBorder="1" applyAlignment="1">
      <alignment horizontal="left" vertical="center" indent="1" wrapText="1"/>
    </xf>
    <xf numFmtId="0" fontId="19" fillId="0" borderId="0" xfId="0" applyFont="1" applyAlignment="1">
      <alignment horizontal="left" vertical="center" indent="1"/>
    </xf>
    <xf numFmtId="0" fontId="20" fillId="2" borderId="5" xfId="0" applyFont="1" applyFill="1" applyBorder="1" applyAlignment="1">
      <alignment horizontal="center" vertical="center" wrapText="1"/>
    </xf>
    <xf numFmtId="0" fontId="21" fillId="8" borderId="1" xfId="0" applyFont="1" applyFill="1" applyBorder="1" applyAlignment="1">
      <alignment horizontal="left" vertical="center" indent="1"/>
    </xf>
    <xf numFmtId="0" fontId="6" fillId="8" borderId="1" xfId="0" applyFont="1" applyFill="1" applyBorder="1" applyAlignment="1">
      <alignment horizontal="center" vertical="center"/>
    </xf>
    <xf numFmtId="0" fontId="22" fillId="8" borderId="1" xfId="0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165" fontId="23" fillId="9" borderId="1" xfId="0" applyNumberFormat="1" applyFont="1" applyFill="1" applyBorder="1" applyAlignment="1">
      <alignment horizontal="center" vertical="center"/>
    </xf>
    <xf numFmtId="165" fontId="24" fillId="8" borderId="1" xfId="0" applyNumberFormat="1" applyFont="1" applyFill="1" applyBorder="1" applyAlignment="1">
      <alignment horizontal="center" vertical="center"/>
    </xf>
    <xf numFmtId="0" fontId="21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/>
    </xf>
    <xf numFmtId="0" fontId="22" fillId="10" borderId="1" xfId="0" applyFont="1" applyFill="1" applyBorder="1" applyAlignment="1">
      <alignment horizontal="center" vertical="center"/>
    </xf>
    <xf numFmtId="166" fontId="1" fillId="10" borderId="1" xfId="0" applyNumberFormat="1" applyFont="1" applyFill="1" applyBorder="1" applyAlignment="1">
      <alignment horizontal="center" vertical="center"/>
    </xf>
    <xf numFmtId="166" fontId="23" fillId="9" borderId="1" xfId="0" applyNumberFormat="1" applyFont="1" applyFill="1" applyBorder="1" applyAlignment="1">
      <alignment horizontal="center" vertical="center"/>
    </xf>
    <xf numFmtId="166" fontId="24" fillId="10" borderId="1" xfId="0" applyNumberFormat="1" applyFont="1" applyFill="1" applyBorder="1" applyAlignment="1">
      <alignment horizontal="center" vertical="center"/>
    </xf>
    <xf numFmtId="165" fontId="1" fillId="10" borderId="1" xfId="0" applyNumberFormat="1" applyFont="1" applyFill="1" applyBorder="1" applyAlignment="1">
      <alignment horizontal="center" vertical="center"/>
    </xf>
    <xf numFmtId="165" fontId="24" fillId="10" borderId="1" xfId="0" applyNumberFormat="1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6" fillId="0" borderId="0" xfId="0" applyFont="1" applyAlignment="1">
      <alignment horizontal="right" vertical="center"/>
    </xf>
    <xf numFmtId="167" fontId="12" fillId="5" borderId="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4" fillId="5" borderId="1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>
      <alignment horizontal="left" vertical="center" indent="1"/>
    </xf>
    <xf numFmtId="0" fontId="28" fillId="0" borderId="0" xfId="0" applyFont="1" applyAlignment="1">
      <alignment horizontal="left" vertical="center" indent="1"/>
    </xf>
    <xf numFmtId="0" fontId="6" fillId="4" borderId="1" xfId="0" applyFont="1" applyFill="1" applyBorder="1" applyAlignment="1">
      <alignment vertical="top" indent="1" wrapText="1"/>
    </xf>
    <xf numFmtId="0" fontId="29" fillId="7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 applyProtection="1">
      <alignment horizontal="left" vertical="center" indent="1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166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>
      <alignment vertical="top" indent="1" wrapText="1"/>
    </xf>
    <xf numFmtId="0" fontId="30" fillId="11" borderId="0" xfId="0" applyFont="1" applyFill="1" applyAlignment="1">
      <alignment horizontal="left" vertical="center" indent="1"/>
    </xf>
    <xf numFmtId="0" fontId="21" fillId="4" borderId="1" xfId="0" applyFont="1" applyFill="1" applyBorder="1" applyAlignment="1">
      <alignment horizontal="left" vertical="center" indent="1"/>
    </xf>
    <xf numFmtId="0" fontId="31" fillId="7" borderId="0" xfId="0" applyFont="1" applyFill="1" applyAlignment="1">
      <alignment vertical="center" wrapText="1"/>
    </xf>
    <xf numFmtId="0" fontId="15" fillId="0" borderId="7" xfId="0" applyFont="1" applyBorder="1" applyAlignment="1">
      <alignment vertical="center"/>
    </xf>
    <xf numFmtId="168" fontId="1" fillId="5" borderId="1" xfId="0" applyNumberFormat="1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horizontal="left" vertical="center" indent="1" wrapText="1"/>
    </xf>
    <xf numFmtId="0" fontId="30" fillId="12" borderId="5" xfId="0" applyFont="1" applyFill="1" applyBorder="1" applyAlignment="1">
      <alignment horizontal="center" vertical="center" wrapText="1"/>
    </xf>
    <xf numFmtId="0" fontId="33" fillId="4" borderId="5" xfId="0" applyFont="1" applyFill="1" applyBorder="1" applyAlignment="1">
      <alignment horizontal="left" vertical="center" indent="1"/>
    </xf>
    <xf numFmtId="0" fontId="21" fillId="4" borderId="5" xfId="0" applyFont="1" applyFill="1" applyBorder="1" applyAlignment="1">
      <alignment horizontal="left" vertical="center" indent="1"/>
    </xf>
    <xf numFmtId="0" fontId="34" fillId="5" borderId="1" xfId="0" applyFont="1" applyFill="1" applyBorder="1" applyAlignment="1" applyProtection="1">
      <alignment vertical="center"/>
      <protection locked="0"/>
    </xf>
    <xf numFmtId="0" fontId="15" fillId="5" borderId="1" xfId="0" applyFont="1" applyFill="1" applyBorder="1" applyAlignment="1" applyProtection="1">
      <alignment vertical="center"/>
      <protection locked="0"/>
    </xf>
    <xf numFmtId="0" fontId="35" fillId="4" borderId="1" xfId="0" applyFont="1" applyFill="1" applyBorder="1" applyAlignment="1">
      <alignment vertical="center"/>
    </xf>
    <xf numFmtId="0" fontId="33" fillId="8" borderId="5" xfId="0" applyFont="1" applyFill="1" applyBorder="1" applyAlignment="1">
      <alignment horizontal="left" vertical="center" indent="1"/>
    </xf>
    <xf numFmtId="0" fontId="21" fillId="8" borderId="5" xfId="0" applyFont="1" applyFill="1" applyBorder="1" applyAlignment="1">
      <alignment horizontal="left" vertical="center" indent="1"/>
    </xf>
    <xf numFmtId="0" fontId="36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169" fontId="1" fillId="4" borderId="0" xfId="0" applyNumberFormat="1" applyFont="1" applyFill="1" applyAlignment="1">
      <alignment horizontal="left"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30" fillId="2" borderId="0" xfId="0" applyFont="1" applyFill="1" applyAlignment="1">
      <alignment vertical="center"/>
    </xf>
    <xf numFmtId="0" fontId="40" fillId="2" borderId="0" xfId="0" applyFont="1" applyFill="1" applyAlignment="1">
      <alignment vertical="center" wrapText="1"/>
    </xf>
    <xf numFmtId="165" fontId="1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ill>
        <patternFill>
          <bgColor rgb="FFFDE6D8"/>
        </patternFill>
      </fill>
    </dxf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146685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104679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104679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104679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104679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213360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2649200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2649200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880110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12382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7335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8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7134225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38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12" customHeight="1">
      <c r="B1" s="1"/>
      <c r="C1" s="1"/>
      <c r="D1" s="1"/>
      <c r="E1" s="1"/>
      <c r="F1" s="1"/>
      <c r="G1" s="1"/>
      <c r="H1" s="1"/>
      <c r="I1" s="1"/>
      <c r="J1" s="1"/>
      <c r="K1" s="1"/>
    </row>
    <row r="2" spans="2:13" ht="34" customHeight="1">
      <c r="B2" s="1"/>
      <c r="C2" s="1"/>
      <c r="D2" s="1"/>
      <c r="E2" s="1"/>
      <c r="F2" s="2" t="s">
        <v>161</v>
      </c>
      <c r="G2" s="2"/>
      <c r="H2" s="2"/>
      <c r="I2" s="2"/>
      <c r="J2" s="2"/>
      <c r="K2" s="2"/>
    </row>
    <row r="3" spans="2:13" ht="24" customHeight="1">
      <c r="B3" s="1"/>
      <c r="C3" s="1"/>
      <c r="D3" s="1"/>
      <c r="E3" s="1"/>
      <c r="F3" s="3" t="s">
        <v>162</v>
      </c>
      <c r="G3" s="3"/>
      <c r="H3" s="3"/>
      <c r="I3" s="3"/>
      <c r="J3" s="3"/>
      <c r="K3" s="3"/>
    </row>
    <row r="4" spans="2:13" ht="6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163</v>
      </c>
      <c r="C6" s="5"/>
      <c r="D6" s="5"/>
      <c r="E6" s="6"/>
      <c r="F6" s="6"/>
      <c r="G6" s="7" t="s">
        <v>164</v>
      </c>
      <c r="H6" s="7"/>
      <c r="I6" s="7"/>
      <c r="J6" s="7"/>
      <c r="K6" s="7"/>
    </row>
    <row r="8" spans="2:13" ht="18" customHeight="1">
      <c r="B8" s="8" t="s">
        <v>195</v>
      </c>
      <c r="C8" s="9" t="s">
        <v>196</v>
      </c>
      <c r="E8" s="9" t="s">
        <v>166</v>
      </c>
      <c r="G8" s="9" t="s">
        <v>194</v>
      </c>
      <c r="I8" s="9" t="s">
        <v>197</v>
      </c>
    </row>
    <row r="10" spans="2:13" ht="26" customHeight="1">
      <c r="B10" s="10" t="s">
        <v>165</v>
      </c>
      <c r="C10" s="10"/>
      <c r="D10" s="10"/>
      <c r="E10" s="10"/>
      <c r="F10" s="10"/>
      <c r="G10" s="10"/>
      <c r="H10" s="10"/>
      <c r="I10" s="10"/>
      <c r="J10" s="10"/>
      <c r="K10" s="10"/>
      <c r="M10" s="11" t="s">
        <v>166</v>
      </c>
    </row>
    <row r="11" spans="2:13" ht="22" customHeight="1">
      <c r="B11" s="5" t="s">
        <v>167</v>
      </c>
      <c r="C11" s="5"/>
      <c r="D11" s="12"/>
      <c r="E11" s="5" t="s">
        <v>168</v>
      </c>
      <c r="F11" s="13"/>
      <c r="G11" s="13"/>
      <c r="H11" s="13"/>
      <c r="I11" s="5" t="s">
        <v>169</v>
      </c>
      <c r="J11" s="5"/>
      <c r="K11" s="12"/>
    </row>
    <row r="12" spans="2:13" ht="22" customHeight="1">
      <c r="B12" s="5" t="s">
        <v>170</v>
      </c>
      <c r="C12" s="5"/>
      <c r="D12" s="14"/>
      <c r="E12" s="14"/>
      <c r="F12" s="14"/>
      <c r="G12" s="5" t="s">
        <v>171</v>
      </c>
      <c r="H12" s="5"/>
      <c r="I12" s="14"/>
      <c r="J12" s="14"/>
      <c r="K12" s="14"/>
    </row>
    <row r="14" spans="2:13" ht="20" customHeight="1">
      <c r="B14" s="15" t="s">
        <v>172</v>
      </c>
      <c r="C14" s="15"/>
      <c r="D14" s="15"/>
      <c r="E14" s="15"/>
      <c r="F14" s="15"/>
      <c r="G14" s="15"/>
      <c r="H14" s="15"/>
      <c r="I14" s="15"/>
      <c r="J14" s="15"/>
      <c r="K14" s="15"/>
    </row>
    <row r="15" spans="2:13" ht="19" customHeight="1">
      <c r="B15" s="16">
        <v>1</v>
      </c>
      <c r="C15" s="17"/>
      <c r="D15" s="17"/>
      <c r="E15" s="17"/>
      <c r="F15" s="17"/>
      <c r="G15" s="17"/>
      <c r="H15" s="17"/>
      <c r="I15" s="17"/>
      <c r="J15" s="17"/>
      <c r="K15" s="17"/>
    </row>
    <row r="16" spans="2:13" ht="19" customHeight="1">
      <c r="B16" s="16">
        <v>2</v>
      </c>
      <c r="C16" s="17"/>
      <c r="D16" s="17"/>
      <c r="E16" s="17"/>
      <c r="F16" s="17"/>
      <c r="G16" s="17"/>
      <c r="H16" s="17"/>
      <c r="I16" s="17"/>
      <c r="J16" s="17"/>
      <c r="K16" s="17"/>
    </row>
    <row r="17" spans="2:11" ht="19" customHeight="1">
      <c r="B17" s="16">
        <v>3</v>
      </c>
      <c r="C17" s="17"/>
      <c r="D17" s="17"/>
      <c r="E17" s="17"/>
      <c r="F17" s="17"/>
      <c r="G17" s="17"/>
      <c r="H17" s="17"/>
      <c r="I17" s="17"/>
      <c r="J17" s="17"/>
      <c r="K17" s="17"/>
    </row>
    <row r="18" spans="2:11" ht="19" customHeight="1">
      <c r="B18" s="16">
        <v>4</v>
      </c>
      <c r="C18" s="17"/>
      <c r="D18" s="17"/>
      <c r="E18" s="17"/>
      <c r="F18" s="17"/>
      <c r="G18" s="17"/>
      <c r="H18" s="17"/>
      <c r="I18" s="17"/>
      <c r="J18" s="17"/>
      <c r="K18" s="17"/>
    </row>
    <row r="19" spans="2:11" ht="19" customHeight="1">
      <c r="B19" s="16">
        <v>5</v>
      </c>
      <c r="C19" s="17"/>
      <c r="D19" s="17"/>
      <c r="E19" s="17"/>
      <c r="F19" s="17"/>
      <c r="G19" s="17"/>
      <c r="H19" s="17"/>
      <c r="I19" s="17"/>
      <c r="J19" s="17"/>
      <c r="K19" s="17"/>
    </row>
    <row r="20" spans="2:11" ht="19" customHeight="1">
      <c r="B20" s="16">
        <v>6</v>
      </c>
      <c r="C20" s="17"/>
      <c r="D20" s="17"/>
      <c r="E20" s="17"/>
      <c r="F20" s="17"/>
      <c r="G20" s="17"/>
      <c r="H20" s="17"/>
      <c r="I20" s="17"/>
      <c r="J20" s="17"/>
      <c r="K20" s="17"/>
    </row>
    <row r="21" spans="2:11" ht="19" customHeight="1">
      <c r="B21" s="16">
        <v>7</v>
      </c>
      <c r="C21" s="17"/>
      <c r="D21" s="17"/>
      <c r="E21" s="17"/>
      <c r="F21" s="17"/>
      <c r="G21" s="17"/>
      <c r="H21" s="17"/>
      <c r="I21" s="17"/>
      <c r="J21" s="17"/>
      <c r="K21" s="17"/>
    </row>
    <row r="22" spans="2:11" ht="19" customHeight="1">
      <c r="B22" s="16">
        <v>8</v>
      </c>
      <c r="C22" s="17"/>
      <c r="D22" s="17"/>
      <c r="E22" s="17"/>
      <c r="F22" s="17"/>
      <c r="G22" s="17"/>
      <c r="H22" s="17"/>
      <c r="I22" s="17"/>
      <c r="J22" s="17"/>
      <c r="K22" s="17"/>
    </row>
    <row r="23" spans="2:11" ht="19" customHeight="1">
      <c r="B23" s="16">
        <v>9</v>
      </c>
      <c r="C23" s="17"/>
      <c r="D23" s="17"/>
      <c r="E23" s="17"/>
      <c r="F23" s="17"/>
      <c r="G23" s="17"/>
      <c r="H23" s="17"/>
      <c r="I23" s="17"/>
      <c r="J23" s="17"/>
      <c r="K23" s="17"/>
    </row>
    <row r="24" spans="2:11" ht="19" customHeight="1">
      <c r="B24" s="16">
        <v>10</v>
      </c>
      <c r="C24" s="17"/>
      <c r="D24" s="17"/>
      <c r="E24" s="17"/>
      <c r="F24" s="17"/>
      <c r="G24" s="17"/>
      <c r="H24" s="17"/>
      <c r="I24" s="17"/>
      <c r="J24" s="17"/>
      <c r="K24" s="17"/>
    </row>
    <row r="25" spans="2:11" ht="19" customHeight="1">
      <c r="B25" s="16">
        <v>11</v>
      </c>
      <c r="C25" s="17"/>
      <c r="D25" s="17"/>
      <c r="E25" s="17"/>
      <c r="F25" s="17"/>
      <c r="G25" s="17"/>
      <c r="H25" s="17"/>
      <c r="I25" s="17"/>
      <c r="J25" s="17"/>
      <c r="K25" s="17"/>
    </row>
    <row r="26" spans="2:11" ht="19" customHeight="1">
      <c r="B26" s="16">
        <v>12</v>
      </c>
      <c r="C26" s="17"/>
      <c r="D26" s="17"/>
      <c r="E26" s="17"/>
      <c r="F26" s="17"/>
      <c r="G26" s="17"/>
      <c r="H26" s="17"/>
      <c r="I26" s="17"/>
      <c r="J26" s="17"/>
      <c r="K26" s="17"/>
    </row>
    <row r="28" spans="2:11" ht="20" customHeight="1">
      <c r="B28" s="15" t="s">
        <v>173</v>
      </c>
      <c r="C28" s="15"/>
      <c r="D28" s="15"/>
      <c r="E28" s="15"/>
      <c r="F28" s="15"/>
      <c r="G28" s="15"/>
      <c r="H28" s="15"/>
      <c r="I28" s="15"/>
      <c r="J28" s="15"/>
      <c r="K28" s="15"/>
    </row>
    <row r="29" spans="2:11" ht="19" customHeight="1">
      <c r="B29" s="16">
        <v>1</v>
      </c>
      <c r="C29" s="17"/>
      <c r="D29" s="17"/>
      <c r="E29" s="17"/>
      <c r="F29" s="17"/>
      <c r="G29" s="17"/>
      <c r="H29" s="17"/>
      <c r="I29" s="17"/>
      <c r="J29" s="17"/>
      <c r="K29" s="17"/>
    </row>
    <row r="30" spans="2:11" ht="19" customHeight="1">
      <c r="B30" s="16">
        <v>2</v>
      </c>
      <c r="C30" s="17"/>
      <c r="D30" s="17"/>
      <c r="E30" s="17"/>
      <c r="F30" s="17"/>
      <c r="G30" s="17"/>
      <c r="H30" s="17"/>
      <c r="I30" s="17"/>
      <c r="J30" s="17"/>
      <c r="K30" s="17"/>
    </row>
    <row r="31" spans="2:11" ht="19" customHeight="1">
      <c r="B31" s="16">
        <v>3</v>
      </c>
      <c r="C31" s="17"/>
      <c r="D31" s="17"/>
      <c r="E31" s="17"/>
      <c r="F31" s="17"/>
      <c r="G31" s="17"/>
      <c r="H31" s="17"/>
      <c r="I31" s="17"/>
      <c r="J31" s="17"/>
      <c r="K31" s="17"/>
    </row>
    <row r="32" spans="2:11" ht="19" customHeight="1">
      <c r="B32" s="16">
        <v>4</v>
      </c>
      <c r="C32" s="17"/>
      <c r="D32" s="17"/>
      <c r="E32" s="17"/>
      <c r="F32" s="17"/>
      <c r="G32" s="17"/>
      <c r="H32" s="17"/>
      <c r="I32" s="17"/>
      <c r="J32" s="17"/>
      <c r="K32" s="17"/>
    </row>
    <row r="34" spans="2:11" ht="20" customHeight="1">
      <c r="B34" s="15" t="s">
        <v>174</v>
      </c>
      <c r="C34" s="15"/>
      <c r="D34" s="15"/>
      <c r="E34" s="15"/>
      <c r="F34" s="15"/>
      <c r="G34" s="15"/>
      <c r="H34" s="15"/>
      <c r="I34" s="15"/>
      <c r="J34" s="15"/>
      <c r="K34" s="15"/>
    </row>
    <row r="35" spans="2:11" ht="19" customHeight="1">
      <c r="B35" s="16">
        <v>1</v>
      </c>
      <c r="C35" s="17"/>
      <c r="D35" s="17"/>
      <c r="E35" s="17"/>
      <c r="F35" s="17"/>
      <c r="G35" s="17"/>
      <c r="H35" s="17"/>
      <c r="I35" s="17"/>
      <c r="J35" s="17"/>
      <c r="K35" s="17"/>
    </row>
    <row r="36" spans="2:11" ht="19" customHeight="1">
      <c r="B36" s="16">
        <v>2</v>
      </c>
      <c r="C36" s="17"/>
      <c r="D36" s="17"/>
      <c r="E36" s="17"/>
      <c r="F36" s="17"/>
      <c r="G36" s="17"/>
      <c r="H36" s="17"/>
      <c r="I36" s="17"/>
      <c r="J36" s="17"/>
      <c r="K36" s="17"/>
    </row>
    <row r="37" spans="2:11" ht="19" customHeight="1">
      <c r="B37" s="16">
        <v>3</v>
      </c>
      <c r="C37" s="17"/>
      <c r="D37" s="17"/>
      <c r="E37" s="17"/>
      <c r="F37" s="17"/>
      <c r="G37" s="17"/>
      <c r="H37" s="17"/>
      <c r="I37" s="17"/>
      <c r="J37" s="17"/>
      <c r="K37" s="17"/>
    </row>
    <row r="38" spans="2:11" ht="19" customHeight="1">
      <c r="B38" s="16">
        <v>4</v>
      </c>
      <c r="C38" s="17"/>
      <c r="D38" s="17"/>
      <c r="E38" s="17"/>
      <c r="F38" s="17"/>
      <c r="G38" s="17"/>
      <c r="H38" s="17"/>
      <c r="I38" s="17"/>
      <c r="J38" s="17"/>
      <c r="K38" s="17"/>
    </row>
    <row r="40" spans="2:11" ht="20" customHeight="1">
      <c r="B40" s="15" t="s">
        <v>175</v>
      </c>
      <c r="C40" s="15"/>
      <c r="D40" s="15"/>
      <c r="E40" s="15"/>
      <c r="F40" s="15"/>
      <c r="G40" s="15"/>
      <c r="H40" s="15"/>
      <c r="I40" s="15"/>
      <c r="J40" s="15"/>
      <c r="K40" s="15"/>
    </row>
    <row r="41" spans="2:11" ht="19" customHeight="1">
      <c r="B41" s="16">
        <v>1</v>
      </c>
      <c r="C41" s="17"/>
      <c r="D41" s="17"/>
      <c r="E41" s="17"/>
      <c r="F41" s="17"/>
      <c r="G41" s="17"/>
      <c r="H41" s="17"/>
      <c r="I41" s="17"/>
      <c r="J41" s="17"/>
      <c r="K41" s="17"/>
    </row>
    <row r="42" spans="2:11" ht="19" customHeight="1">
      <c r="B42" s="16">
        <v>2</v>
      </c>
      <c r="C42" s="17"/>
      <c r="D42" s="17"/>
      <c r="E42" s="17"/>
      <c r="F42" s="17"/>
      <c r="G42" s="17"/>
      <c r="H42" s="17"/>
      <c r="I42" s="17"/>
      <c r="J42" s="17"/>
      <c r="K42" s="17"/>
    </row>
    <row r="43" spans="2:11" ht="19" customHeight="1">
      <c r="B43" s="16">
        <v>3</v>
      </c>
      <c r="C43" s="17"/>
      <c r="D43" s="17"/>
      <c r="E43" s="17"/>
      <c r="F43" s="17"/>
      <c r="G43" s="17"/>
      <c r="H43" s="17"/>
      <c r="I43" s="17"/>
      <c r="J43" s="17"/>
      <c r="K43" s="17"/>
    </row>
    <row r="44" spans="2:11" ht="19" customHeight="1">
      <c r="B44" s="16">
        <v>4</v>
      </c>
      <c r="C44" s="17"/>
      <c r="D44" s="17"/>
      <c r="E44" s="17"/>
      <c r="F44" s="17"/>
      <c r="G44" s="17"/>
      <c r="H44" s="17"/>
      <c r="I44" s="17"/>
      <c r="J44" s="17"/>
      <c r="K44" s="17"/>
    </row>
    <row r="45" spans="2:11" ht="19" customHeight="1">
      <c r="B45" s="16">
        <v>5</v>
      </c>
      <c r="C45" s="17"/>
      <c r="D45" s="17"/>
      <c r="E45" s="17"/>
      <c r="F45" s="17"/>
      <c r="G45" s="17"/>
      <c r="H45" s="17"/>
      <c r="I45" s="17"/>
      <c r="J45" s="17"/>
      <c r="K45" s="17"/>
    </row>
    <row r="46" spans="2:11" ht="19" customHeight="1">
      <c r="B46" s="16">
        <v>6</v>
      </c>
      <c r="C46" s="17"/>
      <c r="D46" s="17"/>
      <c r="E46" s="17"/>
      <c r="F46" s="17"/>
      <c r="G46" s="17"/>
      <c r="H46" s="17"/>
      <c r="I46" s="17"/>
      <c r="J46" s="17"/>
      <c r="K46" s="17"/>
    </row>
    <row r="47" spans="2:11" ht="19" customHeight="1">
      <c r="B47" s="16">
        <v>7</v>
      </c>
      <c r="C47" s="17"/>
      <c r="D47" s="17"/>
      <c r="E47" s="17"/>
      <c r="F47" s="17"/>
      <c r="G47" s="17"/>
      <c r="H47" s="17"/>
      <c r="I47" s="17"/>
      <c r="J47" s="17"/>
      <c r="K47" s="17"/>
    </row>
    <row r="48" spans="2:11" ht="19" customHeight="1">
      <c r="B48" s="16">
        <v>8</v>
      </c>
      <c r="C48" s="17"/>
      <c r="D48" s="17"/>
      <c r="E48" s="17"/>
      <c r="F48" s="17"/>
      <c r="G48" s="17"/>
      <c r="H48" s="17"/>
      <c r="I48" s="17"/>
      <c r="J48" s="17"/>
      <c r="K48" s="17"/>
    </row>
    <row r="50" spans="2:11" ht="22" customHeight="1">
      <c r="B50" s="15" t="s">
        <v>176</v>
      </c>
      <c r="C50" s="15"/>
      <c r="D50" s="15"/>
      <c r="E50" s="15"/>
      <c r="F50" s="15"/>
      <c r="G50" s="15"/>
      <c r="H50" s="15"/>
      <c r="I50" s="15"/>
      <c r="J50" s="15"/>
      <c r="K50" s="15"/>
    </row>
    <row r="51" spans="2:11" ht="19" customHeight="1">
      <c r="B51" s="18" t="s">
        <v>177</v>
      </c>
      <c r="C51" s="18"/>
      <c r="D51" s="18"/>
      <c r="E51" s="19"/>
      <c r="F51" s="19"/>
      <c r="G51" s="19"/>
      <c r="H51" s="19"/>
      <c r="I51" s="19"/>
      <c r="J51" s="19"/>
      <c r="K51" s="19"/>
    </row>
    <row r="52" spans="2:11" ht="19" customHeight="1">
      <c r="B52" s="18"/>
      <c r="C52" s="18"/>
      <c r="D52" s="18"/>
      <c r="E52" s="19"/>
      <c r="F52" s="19"/>
      <c r="G52" s="19"/>
      <c r="H52" s="19"/>
      <c r="I52" s="19"/>
      <c r="J52" s="19"/>
      <c r="K52" s="19"/>
    </row>
    <row r="53" spans="2:11" ht="19" customHeight="1">
      <c r="B53" s="18"/>
      <c r="C53" s="18"/>
      <c r="D53" s="18"/>
      <c r="E53" s="19"/>
      <c r="F53" s="19"/>
      <c r="G53" s="19"/>
      <c r="H53" s="19"/>
      <c r="I53" s="19"/>
      <c r="J53" s="19"/>
      <c r="K53" s="19"/>
    </row>
    <row r="54" spans="2:11" ht="19" customHeight="1">
      <c r="B54" s="18" t="s">
        <v>178</v>
      </c>
      <c r="C54" s="18"/>
      <c r="D54" s="18"/>
      <c r="E54" s="19"/>
      <c r="F54" s="19"/>
      <c r="G54" s="19"/>
      <c r="H54" s="19"/>
      <c r="I54" s="19"/>
      <c r="J54" s="19"/>
      <c r="K54" s="19"/>
    </row>
    <row r="55" spans="2:11" ht="19" customHeight="1">
      <c r="B55" s="18"/>
      <c r="C55" s="18"/>
      <c r="D55" s="18"/>
      <c r="E55" s="19"/>
      <c r="F55" s="19"/>
      <c r="G55" s="19"/>
      <c r="H55" s="19"/>
      <c r="I55" s="19"/>
      <c r="J55" s="19"/>
      <c r="K55" s="19"/>
    </row>
    <row r="56" spans="2:11" ht="19" customHeight="1">
      <c r="B56" s="18"/>
      <c r="C56" s="18"/>
      <c r="D56" s="18"/>
      <c r="E56" s="19"/>
      <c r="F56" s="19"/>
      <c r="G56" s="19"/>
      <c r="H56" s="19"/>
      <c r="I56" s="19"/>
      <c r="J56" s="19"/>
      <c r="K56" s="19"/>
    </row>
    <row r="58" spans="2:11" ht="22" customHeight="1">
      <c r="B58" s="15" t="s">
        <v>179</v>
      </c>
      <c r="C58" s="15"/>
      <c r="D58" s="15"/>
      <c r="E58" s="15"/>
      <c r="F58" s="15"/>
      <c r="G58" s="15"/>
      <c r="H58" s="15"/>
      <c r="I58" s="15"/>
      <c r="J58" s="15"/>
      <c r="K58" s="15"/>
    </row>
    <row r="59" spans="2:11" ht="32" customHeight="1">
      <c r="B59" s="5" t="s">
        <v>180</v>
      </c>
      <c r="C59" s="5"/>
      <c r="D59" s="5"/>
      <c r="E59" s="20" t="s">
        <v>181</v>
      </c>
      <c r="F59" s="20"/>
      <c r="G59" s="20"/>
      <c r="H59" s="20"/>
      <c r="I59" s="20"/>
      <c r="J59" s="20"/>
      <c r="K59" s="20"/>
    </row>
    <row r="60" spans="2:11" ht="20" customHeight="1">
      <c r="B60" s="5" t="s">
        <v>182</v>
      </c>
      <c r="C60" s="5"/>
      <c r="D60" s="5"/>
      <c r="E60" s="17" t="s">
        <v>93</v>
      </c>
      <c r="F60" s="17"/>
      <c r="G60" s="5" t="s">
        <v>183</v>
      </c>
      <c r="H60" s="17"/>
      <c r="I60" s="17"/>
      <c r="J60" s="17"/>
      <c r="K60" s="17"/>
    </row>
    <row r="61" spans="2:11" ht="20" customHeight="1">
      <c r="B61" s="5" t="s">
        <v>184</v>
      </c>
      <c r="C61" s="5"/>
      <c r="D61" s="5"/>
      <c r="E61" s="17" t="s">
        <v>78</v>
      </c>
      <c r="F61" s="17"/>
      <c r="G61" s="5" t="s">
        <v>80</v>
      </c>
      <c r="H61" s="17"/>
      <c r="I61" s="17"/>
    </row>
    <row r="62" spans="2:11" ht="20" customHeight="1">
      <c r="B62" s="5" t="s">
        <v>78</v>
      </c>
      <c r="C62" s="5"/>
      <c r="D62" s="5"/>
      <c r="E62" s="17"/>
      <c r="F62" s="17"/>
      <c r="G62" s="5" t="s">
        <v>79</v>
      </c>
      <c r="H62" s="17"/>
      <c r="I62" s="17"/>
    </row>
    <row r="64" spans="2:11" ht="22" customHeight="1">
      <c r="B64" s="15" t="s">
        <v>185</v>
      </c>
      <c r="C64" s="15"/>
      <c r="D64" s="15"/>
      <c r="E64" s="15"/>
      <c r="F64" s="15"/>
      <c r="G64" s="15"/>
      <c r="H64" s="15"/>
      <c r="I64" s="15"/>
      <c r="J64" s="15"/>
      <c r="K64" s="15"/>
    </row>
    <row r="65" spans="2:13" ht="20" customHeight="1">
      <c r="B65" s="5" t="s">
        <v>186</v>
      </c>
      <c r="C65" s="5"/>
      <c r="D65" s="5"/>
      <c r="E65" s="17"/>
      <c r="F65" s="17"/>
      <c r="G65" s="17"/>
      <c r="H65" s="17"/>
      <c r="I65" s="17"/>
      <c r="J65" s="17"/>
      <c r="K65" s="17"/>
    </row>
    <row r="66" spans="2:13" ht="20" customHeight="1">
      <c r="B66" s="5" t="s">
        <v>187</v>
      </c>
      <c r="C66" s="5"/>
      <c r="D66" s="5"/>
      <c r="E66" s="17"/>
      <c r="F66" s="17"/>
      <c r="G66" s="17"/>
      <c r="H66" s="17"/>
      <c r="I66" s="17"/>
      <c r="J66" s="17"/>
      <c r="K66" s="17"/>
    </row>
    <row r="68" spans="2:13" ht="22" customHeight="1">
      <c r="B68" s="15" t="s">
        <v>188</v>
      </c>
      <c r="C68" s="15"/>
      <c r="D68" s="15"/>
      <c r="E68" s="15"/>
      <c r="F68" s="15"/>
      <c r="G68" s="15"/>
      <c r="H68" s="15"/>
      <c r="I68" s="15"/>
      <c r="J68" s="15"/>
      <c r="K68" s="15"/>
    </row>
    <row r="69" spans="2:13" ht="20" customHeight="1">
      <c r="B69" s="5" t="s">
        <v>189</v>
      </c>
      <c r="C69" s="5"/>
      <c r="D69" s="5"/>
      <c r="E69" s="17"/>
      <c r="F69" s="17"/>
      <c r="G69" s="5" t="s">
        <v>190</v>
      </c>
      <c r="H69" s="5"/>
      <c r="I69" s="17"/>
      <c r="J69" s="17"/>
      <c r="K69" s="17"/>
    </row>
    <row r="70" spans="2:13" ht="20" customHeight="1">
      <c r="B70" s="5" t="s">
        <v>191</v>
      </c>
      <c r="C70" s="5"/>
      <c r="D70" s="5"/>
      <c r="E70" s="17"/>
      <c r="F70" s="17"/>
      <c r="G70" s="17"/>
      <c r="H70" s="17"/>
      <c r="I70" s="17"/>
      <c r="J70" s="17"/>
      <c r="K70" s="17"/>
    </row>
    <row r="71" spans="2:13">
      <c r="B71" s="5" t="s">
        <v>192</v>
      </c>
      <c r="C71" s="5"/>
      <c r="D71" s="5"/>
      <c r="E71" s="19"/>
      <c r="F71" s="19"/>
      <c r="G71" s="19"/>
      <c r="H71" s="19"/>
      <c r="I71" s="19"/>
      <c r="J71" s="19"/>
      <c r="K71" s="19"/>
    </row>
    <row r="72" spans="2:13">
      <c r="B72" s="5"/>
      <c r="C72" s="5"/>
      <c r="D72" s="5"/>
      <c r="E72" s="19"/>
      <c r="F72" s="19"/>
      <c r="G72" s="19"/>
      <c r="H72" s="19"/>
      <c r="I72" s="19"/>
      <c r="J72" s="19"/>
      <c r="K72" s="19"/>
    </row>
    <row r="73" spans="2:13">
      <c r="B73" s="5"/>
      <c r="C73" s="5"/>
      <c r="D73" s="5"/>
      <c r="E73" s="19"/>
      <c r="F73" s="19"/>
      <c r="G73" s="19"/>
      <c r="H73" s="19"/>
      <c r="I73" s="19"/>
      <c r="J73" s="19"/>
      <c r="K73" s="19"/>
    </row>
    <row r="75" spans="2:13" ht="26" customHeight="1">
      <c r="B75" s="10" t="s">
        <v>193</v>
      </c>
      <c r="C75" s="10"/>
      <c r="D75" s="10"/>
      <c r="E75" s="10"/>
      <c r="F75" s="10"/>
      <c r="G75" s="10"/>
      <c r="H75" s="10"/>
      <c r="I75" s="10"/>
      <c r="J75" s="10"/>
      <c r="K75" s="10"/>
      <c r="M75" s="11" t="s">
        <v>194</v>
      </c>
    </row>
    <row r="76" spans="2:13" ht="22" customHeight="1">
      <c r="B76" s="5" t="s">
        <v>167</v>
      </c>
      <c r="C76" s="5"/>
      <c r="D76" s="12"/>
      <c r="E76" s="5" t="s">
        <v>168</v>
      </c>
      <c r="F76" s="13"/>
      <c r="G76" s="13"/>
      <c r="H76" s="13"/>
      <c r="I76" s="5" t="s">
        <v>169</v>
      </c>
      <c r="J76" s="5"/>
      <c r="K76" s="12"/>
    </row>
    <row r="77" spans="2:13" ht="22" customHeight="1">
      <c r="B77" s="5" t="s">
        <v>170</v>
      </c>
      <c r="C77" s="5"/>
      <c r="D77" s="14"/>
      <c r="E77" s="14"/>
      <c r="F77" s="14"/>
      <c r="G77" s="5" t="s">
        <v>171</v>
      </c>
      <c r="H77" s="5"/>
      <c r="I77" s="14"/>
      <c r="J77" s="14"/>
      <c r="K77" s="14"/>
    </row>
    <row r="79" spans="2:13" ht="20" customHeight="1">
      <c r="B79" s="15" t="s">
        <v>172</v>
      </c>
      <c r="C79" s="15"/>
      <c r="D79" s="15"/>
      <c r="E79" s="15"/>
      <c r="F79" s="15"/>
      <c r="G79" s="15"/>
      <c r="H79" s="15"/>
      <c r="I79" s="15"/>
      <c r="J79" s="15"/>
      <c r="K79" s="15"/>
    </row>
    <row r="80" spans="2:13" ht="19" customHeight="1">
      <c r="B80" s="16">
        <v>1</v>
      </c>
      <c r="C80" s="17"/>
      <c r="D80" s="17"/>
      <c r="E80" s="17"/>
      <c r="F80" s="17"/>
      <c r="G80" s="17"/>
      <c r="H80" s="17"/>
      <c r="I80" s="17"/>
      <c r="J80" s="17"/>
      <c r="K80" s="17"/>
    </row>
    <row r="81" spans="2:11" ht="19" customHeight="1">
      <c r="B81" s="16">
        <v>2</v>
      </c>
      <c r="C81" s="17"/>
      <c r="D81" s="17"/>
      <c r="E81" s="17"/>
      <c r="F81" s="17"/>
      <c r="G81" s="17"/>
      <c r="H81" s="17"/>
      <c r="I81" s="17"/>
      <c r="J81" s="17"/>
      <c r="K81" s="17"/>
    </row>
    <row r="82" spans="2:11" ht="19" customHeight="1">
      <c r="B82" s="16">
        <v>3</v>
      </c>
      <c r="C82" s="17"/>
      <c r="D82" s="17"/>
      <c r="E82" s="17"/>
      <c r="F82" s="17"/>
      <c r="G82" s="17"/>
      <c r="H82" s="17"/>
      <c r="I82" s="17"/>
      <c r="J82" s="17"/>
      <c r="K82" s="17"/>
    </row>
    <row r="83" spans="2:11" ht="19" customHeight="1">
      <c r="B83" s="16">
        <v>4</v>
      </c>
      <c r="C83" s="17"/>
      <c r="D83" s="17"/>
      <c r="E83" s="17"/>
      <c r="F83" s="17"/>
      <c r="G83" s="17"/>
      <c r="H83" s="17"/>
      <c r="I83" s="17"/>
      <c r="J83" s="17"/>
      <c r="K83" s="17"/>
    </row>
    <row r="84" spans="2:11" ht="19" customHeight="1">
      <c r="B84" s="16">
        <v>5</v>
      </c>
      <c r="C84" s="17"/>
      <c r="D84" s="17"/>
      <c r="E84" s="17"/>
      <c r="F84" s="17"/>
      <c r="G84" s="17"/>
      <c r="H84" s="17"/>
      <c r="I84" s="17"/>
      <c r="J84" s="17"/>
      <c r="K84" s="17"/>
    </row>
    <row r="85" spans="2:11" ht="19" customHeight="1">
      <c r="B85" s="16">
        <v>6</v>
      </c>
      <c r="C85" s="17"/>
      <c r="D85" s="17"/>
      <c r="E85" s="17"/>
      <c r="F85" s="17"/>
      <c r="G85" s="17"/>
      <c r="H85" s="17"/>
      <c r="I85" s="17"/>
      <c r="J85" s="17"/>
      <c r="K85" s="17"/>
    </row>
    <row r="86" spans="2:11" ht="19" customHeight="1">
      <c r="B86" s="16">
        <v>7</v>
      </c>
      <c r="C86" s="17"/>
      <c r="D86" s="17"/>
      <c r="E86" s="17"/>
      <c r="F86" s="17"/>
      <c r="G86" s="17"/>
      <c r="H86" s="17"/>
      <c r="I86" s="17"/>
      <c r="J86" s="17"/>
      <c r="K86" s="17"/>
    </row>
    <row r="87" spans="2:11" ht="19" customHeight="1">
      <c r="B87" s="16">
        <v>8</v>
      </c>
      <c r="C87" s="17"/>
      <c r="D87" s="17"/>
      <c r="E87" s="17"/>
      <c r="F87" s="17"/>
      <c r="G87" s="17"/>
      <c r="H87" s="17"/>
      <c r="I87" s="17"/>
      <c r="J87" s="17"/>
      <c r="K87" s="17"/>
    </row>
    <row r="88" spans="2:11" ht="19" customHeight="1">
      <c r="B88" s="16">
        <v>9</v>
      </c>
      <c r="C88" s="17"/>
      <c r="D88" s="17"/>
      <c r="E88" s="17"/>
      <c r="F88" s="17"/>
      <c r="G88" s="17"/>
      <c r="H88" s="17"/>
      <c r="I88" s="17"/>
      <c r="J88" s="17"/>
      <c r="K88" s="17"/>
    </row>
    <row r="89" spans="2:11" ht="19" customHeight="1">
      <c r="B89" s="16">
        <v>10</v>
      </c>
      <c r="C89" s="17"/>
      <c r="D89" s="17"/>
      <c r="E89" s="17"/>
      <c r="F89" s="17"/>
      <c r="G89" s="17"/>
      <c r="H89" s="17"/>
      <c r="I89" s="17"/>
      <c r="J89" s="17"/>
      <c r="K89" s="17"/>
    </row>
    <row r="90" spans="2:11" ht="19" customHeight="1">
      <c r="B90" s="16">
        <v>11</v>
      </c>
      <c r="C90" s="17"/>
      <c r="D90" s="17"/>
      <c r="E90" s="17"/>
      <c r="F90" s="17"/>
      <c r="G90" s="17"/>
      <c r="H90" s="17"/>
      <c r="I90" s="17"/>
      <c r="J90" s="17"/>
      <c r="K90" s="17"/>
    </row>
    <row r="91" spans="2:11" ht="19" customHeight="1">
      <c r="B91" s="16">
        <v>12</v>
      </c>
      <c r="C91" s="17"/>
      <c r="D91" s="17"/>
      <c r="E91" s="17"/>
      <c r="F91" s="17"/>
      <c r="G91" s="17"/>
      <c r="H91" s="17"/>
      <c r="I91" s="17"/>
      <c r="J91" s="17"/>
      <c r="K91" s="17"/>
    </row>
    <row r="93" spans="2:11" ht="20" customHeight="1">
      <c r="B93" s="15" t="s">
        <v>173</v>
      </c>
      <c r="C93" s="15"/>
      <c r="D93" s="15"/>
      <c r="E93" s="15"/>
      <c r="F93" s="15"/>
      <c r="G93" s="15"/>
      <c r="H93" s="15"/>
      <c r="I93" s="15"/>
      <c r="J93" s="15"/>
      <c r="K93" s="15"/>
    </row>
    <row r="94" spans="2:11" ht="19" customHeight="1">
      <c r="B94" s="16">
        <v>1</v>
      </c>
      <c r="C94" s="17"/>
      <c r="D94" s="17"/>
      <c r="E94" s="17"/>
      <c r="F94" s="17"/>
      <c r="G94" s="17"/>
      <c r="H94" s="17"/>
      <c r="I94" s="17"/>
      <c r="J94" s="17"/>
      <c r="K94" s="17"/>
    </row>
    <row r="95" spans="2:11" ht="19" customHeight="1">
      <c r="B95" s="16">
        <v>2</v>
      </c>
      <c r="C95" s="17"/>
      <c r="D95" s="17"/>
      <c r="E95" s="17"/>
      <c r="F95" s="17"/>
      <c r="G95" s="17"/>
      <c r="H95" s="17"/>
      <c r="I95" s="17"/>
      <c r="J95" s="17"/>
      <c r="K95" s="17"/>
    </row>
    <row r="96" spans="2:11" ht="19" customHeight="1">
      <c r="B96" s="16">
        <v>3</v>
      </c>
      <c r="C96" s="17"/>
      <c r="D96" s="17"/>
      <c r="E96" s="17"/>
      <c r="F96" s="17"/>
      <c r="G96" s="17"/>
      <c r="H96" s="17"/>
      <c r="I96" s="17"/>
      <c r="J96" s="17"/>
      <c r="K96" s="17"/>
    </row>
    <row r="97" spans="2:11" ht="19" customHeight="1">
      <c r="B97" s="16">
        <v>4</v>
      </c>
      <c r="C97" s="17"/>
      <c r="D97" s="17"/>
      <c r="E97" s="17"/>
      <c r="F97" s="17"/>
      <c r="G97" s="17"/>
      <c r="H97" s="17"/>
      <c r="I97" s="17"/>
      <c r="J97" s="17"/>
      <c r="K97" s="17"/>
    </row>
    <row r="99" spans="2:11" ht="20" customHeight="1">
      <c r="B99" s="15" t="s">
        <v>174</v>
      </c>
      <c r="C99" s="15"/>
      <c r="D99" s="15"/>
      <c r="E99" s="15"/>
      <c r="F99" s="15"/>
      <c r="G99" s="15"/>
      <c r="H99" s="15"/>
      <c r="I99" s="15"/>
      <c r="J99" s="15"/>
      <c r="K99" s="15"/>
    </row>
    <row r="100" spans="2:11" ht="19" customHeight="1">
      <c r="B100" s="16">
        <v>1</v>
      </c>
      <c r="C100" s="17"/>
      <c r="D100" s="17"/>
      <c r="E100" s="17"/>
      <c r="F100" s="17"/>
      <c r="G100" s="17"/>
      <c r="H100" s="17"/>
      <c r="I100" s="17"/>
      <c r="J100" s="17"/>
      <c r="K100" s="17"/>
    </row>
    <row r="101" spans="2:11" ht="19" customHeight="1">
      <c r="B101" s="16">
        <v>2</v>
      </c>
      <c r="C101" s="17"/>
      <c r="D101" s="17"/>
      <c r="E101" s="17"/>
      <c r="F101" s="17"/>
      <c r="G101" s="17"/>
      <c r="H101" s="17"/>
      <c r="I101" s="17"/>
      <c r="J101" s="17"/>
      <c r="K101" s="17"/>
    </row>
    <row r="102" spans="2:11" ht="19" customHeight="1">
      <c r="B102" s="16">
        <v>3</v>
      </c>
      <c r="C102" s="17"/>
      <c r="D102" s="17"/>
      <c r="E102" s="17"/>
      <c r="F102" s="17"/>
      <c r="G102" s="17"/>
      <c r="H102" s="17"/>
      <c r="I102" s="17"/>
      <c r="J102" s="17"/>
      <c r="K102" s="17"/>
    </row>
    <row r="103" spans="2:11" ht="19" customHeight="1">
      <c r="B103" s="16">
        <v>4</v>
      </c>
      <c r="C103" s="17"/>
      <c r="D103" s="17"/>
      <c r="E103" s="17"/>
      <c r="F103" s="17"/>
      <c r="G103" s="17"/>
      <c r="H103" s="17"/>
      <c r="I103" s="17"/>
      <c r="J103" s="17"/>
      <c r="K103" s="17"/>
    </row>
    <row r="105" spans="2:11" ht="20" customHeight="1">
      <c r="B105" s="15" t="s">
        <v>175</v>
      </c>
      <c r="C105" s="15"/>
      <c r="D105" s="15"/>
      <c r="E105" s="15"/>
      <c r="F105" s="15"/>
      <c r="G105" s="15"/>
      <c r="H105" s="15"/>
      <c r="I105" s="15"/>
      <c r="J105" s="15"/>
      <c r="K105" s="15"/>
    </row>
    <row r="106" spans="2:11" ht="19" customHeight="1">
      <c r="B106" s="16">
        <v>1</v>
      </c>
      <c r="C106" s="17"/>
      <c r="D106" s="17"/>
      <c r="E106" s="17"/>
      <c r="F106" s="17"/>
      <c r="G106" s="17"/>
      <c r="H106" s="17"/>
      <c r="I106" s="17"/>
      <c r="J106" s="17"/>
      <c r="K106" s="17"/>
    </row>
    <row r="107" spans="2:11" ht="19" customHeight="1">
      <c r="B107" s="16">
        <v>2</v>
      </c>
      <c r="C107" s="17"/>
      <c r="D107" s="17"/>
      <c r="E107" s="17"/>
      <c r="F107" s="17"/>
      <c r="G107" s="17"/>
      <c r="H107" s="17"/>
      <c r="I107" s="17"/>
      <c r="J107" s="17"/>
      <c r="K107" s="17"/>
    </row>
    <row r="108" spans="2:11" ht="19" customHeight="1">
      <c r="B108" s="16">
        <v>3</v>
      </c>
      <c r="C108" s="17"/>
      <c r="D108" s="17"/>
      <c r="E108" s="17"/>
      <c r="F108" s="17"/>
      <c r="G108" s="17"/>
      <c r="H108" s="17"/>
      <c r="I108" s="17"/>
      <c r="J108" s="17"/>
      <c r="K108" s="17"/>
    </row>
    <row r="109" spans="2:11" ht="19" customHeight="1">
      <c r="B109" s="16">
        <v>4</v>
      </c>
      <c r="C109" s="17"/>
      <c r="D109" s="17"/>
      <c r="E109" s="17"/>
      <c r="F109" s="17"/>
      <c r="G109" s="17"/>
      <c r="H109" s="17"/>
      <c r="I109" s="17"/>
      <c r="J109" s="17"/>
      <c r="K109" s="17"/>
    </row>
    <row r="110" spans="2:11" ht="19" customHeight="1">
      <c r="B110" s="16">
        <v>5</v>
      </c>
      <c r="C110" s="17"/>
      <c r="D110" s="17"/>
      <c r="E110" s="17"/>
      <c r="F110" s="17"/>
      <c r="G110" s="17"/>
      <c r="H110" s="17"/>
      <c r="I110" s="17"/>
      <c r="J110" s="17"/>
      <c r="K110" s="17"/>
    </row>
    <row r="111" spans="2:11" ht="19" customHeight="1">
      <c r="B111" s="16">
        <v>6</v>
      </c>
      <c r="C111" s="17"/>
      <c r="D111" s="17"/>
      <c r="E111" s="17"/>
      <c r="F111" s="17"/>
      <c r="G111" s="17"/>
      <c r="H111" s="17"/>
      <c r="I111" s="17"/>
      <c r="J111" s="17"/>
      <c r="K111" s="17"/>
    </row>
    <row r="112" spans="2:11" ht="19" customHeight="1">
      <c r="B112" s="16">
        <v>7</v>
      </c>
      <c r="C112" s="17"/>
      <c r="D112" s="17"/>
      <c r="E112" s="17"/>
      <c r="F112" s="17"/>
      <c r="G112" s="17"/>
      <c r="H112" s="17"/>
      <c r="I112" s="17"/>
      <c r="J112" s="17"/>
      <c r="K112" s="17"/>
    </row>
    <row r="113" spans="2:11" ht="19" customHeight="1">
      <c r="B113" s="16">
        <v>8</v>
      </c>
      <c r="C113" s="17"/>
      <c r="D113" s="17"/>
      <c r="E113" s="17"/>
      <c r="F113" s="17"/>
      <c r="G113" s="17"/>
      <c r="H113" s="17"/>
      <c r="I113" s="17"/>
      <c r="J113" s="17"/>
      <c r="K113" s="17"/>
    </row>
    <row r="115" spans="2:11" ht="22" customHeight="1">
      <c r="B115" s="15" t="s">
        <v>176</v>
      </c>
      <c r="C115" s="15"/>
      <c r="D115" s="15"/>
      <c r="E115" s="15"/>
      <c r="F115" s="15"/>
      <c r="G115" s="15"/>
      <c r="H115" s="15"/>
      <c r="I115" s="15"/>
      <c r="J115" s="15"/>
      <c r="K115" s="15"/>
    </row>
    <row r="116" spans="2:11" ht="19" customHeight="1">
      <c r="B116" s="18" t="s">
        <v>177</v>
      </c>
      <c r="C116" s="18"/>
      <c r="D116" s="18"/>
      <c r="E116" s="19"/>
      <c r="F116" s="19"/>
      <c r="G116" s="19"/>
      <c r="H116" s="19"/>
      <c r="I116" s="19"/>
      <c r="J116" s="19"/>
      <c r="K116" s="19"/>
    </row>
    <row r="117" spans="2:11" ht="19" customHeight="1">
      <c r="B117" s="18"/>
      <c r="C117" s="18"/>
      <c r="D117" s="18"/>
      <c r="E117" s="19"/>
      <c r="F117" s="19"/>
      <c r="G117" s="19"/>
      <c r="H117" s="19"/>
      <c r="I117" s="19"/>
      <c r="J117" s="19"/>
      <c r="K117" s="19"/>
    </row>
    <row r="118" spans="2:11" ht="19" customHeight="1">
      <c r="B118" s="18"/>
      <c r="C118" s="18"/>
      <c r="D118" s="18"/>
      <c r="E118" s="19"/>
      <c r="F118" s="19"/>
      <c r="G118" s="19"/>
      <c r="H118" s="19"/>
      <c r="I118" s="19"/>
      <c r="J118" s="19"/>
      <c r="K118" s="19"/>
    </row>
    <row r="119" spans="2:11" ht="19" customHeight="1">
      <c r="B119" s="18" t="s">
        <v>178</v>
      </c>
      <c r="C119" s="18"/>
      <c r="D119" s="18"/>
      <c r="E119" s="19"/>
      <c r="F119" s="19"/>
      <c r="G119" s="19"/>
      <c r="H119" s="19"/>
      <c r="I119" s="19"/>
      <c r="J119" s="19"/>
      <c r="K119" s="19"/>
    </row>
    <row r="120" spans="2:11" ht="19" customHeight="1">
      <c r="B120" s="18"/>
      <c r="C120" s="18"/>
      <c r="D120" s="18"/>
      <c r="E120" s="19"/>
      <c r="F120" s="19"/>
      <c r="G120" s="19"/>
      <c r="H120" s="19"/>
      <c r="I120" s="19"/>
      <c r="J120" s="19"/>
      <c r="K120" s="19"/>
    </row>
    <row r="121" spans="2:11" ht="19" customHeight="1">
      <c r="B121" s="18"/>
      <c r="C121" s="18"/>
      <c r="D121" s="18"/>
      <c r="E121" s="19"/>
      <c r="F121" s="19"/>
      <c r="G121" s="19"/>
      <c r="H121" s="19"/>
      <c r="I121" s="19"/>
      <c r="J121" s="19"/>
      <c r="K121" s="19"/>
    </row>
    <row r="123" spans="2:11" ht="22" customHeight="1">
      <c r="B123" s="15" t="s">
        <v>179</v>
      </c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2:11" ht="32" customHeight="1">
      <c r="B124" s="5" t="s">
        <v>180</v>
      </c>
      <c r="C124" s="5"/>
      <c r="D124" s="5"/>
      <c r="E124" s="20" t="s">
        <v>181</v>
      </c>
      <c r="F124" s="20"/>
      <c r="G124" s="20"/>
      <c r="H124" s="20"/>
      <c r="I124" s="20"/>
      <c r="J124" s="20"/>
      <c r="K124" s="20"/>
    </row>
    <row r="125" spans="2:11" ht="20" customHeight="1">
      <c r="B125" s="5" t="s">
        <v>182</v>
      </c>
      <c r="C125" s="5"/>
      <c r="D125" s="5"/>
      <c r="E125" s="17" t="s">
        <v>93</v>
      </c>
      <c r="F125" s="17"/>
      <c r="G125" s="5" t="s">
        <v>183</v>
      </c>
      <c r="H125" s="17"/>
      <c r="I125" s="17"/>
      <c r="J125" s="17"/>
      <c r="K125" s="17"/>
    </row>
    <row r="126" spans="2:11" ht="20" customHeight="1">
      <c r="B126" s="5" t="s">
        <v>184</v>
      </c>
      <c r="C126" s="5"/>
      <c r="D126" s="5"/>
      <c r="E126" s="17" t="s">
        <v>78</v>
      </c>
      <c r="F126" s="17"/>
      <c r="G126" s="5" t="s">
        <v>80</v>
      </c>
      <c r="H126" s="17"/>
      <c r="I126" s="17"/>
    </row>
    <row r="127" spans="2:11" ht="20" customHeight="1">
      <c r="B127" s="5" t="s">
        <v>78</v>
      </c>
      <c r="C127" s="5"/>
      <c r="D127" s="5"/>
      <c r="E127" s="17"/>
      <c r="F127" s="17"/>
      <c r="G127" s="5" t="s">
        <v>79</v>
      </c>
      <c r="H127" s="17"/>
      <c r="I127" s="17"/>
    </row>
    <row r="129" spans="2:11" ht="22" customHeight="1">
      <c r="B129" s="15" t="s">
        <v>185</v>
      </c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2:11" ht="20" customHeight="1">
      <c r="B130" s="5" t="s">
        <v>186</v>
      </c>
      <c r="C130" s="5"/>
      <c r="D130" s="5"/>
      <c r="E130" s="17"/>
      <c r="F130" s="17"/>
      <c r="G130" s="17"/>
      <c r="H130" s="17"/>
      <c r="I130" s="17"/>
      <c r="J130" s="17"/>
      <c r="K130" s="17"/>
    </row>
    <row r="131" spans="2:11" ht="20" customHeight="1">
      <c r="B131" s="5" t="s">
        <v>187</v>
      </c>
      <c r="C131" s="5"/>
      <c r="D131" s="5"/>
      <c r="E131" s="17"/>
      <c r="F131" s="17"/>
      <c r="G131" s="17"/>
      <c r="H131" s="17"/>
      <c r="I131" s="17"/>
      <c r="J131" s="17"/>
      <c r="K131" s="17"/>
    </row>
    <row r="133" spans="2:11" ht="22" customHeight="1">
      <c r="B133" s="15" t="s">
        <v>188</v>
      </c>
      <c r="C133" s="15"/>
      <c r="D133" s="15"/>
      <c r="E133" s="15"/>
      <c r="F133" s="15"/>
      <c r="G133" s="15"/>
      <c r="H133" s="15"/>
      <c r="I133" s="15"/>
      <c r="J133" s="15"/>
      <c r="K133" s="15"/>
    </row>
    <row r="134" spans="2:11" ht="20" customHeight="1">
      <c r="B134" s="5" t="s">
        <v>189</v>
      </c>
      <c r="C134" s="5"/>
      <c r="D134" s="5"/>
      <c r="E134" s="17"/>
      <c r="F134" s="17"/>
      <c r="G134" s="5" t="s">
        <v>190</v>
      </c>
      <c r="H134" s="5"/>
      <c r="I134" s="17"/>
      <c r="J134" s="17"/>
      <c r="K134" s="17"/>
    </row>
    <row r="135" spans="2:11" ht="20" customHeight="1">
      <c r="B135" s="5" t="s">
        <v>191</v>
      </c>
      <c r="C135" s="5"/>
      <c r="D135" s="5"/>
      <c r="E135" s="17"/>
      <c r="F135" s="17"/>
      <c r="G135" s="17"/>
      <c r="H135" s="17"/>
      <c r="I135" s="17"/>
      <c r="J135" s="17"/>
      <c r="K135" s="17"/>
    </row>
    <row r="136" spans="2:11">
      <c r="B136" s="5" t="s">
        <v>192</v>
      </c>
      <c r="C136" s="5"/>
      <c r="D136" s="5"/>
      <c r="E136" s="19"/>
      <c r="F136" s="19"/>
      <c r="G136" s="19"/>
      <c r="H136" s="19"/>
      <c r="I136" s="19"/>
      <c r="J136" s="19"/>
      <c r="K136" s="19"/>
    </row>
    <row r="137" spans="2:11">
      <c r="B137" s="5"/>
      <c r="C137" s="5"/>
      <c r="D137" s="5"/>
      <c r="E137" s="19"/>
      <c r="F137" s="19"/>
      <c r="G137" s="19"/>
      <c r="H137" s="19"/>
      <c r="I137" s="19"/>
      <c r="J137" s="19"/>
      <c r="K137" s="19"/>
    </row>
    <row r="138" spans="2:11">
      <c r="B138" s="5"/>
      <c r="C138" s="5"/>
      <c r="D138" s="5"/>
      <c r="E138" s="19"/>
      <c r="F138" s="19"/>
      <c r="G138" s="19"/>
      <c r="H138" s="19"/>
      <c r="I138" s="19"/>
      <c r="J138" s="19"/>
      <c r="K138" s="19"/>
    </row>
  </sheetData>
  <sheetProtection sheet="1" objects="1" scenarios="1" formatColumns="0" formatRows="0"/>
  <mergeCells count="147">
    <mergeCell ref="F2:K2"/>
    <mergeCell ref="F3:K3"/>
    <mergeCell ref="B6:D6"/>
    <mergeCell ref="E6:F6"/>
    <mergeCell ref="G6:K6"/>
    <mergeCell ref="B10:K10"/>
    <mergeCell ref="B11:C11"/>
    <mergeCell ref="F11:H11"/>
    <mergeCell ref="I11:J11"/>
    <mergeCell ref="B12:C12"/>
    <mergeCell ref="D12:F12"/>
    <mergeCell ref="G12:H12"/>
    <mergeCell ref="I12:K12"/>
    <mergeCell ref="B14:K14"/>
    <mergeCell ref="C15:K15"/>
    <mergeCell ref="C16:K16"/>
    <mergeCell ref="C17:K17"/>
    <mergeCell ref="C18:K18"/>
    <mergeCell ref="C19:K19"/>
    <mergeCell ref="C20:K20"/>
    <mergeCell ref="C21:K21"/>
    <mergeCell ref="C22:K22"/>
    <mergeCell ref="C23:K23"/>
    <mergeCell ref="C24:K24"/>
    <mergeCell ref="C25:K25"/>
    <mergeCell ref="C26:K26"/>
    <mergeCell ref="B28:K28"/>
    <mergeCell ref="C29:K29"/>
    <mergeCell ref="C30:K30"/>
    <mergeCell ref="C31:K31"/>
    <mergeCell ref="C32:K32"/>
    <mergeCell ref="B34:K34"/>
    <mergeCell ref="C35:K35"/>
    <mergeCell ref="C36:K36"/>
    <mergeCell ref="C37:K37"/>
    <mergeCell ref="C38:K38"/>
    <mergeCell ref="B40:K40"/>
    <mergeCell ref="C41:K41"/>
    <mergeCell ref="C42:K42"/>
    <mergeCell ref="C43:K43"/>
    <mergeCell ref="C44:K44"/>
    <mergeCell ref="C45:K45"/>
    <mergeCell ref="C46:K46"/>
    <mergeCell ref="C47:K47"/>
    <mergeCell ref="C48:K48"/>
    <mergeCell ref="B50:K50"/>
    <mergeCell ref="B51:D53"/>
    <mergeCell ref="E51:K53"/>
    <mergeCell ref="B54:D56"/>
    <mergeCell ref="E54:K56"/>
    <mergeCell ref="B58:K58"/>
    <mergeCell ref="B59:D59"/>
    <mergeCell ref="E59:K59"/>
    <mergeCell ref="B60:D60"/>
    <mergeCell ref="E60:F60"/>
    <mergeCell ref="H60:K60"/>
    <mergeCell ref="B61:D61"/>
    <mergeCell ref="E61:F61"/>
    <mergeCell ref="H61:I61"/>
    <mergeCell ref="B62:D62"/>
    <mergeCell ref="E62:F62"/>
    <mergeCell ref="H62:I62"/>
    <mergeCell ref="B64:K64"/>
    <mergeCell ref="B65:D65"/>
    <mergeCell ref="E65:K65"/>
    <mergeCell ref="B66:D66"/>
    <mergeCell ref="E66:K66"/>
    <mergeCell ref="B68:K68"/>
    <mergeCell ref="B69:D69"/>
    <mergeCell ref="E69:F69"/>
    <mergeCell ref="G69:H69"/>
    <mergeCell ref="I69:K69"/>
    <mergeCell ref="B70:D70"/>
    <mergeCell ref="E70:K70"/>
    <mergeCell ref="B71:D73"/>
    <mergeCell ref="E71:K73"/>
    <mergeCell ref="B75:K75"/>
    <mergeCell ref="B76:C76"/>
    <mergeCell ref="F76:H76"/>
    <mergeCell ref="I76:J76"/>
    <mergeCell ref="B77:C77"/>
    <mergeCell ref="D77:F77"/>
    <mergeCell ref="G77:H77"/>
    <mergeCell ref="I77:K77"/>
    <mergeCell ref="B79:K79"/>
    <mergeCell ref="C80:K80"/>
    <mergeCell ref="C81:K81"/>
    <mergeCell ref="C82:K82"/>
    <mergeCell ref="C83:K83"/>
    <mergeCell ref="C84:K84"/>
    <mergeCell ref="C85:K85"/>
    <mergeCell ref="C86:K86"/>
    <mergeCell ref="C87:K87"/>
    <mergeCell ref="C88:K88"/>
    <mergeCell ref="C89:K89"/>
    <mergeCell ref="C90:K90"/>
    <mergeCell ref="C91:K91"/>
    <mergeCell ref="B93:K93"/>
    <mergeCell ref="C94:K94"/>
    <mergeCell ref="C95:K95"/>
    <mergeCell ref="C96:K96"/>
    <mergeCell ref="C97:K97"/>
    <mergeCell ref="B99:K99"/>
    <mergeCell ref="C100:K100"/>
    <mergeCell ref="C101:K101"/>
    <mergeCell ref="C102:K102"/>
    <mergeCell ref="C103:K103"/>
    <mergeCell ref="B105:K105"/>
    <mergeCell ref="C106:K106"/>
    <mergeCell ref="C107:K107"/>
    <mergeCell ref="C108:K108"/>
    <mergeCell ref="C109:K109"/>
    <mergeCell ref="C110:K110"/>
    <mergeCell ref="C111:K111"/>
    <mergeCell ref="C112:K112"/>
    <mergeCell ref="C113:K113"/>
    <mergeCell ref="B115:K115"/>
    <mergeCell ref="B116:D118"/>
    <mergeCell ref="E116:K118"/>
    <mergeCell ref="B119:D121"/>
    <mergeCell ref="E119:K121"/>
    <mergeCell ref="B123:K123"/>
    <mergeCell ref="B124:D124"/>
    <mergeCell ref="E124:K124"/>
    <mergeCell ref="B125:D125"/>
    <mergeCell ref="E125:F125"/>
    <mergeCell ref="H125:K125"/>
    <mergeCell ref="B126:D126"/>
    <mergeCell ref="E126:F126"/>
    <mergeCell ref="H126:I126"/>
    <mergeCell ref="B127:D127"/>
    <mergeCell ref="E127:F127"/>
    <mergeCell ref="H127:I127"/>
    <mergeCell ref="B129:K129"/>
    <mergeCell ref="B130:D130"/>
    <mergeCell ref="E130:K130"/>
    <mergeCell ref="B131:D131"/>
    <mergeCell ref="E131:K131"/>
    <mergeCell ref="B133:K133"/>
    <mergeCell ref="B134:D134"/>
    <mergeCell ref="E134:F134"/>
    <mergeCell ref="G134:H134"/>
    <mergeCell ref="I134:K134"/>
    <mergeCell ref="B135:D135"/>
    <mergeCell ref="E135:K135"/>
    <mergeCell ref="B136:D138"/>
    <mergeCell ref="E136:K138"/>
  </mergeCells>
  <dataValidations count="19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sqref="K11">
      <formula1>lstTurma</formula1>
    </dataValidation>
    <dataValidation type="list" allowBlank="1" showInputMessage="1" showErrorMessage="1" errorTitle="Produto" error="Escolha um produto da lista." sqref="D12">
      <formula1>lstProdutos</formula1>
    </dataValidation>
    <dataValidation type="list" allowBlank="1" showInputMessage="1" showErrorMessage="1" errorTitle="Produto" error="Escolha um produto da lista." sqref="I12">
      <formula1>lstProdutos</formula1>
    </dataValidation>
    <dataValidation type="list" allowBlank="1" showInputMessage="1" showErrorMessage="1" sqref="E60">
      <formula1>lstSN</formula1>
    </dataValidation>
    <dataValidation type="list" allowBlank="1" showInputMessage="1" showErrorMessage="1" sqref="E61">
      <formula1>lstAr</formula1>
    </dataValidation>
    <dataValidation type="list" allowBlank="1" showInputMessage="1" showErrorMessage="1" sqref="H61">
      <formula1>lstLigado</formula1>
    </dataValidation>
    <dataValidation type="list" allowBlank="1" showInputMessage="1" showErrorMessage="1" sqref="E62">
      <formula1>lstCond</formula1>
    </dataValidation>
    <dataValidation type="list" allowBlank="1" showInputMessage="1" showErrorMessage="1" sqref="H62">
      <formula1>lstCond</formula1>
    </dataValidation>
    <dataValidation type="list" allowBlank="1" showInputMessage="1" showErrorMessage="1" sqref="D76">
      <formula1>lstTurma</formula1>
    </dataValidation>
    <dataValidation type="list" allowBlank="1" showInputMessage="1" showErrorMessage="1" sqref="K76">
      <formula1>lstTurma</formula1>
    </dataValidation>
    <dataValidation type="list" allowBlank="1" showInputMessage="1" showErrorMessage="1" errorTitle="Produto" error="Escolha um produto da lista." sqref="D77">
      <formula1>lstProdutos</formula1>
    </dataValidation>
    <dataValidation type="list" allowBlank="1" showInputMessage="1" showErrorMessage="1" errorTitle="Produto" error="Escolha um produto da lista." sqref="I77">
      <formula1>lstProdutos</formula1>
    </dataValidation>
    <dataValidation type="list" allowBlank="1" showInputMessage="1" showErrorMessage="1" sqref="E125">
      <formula1>lstSN</formula1>
    </dataValidation>
    <dataValidation type="list" allowBlank="1" showInputMessage="1" showErrorMessage="1" sqref="E126">
      <formula1>lstAr</formula1>
    </dataValidation>
    <dataValidation type="list" allowBlank="1" showInputMessage="1" showErrorMessage="1" sqref="H126">
      <formula1>lstLigado</formula1>
    </dataValidation>
    <dataValidation type="list" allowBlank="1" showInputMessage="1" showErrorMessage="1" sqref="E127">
      <formula1>lstCond</formula1>
    </dataValidation>
    <dataValidation type="list" allowBlank="1" showInputMessage="1" showErrorMessage="1" sqref="H127">
      <formula1>lstCond</formula1>
    </dataValidation>
  </dataValidations>
  <hyperlinks>
    <hyperlink ref="C8" location="'Preenchimento'!B75" display="Turno Noite"/>
    <hyperlink ref="E8" location="'Resumo Dia'!A1" display="Resumo Dia"/>
    <hyperlink ref="G8" location="'Resumo Noite'!A1" display="Resumo Noite"/>
    <hyperlink ref="I8" location="'Resultados gerais'!A1" display="Resultados gerais"/>
    <hyperlink ref="M10" location="'Resumo Dia'!A1" display="Resumo Dia"/>
    <hyperlink ref="M75" location="'Resumo Noite'!A1" display="Resumo Noite"/>
  </hyperlinks>
  <pageMargins left="0.4" right="0.4" top="0.5" bottom="0.5" header="0.3" footer="0.3"/>
  <pageSetup paperSize="9" fitToHeight="0" orientation="portrait"/>
  <rowBreaks count="1" manualBreakCount="1">
    <brk id="74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R91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161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162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8" t="s">
        <v>198</v>
      </c>
      <c r="C6" s="21">
        <f>IF(pData="","—",TEXT(DAY(pData),"00")&amp;"/"&amp;TEXT(MONTH(pData),"00")&amp;"/"&amp;YEAR(pData))</f>
        <v>0</v>
      </c>
      <c r="D6" s="21"/>
      <c r="E6" s="18" t="s">
        <v>199</v>
      </c>
      <c r="F6" s="21">
        <f>"Dia  07:00 – 19:00"</f>
        <v>0</v>
      </c>
      <c r="G6" s="21"/>
      <c r="H6" s="21"/>
      <c r="I6" s="18" t="s">
        <v>167</v>
      </c>
      <c r="J6" s="21">
        <f>IF(dLetra="","—",dLetra)</f>
        <v>0</v>
      </c>
      <c r="K6" s="18" t="s">
        <v>169</v>
      </c>
      <c r="L6" s="18"/>
      <c r="M6" s="21">
        <f>IF(dRecebe="","—",dRecebe)</f>
        <v>0</v>
      </c>
    </row>
    <row r="7" spans="1:15" ht="22" customHeight="1">
      <c r="B7" s="18" t="s">
        <v>168</v>
      </c>
      <c r="C7" s="22">
        <f>IF(dTecnico="","—",dTecnico)</f>
        <v>0</v>
      </c>
      <c r="D7" s="22"/>
      <c r="E7" s="22"/>
      <c r="F7" s="22"/>
      <c r="G7" s="22"/>
      <c r="H7" s="18" t="s">
        <v>170</v>
      </c>
      <c r="I7" s="18"/>
      <c r="J7" s="21">
        <f>IF(dProdUS3="","—",dProdUS3)</f>
        <v>0</v>
      </c>
      <c r="K7" s="18" t="s">
        <v>171</v>
      </c>
      <c r="L7" s="18"/>
      <c r="M7" s="21">
        <f>IF(dProdUS4="","—",dProdUS4)</f>
        <v>0</v>
      </c>
    </row>
    <row r="9" spans="1:15" ht="21" customHeight="1">
      <c r="B9" s="23" t="s">
        <v>200</v>
      </c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</row>
    <row r="10" spans="1:15" ht="18" customHeight="1">
      <c r="B10" s="24" t="s">
        <v>172</v>
      </c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O10" s="11" t="s">
        <v>246</v>
      </c>
    </row>
    <row r="11" spans="1:15" ht="17" customHeight="1">
      <c r="A11" s="25" t="s">
        <v>201</v>
      </c>
      <c r="B11" s="26">
        <f>IF(C11="","",1)</f>
        <v>0</v>
      </c>
      <c r="C11" s="27">
        <f>IF(TRIM('Preenchimento'!$C$15)="","",TRIM('Preenchimento'!$C$15))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17" customHeight="1">
      <c r="A12" s="25" t="s">
        <v>201</v>
      </c>
      <c r="B12" s="26">
        <f>IF(C12="","",2)</f>
        <v>0</v>
      </c>
      <c r="C12" s="27">
        <f>IF(TRIM('Preenchimento'!$C$16)="","",TRIM('Preenchimento'!$C$16))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17" customHeight="1">
      <c r="A13" s="25" t="s">
        <v>201</v>
      </c>
      <c r="B13" s="26">
        <f>IF(C13="","",3)</f>
        <v>0</v>
      </c>
      <c r="C13" s="27">
        <f>IF(TRIM('Preenchimento'!$C$17)="","",TRIM('Preenchimento'!$C$17))</f>
        <v>0</v>
      </c>
      <c r="D13" s="27"/>
      <c r="E13" s="27"/>
      <c r="F13" s="27"/>
      <c r="G13" s="27"/>
      <c r="H13" s="27"/>
      <c r="I13" s="27"/>
      <c r="J13" s="27"/>
      <c r="K13" s="27"/>
      <c r="L13" s="27"/>
      <c r="M13" s="27"/>
    </row>
    <row r="14" spans="1:15" ht="17" customHeight="1">
      <c r="A14" s="25" t="s">
        <v>201</v>
      </c>
      <c r="B14" s="26">
        <f>IF(C14="","",4)</f>
        <v>0</v>
      </c>
      <c r="C14" s="27">
        <f>IF(TRIM('Preenchimento'!$C$18)="","",TRIM('Preenchimento'!$C$18))</f>
        <v>0</v>
      </c>
      <c r="D14" s="27"/>
      <c r="E14" s="27"/>
      <c r="F14" s="27"/>
      <c r="G14" s="27"/>
      <c r="H14" s="27"/>
      <c r="I14" s="27"/>
      <c r="J14" s="27"/>
      <c r="K14" s="27"/>
      <c r="L14" s="27"/>
      <c r="M14" s="27"/>
    </row>
    <row r="15" spans="1:15" ht="17" customHeight="1">
      <c r="A15" s="25" t="s">
        <v>201</v>
      </c>
      <c r="B15" s="26">
        <f>IF(C15="","",5)</f>
        <v>0</v>
      </c>
      <c r="C15" s="27">
        <f>IF(TRIM('Preenchimento'!$C$19)="","",TRIM('Preenchimento'!$C$19))</f>
        <v>0</v>
      </c>
      <c r="D15" s="27"/>
      <c r="E15" s="27"/>
      <c r="F15" s="27"/>
      <c r="G15" s="27"/>
      <c r="H15" s="27"/>
      <c r="I15" s="27"/>
      <c r="J15" s="27"/>
      <c r="K15" s="27"/>
      <c r="L15" s="27"/>
      <c r="M15" s="27"/>
    </row>
    <row r="16" spans="1:15" ht="17" customHeight="1">
      <c r="A16" s="25" t="s">
        <v>201</v>
      </c>
      <c r="B16" s="26">
        <f>IF(C16="","",6)</f>
        <v>0</v>
      </c>
      <c r="C16" s="27">
        <f>IF(TRIM('Preenchimento'!$C$20)="","",TRIM('Preenchimento'!$C$20))</f>
        <v>0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7" customHeight="1">
      <c r="A17" s="25" t="s">
        <v>201</v>
      </c>
      <c r="B17" s="26">
        <f>IF(C17="","",7)</f>
        <v>0</v>
      </c>
      <c r="C17" s="27">
        <f>IF(TRIM('Preenchimento'!$C$21)="","",TRIM('Preenchimento'!$C$21))</f>
        <v>0</v>
      </c>
      <c r="D17" s="27"/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7" customHeight="1">
      <c r="A18" s="25" t="s">
        <v>201</v>
      </c>
      <c r="B18" s="26">
        <f>IF(C18="","",8)</f>
        <v>0</v>
      </c>
      <c r="C18" s="27">
        <f>IF(TRIM('Preenchimento'!$C$22)="","",TRIM('Preenchimento'!$C$22))</f>
        <v>0</v>
      </c>
      <c r="D18" s="27"/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7" customHeight="1">
      <c r="A19" s="25" t="s">
        <v>201</v>
      </c>
      <c r="B19" s="26">
        <f>IF(C19="","",9)</f>
        <v>0</v>
      </c>
      <c r="C19" s="27">
        <f>IF(TRIM('Preenchimento'!$C$23)="","",TRIM('Preenchimento'!$C$23))</f>
        <v>0</v>
      </c>
      <c r="D19" s="27"/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7" customHeight="1">
      <c r="A20" s="25" t="s">
        <v>201</v>
      </c>
      <c r="B20" s="26">
        <f>IF(C20="","",10)</f>
        <v>0</v>
      </c>
      <c r="C20" s="27">
        <f>IF(TRIM('Preenchimento'!$C$24)="","",TRIM('Preenchimento'!$C$24))</f>
        <v>0</v>
      </c>
      <c r="D20" s="27"/>
      <c r="E20" s="27"/>
      <c r="F20" s="27"/>
      <c r="G20" s="27"/>
      <c r="H20" s="27"/>
      <c r="I20" s="27"/>
      <c r="J20" s="27"/>
      <c r="K20" s="27"/>
      <c r="L20" s="27"/>
      <c r="M20" s="27"/>
    </row>
    <row r="21" spans="1:13" ht="17" customHeight="1">
      <c r="A21" s="25" t="s">
        <v>201</v>
      </c>
      <c r="B21" s="26">
        <f>IF(C21="","",11)</f>
        <v>0</v>
      </c>
      <c r="C21" s="27">
        <f>IF(TRIM('Preenchimento'!$C$25)="","",TRIM('Preenchimento'!$C$25))</f>
        <v>0</v>
      </c>
      <c r="D21" s="27"/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7" customHeight="1">
      <c r="A22" s="25" t="s">
        <v>201</v>
      </c>
      <c r="B22" s="26">
        <f>IF(C22="","",12)</f>
        <v>0</v>
      </c>
      <c r="C22" s="27">
        <f>IF(TRIM('Preenchimento'!$C$26)="","",TRIM('Preenchimento'!$C$26))</f>
        <v>0</v>
      </c>
      <c r="D22" s="27"/>
      <c r="E22" s="27"/>
      <c r="F22" s="27"/>
      <c r="G22" s="27"/>
      <c r="H22" s="27"/>
      <c r="I22" s="27"/>
      <c r="J22" s="27"/>
      <c r="K22" s="27"/>
      <c r="L22" s="27"/>
      <c r="M22" s="27"/>
    </row>
    <row r="23" spans="1:13" ht="17" customHeight="1">
      <c r="A23" s="25" t="s">
        <v>201</v>
      </c>
      <c r="B23" s="26"/>
      <c r="C23" s="28">
        <f>IF(COUNTA('Preenchimento'!$C$15:$C$26)=0,"Sem registro","")</f>
        <v>0</v>
      </c>
      <c r="D23" s="28"/>
      <c r="E23" s="28"/>
      <c r="F23" s="28"/>
      <c r="G23" s="28"/>
      <c r="H23" s="28"/>
      <c r="I23" s="28"/>
      <c r="J23" s="28"/>
      <c r="K23" s="28"/>
      <c r="L23" s="28"/>
      <c r="M23" s="28"/>
    </row>
    <row r="24" spans="1:13" ht="4" customHeight="1"/>
    <row r="25" spans="1:13" ht="18" customHeight="1">
      <c r="B25" s="24" t="s">
        <v>173</v>
      </c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</row>
    <row r="26" spans="1:13" ht="17" customHeight="1">
      <c r="A26" s="25" t="s">
        <v>201</v>
      </c>
      <c r="B26" s="26">
        <f>IF(C26="","",1)</f>
        <v>0</v>
      </c>
      <c r="C26" s="27">
        <f>IF(TRIM('Preenchimento'!$C$29)="","",TRIM('Preenchimento'!$C$29))</f>
        <v>0</v>
      </c>
      <c r="D26" s="27"/>
      <c r="E26" s="27"/>
      <c r="F26" s="27"/>
      <c r="G26" s="27"/>
      <c r="H26" s="27"/>
      <c r="I26" s="27"/>
      <c r="J26" s="27"/>
      <c r="K26" s="27"/>
      <c r="L26" s="27"/>
      <c r="M26" s="27"/>
    </row>
    <row r="27" spans="1:13" ht="17" customHeight="1">
      <c r="A27" s="25" t="s">
        <v>201</v>
      </c>
      <c r="B27" s="26">
        <f>IF(C27="","",2)</f>
        <v>0</v>
      </c>
      <c r="C27" s="27">
        <f>IF(TRIM('Preenchimento'!$C$30)="","",TRIM('Preenchimento'!$C$30))</f>
        <v>0</v>
      </c>
      <c r="D27" s="27"/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7" customHeight="1">
      <c r="A28" s="25" t="s">
        <v>201</v>
      </c>
      <c r="B28" s="26">
        <f>IF(C28="","",3)</f>
        <v>0</v>
      </c>
      <c r="C28" s="27">
        <f>IF(TRIM('Preenchimento'!$C$31)="","",TRIM('Preenchimento'!$C$31))</f>
        <v>0</v>
      </c>
      <c r="D28" s="27"/>
      <c r="E28" s="27"/>
      <c r="F28" s="27"/>
      <c r="G28" s="27"/>
      <c r="H28" s="27"/>
      <c r="I28" s="27"/>
      <c r="J28" s="27"/>
      <c r="K28" s="27"/>
      <c r="L28" s="27"/>
      <c r="M28" s="27"/>
    </row>
    <row r="29" spans="1:13" ht="17" customHeight="1">
      <c r="A29" s="25" t="s">
        <v>201</v>
      </c>
      <c r="B29" s="26">
        <f>IF(C29="","",4)</f>
        <v>0</v>
      </c>
      <c r="C29" s="27">
        <f>IF(TRIM('Preenchimento'!$C$32)="","",TRIM('Preenchimento'!$C$32))</f>
        <v>0</v>
      </c>
      <c r="D29" s="27"/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7" customHeight="1">
      <c r="A30" s="25" t="s">
        <v>201</v>
      </c>
      <c r="B30" s="26"/>
      <c r="C30" s="28">
        <f>IF(COUNTA('Preenchimento'!$C$29:$C$32)=0,"Sem registro","")</f>
        <v>0</v>
      </c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/>
    <row r="32" spans="1:13" ht="18" customHeight="1">
      <c r="B32" s="24" t="s">
        <v>174</v>
      </c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</row>
    <row r="33" spans="1:13" ht="17" customHeight="1">
      <c r="A33" s="25" t="s">
        <v>201</v>
      </c>
      <c r="B33" s="26">
        <f>IF(C33="","",1)</f>
        <v>0</v>
      </c>
      <c r="C33" s="27">
        <f>IF(TRIM('Preenchimento'!$C$35)="","",TRIM('Preenchimento'!$C$35))</f>
        <v>0</v>
      </c>
      <c r="D33" s="27"/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7" customHeight="1">
      <c r="A34" s="25" t="s">
        <v>201</v>
      </c>
      <c r="B34" s="26">
        <f>IF(C34="","",2)</f>
        <v>0</v>
      </c>
      <c r="C34" s="27">
        <f>IF(TRIM('Preenchimento'!$C$36)="","",TRIM('Preenchimento'!$C$36))</f>
        <v>0</v>
      </c>
      <c r="D34" s="27"/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7" customHeight="1">
      <c r="A35" s="25" t="s">
        <v>201</v>
      </c>
      <c r="B35" s="26">
        <f>IF(C35="","",3)</f>
        <v>0</v>
      </c>
      <c r="C35" s="27">
        <f>IF(TRIM('Preenchimento'!$C$37)="","",TRIM('Preenchimento'!$C$37))</f>
        <v>0</v>
      </c>
      <c r="D35" s="27"/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7" customHeight="1">
      <c r="A36" s="25" t="s">
        <v>201</v>
      </c>
      <c r="B36" s="26">
        <f>IF(C36="","",4)</f>
        <v>0</v>
      </c>
      <c r="C36" s="27">
        <f>IF(TRIM('Preenchimento'!$C$38)="","",TRIM('Preenchimento'!$C$38))</f>
        <v>0</v>
      </c>
      <c r="D36" s="27"/>
      <c r="E36" s="27"/>
      <c r="F36" s="27"/>
      <c r="G36" s="27"/>
      <c r="H36" s="27"/>
      <c r="I36" s="27"/>
      <c r="J36" s="27"/>
      <c r="K36" s="27"/>
      <c r="L36" s="27"/>
      <c r="M36" s="27"/>
    </row>
    <row r="37" spans="1:13" ht="17" customHeight="1">
      <c r="A37" s="25" t="s">
        <v>201</v>
      </c>
      <c r="B37" s="26"/>
      <c r="C37" s="28">
        <f>IF(COUNTA('Preenchimento'!$C$35:$C$38)=0,"Sem registro","")</f>
        <v>0</v>
      </c>
      <c r="D37" s="28"/>
      <c r="E37" s="28"/>
      <c r="F37" s="28"/>
      <c r="G37" s="28"/>
      <c r="H37" s="28"/>
      <c r="I37" s="28"/>
      <c r="J37" s="28"/>
      <c r="K37" s="28"/>
      <c r="L37" s="28"/>
      <c r="M37" s="28"/>
    </row>
    <row r="38" spans="1:13" ht="4" customHeight="1"/>
    <row r="39" spans="1:13" ht="18" customHeight="1">
      <c r="B39" s="24" t="s">
        <v>175</v>
      </c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</row>
    <row r="40" spans="1:13" ht="17" customHeight="1">
      <c r="A40" s="25" t="s">
        <v>201</v>
      </c>
      <c r="B40" s="26">
        <f>IF(C40="","",1)</f>
        <v>0</v>
      </c>
      <c r="C40" s="27">
        <f>IF(TRIM('Preenchimento'!$C$41)="","",TRIM('Preenchimento'!$C$41))</f>
        <v>0</v>
      </c>
      <c r="D40" s="27"/>
      <c r="E40" s="27"/>
      <c r="F40" s="27"/>
      <c r="G40" s="27"/>
      <c r="H40" s="27"/>
      <c r="I40" s="27"/>
      <c r="J40" s="27"/>
      <c r="K40" s="27"/>
      <c r="L40" s="27"/>
      <c r="M40" s="27"/>
    </row>
    <row r="41" spans="1:13" ht="17" customHeight="1">
      <c r="A41" s="25" t="s">
        <v>201</v>
      </c>
      <c r="B41" s="26">
        <f>IF(C41="","",2)</f>
        <v>0</v>
      </c>
      <c r="C41" s="27">
        <f>IF(TRIM('Preenchimento'!$C$42)="","",TRIM('Preenchimento'!$C$42))</f>
        <v>0</v>
      </c>
      <c r="D41" s="27"/>
      <c r="E41" s="27"/>
      <c r="F41" s="27"/>
      <c r="G41" s="27"/>
      <c r="H41" s="27"/>
      <c r="I41" s="27"/>
      <c r="J41" s="27"/>
      <c r="K41" s="27"/>
      <c r="L41" s="27"/>
      <c r="M41" s="27"/>
    </row>
    <row r="42" spans="1:13" ht="17" customHeight="1">
      <c r="A42" s="25" t="s">
        <v>201</v>
      </c>
      <c r="B42" s="26">
        <f>IF(C42="","",3)</f>
        <v>0</v>
      </c>
      <c r="C42" s="27">
        <f>IF(TRIM('Preenchimento'!$C$43)="","",TRIM('Preenchimento'!$C$43))</f>
        <v>0</v>
      </c>
      <c r="D42" s="27"/>
      <c r="E42" s="27"/>
      <c r="F42" s="27"/>
      <c r="G42" s="27"/>
      <c r="H42" s="27"/>
      <c r="I42" s="27"/>
      <c r="J42" s="27"/>
      <c r="K42" s="27"/>
      <c r="L42" s="27"/>
      <c r="M42" s="27"/>
    </row>
    <row r="43" spans="1:13" ht="17" customHeight="1">
      <c r="A43" s="25" t="s">
        <v>201</v>
      </c>
      <c r="B43" s="26">
        <f>IF(C43="","",4)</f>
        <v>0</v>
      </c>
      <c r="C43" s="27">
        <f>IF(TRIM('Preenchimento'!$C$44)="","",TRIM('Preenchimento'!$C$44))</f>
        <v>0</v>
      </c>
      <c r="D43" s="27"/>
      <c r="E43" s="27"/>
      <c r="F43" s="27"/>
      <c r="G43" s="27"/>
      <c r="H43" s="27"/>
      <c r="I43" s="27"/>
      <c r="J43" s="27"/>
      <c r="K43" s="27"/>
      <c r="L43" s="27"/>
      <c r="M43" s="27"/>
    </row>
    <row r="44" spans="1:13" ht="17" customHeight="1">
      <c r="A44" s="25" t="s">
        <v>201</v>
      </c>
      <c r="B44" s="26">
        <f>IF(C44="","",5)</f>
        <v>0</v>
      </c>
      <c r="C44" s="27">
        <f>IF(TRIM('Preenchimento'!$C$45)="","",TRIM('Preenchimento'!$C$45))</f>
        <v>0</v>
      </c>
      <c r="D44" s="27"/>
      <c r="E44" s="27"/>
      <c r="F44" s="27"/>
      <c r="G44" s="27"/>
      <c r="H44" s="27"/>
      <c r="I44" s="27"/>
      <c r="J44" s="27"/>
      <c r="K44" s="27"/>
      <c r="L44" s="27"/>
      <c r="M44" s="27"/>
    </row>
    <row r="45" spans="1:13" ht="17" customHeight="1">
      <c r="A45" s="25" t="s">
        <v>201</v>
      </c>
      <c r="B45" s="26">
        <f>IF(C45="","",6)</f>
        <v>0</v>
      </c>
      <c r="C45" s="27">
        <f>IF(TRIM('Preenchimento'!$C$46)="","",TRIM('Preenchimento'!$C$46))</f>
        <v>0</v>
      </c>
      <c r="D45" s="27"/>
      <c r="E45" s="27"/>
      <c r="F45" s="27"/>
      <c r="G45" s="27"/>
      <c r="H45" s="27"/>
      <c r="I45" s="27"/>
      <c r="J45" s="27"/>
      <c r="K45" s="27"/>
      <c r="L45" s="27"/>
      <c r="M45" s="27"/>
    </row>
    <row r="46" spans="1:13" ht="17" customHeight="1">
      <c r="A46" s="25" t="s">
        <v>201</v>
      </c>
      <c r="B46" s="26">
        <f>IF(C46="","",7)</f>
        <v>0</v>
      </c>
      <c r="C46" s="27">
        <f>IF(TRIM('Preenchimento'!$C$47)="","",TRIM('Preenchimento'!$C$47))</f>
        <v>0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</row>
    <row r="47" spans="1:13" ht="17" customHeight="1">
      <c r="A47" s="25" t="s">
        <v>201</v>
      </c>
      <c r="B47" s="26">
        <f>IF(C47="","",8)</f>
        <v>0</v>
      </c>
      <c r="C47" s="27">
        <f>IF(TRIM('Preenchimento'!$C$48)="","",TRIM('Preenchimento'!$C$48))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17" customHeight="1">
      <c r="A48" s="25" t="s">
        <v>201</v>
      </c>
      <c r="B48" s="26"/>
      <c r="C48" s="28">
        <f>IF(COUNTA('Preenchimento'!$C$41:$C$48)=0,"Sem registro","")</f>
        <v>0</v>
      </c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3" ht="4" customHeight="1"/>
    <row r="50" spans="1:13" ht="18" customHeight="1">
      <c r="B50" s="24" t="s">
        <v>176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</row>
    <row r="51" spans="1:13" ht="34" customHeight="1">
      <c r="A51" s="25" t="s">
        <v>202</v>
      </c>
      <c r="B51" s="18" t="s">
        <v>177</v>
      </c>
      <c r="C51" s="29">
        <f>IF(dComUS3="","Sem registro",dComUS3)</f>
        <v>0</v>
      </c>
      <c r="D51" s="29"/>
      <c r="E51" s="29"/>
      <c r="F51" s="29"/>
      <c r="G51" s="29"/>
      <c r="H51" s="29"/>
      <c r="I51" s="29"/>
      <c r="J51" s="29"/>
      <c r="K51" s="29"/>
      <c r="L51" s="29"/>
      <c r="M51" s="29"/>
    </row>
    <row r="52" spans="1:13" ht="34" customHeight="1">
      <c r="A52" s="25" t="s">
        <v>202</v>
      </c>
      <c r="B52" s="18" t="s">
        <v>178</v>
      </c>
      <c r="C52" s="29">
        <f>IF(dComUS4="","Sem registro",dComUS4)</f>
        <v>0</v>
      </c>
      <c r="D52" s="29"/>
      <c r="E52" s="29"/>
      <c r="F52" s="29"/>
      <c r="G52" s="29"/>
      <c r="H52" s="29"/>
      <c r="I52" s="29"/>
      <c r="J52" s="29"/>
      <c r="K52" s="29"/>
      <c r="L52" s="29"/>
      <c r="M52" s="29"/>
    </row>
    <row r="54" spans="1:13" ht="21" customHeight="1">
      <c r="B54" s="23" t="s">
        <v>203</v>
      </c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</row>
    <row r="55" spans="1:13" ht="30" customHeight="1">
      <c r="A55" s="25" t="s">
        <v>202</v>
      </c>
      <c r="B55" s="18" t="s">
        <v>180</v>
      </c>
      <c r="C55" s="29">
        <f>IF(dProg="","—",dProg)</f>
        <v>0</v>
      </c>
      <c r="D55" s="29"/>
      <c r="E55" s="29"/>
      <c r="F55" s="29"/>
      <c r="G55" s="29"/>
      <c r="H55" s="29"/>
      <c r="I55" s="29"/>
      <c r="J55" s="29"/>
      <c r="K55" s="29"/>
      <c r="L55" s="29"/>
      <c r="M55" s="29"/>
    </row>
    <row r="56" spans="1:13" ht="20" customHeight="1">
      <c r="B56" s="18" t="s">
        <v>182</v>
      </c>
      <c r="C56" s="21">
        <f>IF(dPadroes="","—",dPadroes)</f>
        <v>0</v>
      </c>
      <c r="D56" s="21"/>
      <c r="E56" s="18" t="s">
        <v>183</v>
      </c>
      <c r="F56" s="18"/>
      <c r="G56" s="22">
        <f>IF(dPadroesQuais="","—",dPadroesQuais)</f>
        <v>0</v>
      </c>
      <c r="H56" s="22"/>
      <c r="I56" s="22"/>
      <c r="J56" s="22"/>
      <c r="K56" s="22"/>
      <c r="L56" s="22"/>
      <c r="M56" s="22"/>
    </row>
    <row r="57" spans="1:13" ht="20" customHeight="1">
      <c r="B57" s="18" t="s">
        <v>184</v>
      </c>
      <c r="C57" s="21">
        <f>IF(dAr="","—",dAr)</f>
        <v>0</v>
      </c>
      <c r="D57" s="21"/>
      <c r="E57" s="18" t="s">
        <v>204</v>
      </c>
      <c r="F57" s="18"/>
      <c r="G57" s="21">
        <f>IF(dArStatus="","—",dArStatus)</f>
        <v>0</v>
      </c>
      <c r="H57" s="21"/>
      <c r="I57" s="18" t="s">
        <v>78</v>
      </c>
      <c r="J57" s="18"/>
      <c r="K57" s="21">
        <f>IF(dCompressor="","—",dCompressor)</f>
        <v>0</v>
      </c>
      <c r="L57" s="18" t="s">
        <v>79</v>
      </c>
      <c r="M57" s="21">
        <f>IF(dNitrogenio="","—",dNitrogenio)</f>
        <v>0</v>
      </c>
    </row>
    <row r="59" spans="1:13" ht="21" customHeight="1">
      <c r="B59" s="23" t="s">
        <v>205</v>
      </c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</row>
    <row r="60" spans="1:13" ht="20" customHeight="1">
      <c r="B60" s="18" t="s">
        <v>186</v>
      </c>
      <c r="C60" s="22">
        <f>IF(dCadinhos="","—",dCadinhos)</f>
        <v>0</v>
      </c>
      <c r="D60" s="22"/>
      <c r="E60" s="22"/>
      <c r="F60" s="22"/>
      <c r="G60" s="22"/>
      <c r="H60" s="22"/>
      <c r="I60" s="22"/>
      <c r="J60" s="22"/>
      <c r="K60" s="22"/>
      <c r="L60" s="22"/>
      <c r="M60" s="22"/>
    </row>
    <row r="61" spans="1:13" ht="20" customHeight="1">
      <c r="B61" s="18" t="s">
        <v>187</v>
      </c>
      <c r="C61" s="22">
        <f>IF(dReforma="","—",dReforma)</f>
        <v>0</v>
      </c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3" spans="1:13" ht="21" customHeight="1">
      <c r="B63" s="23" t="s">
        <v>206</v>
      </c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</row>
    <row r="64" spans="1:13" ht="20" customHeight="1">
      <c r="B64" s="18" t="s">
        <v>189</v>
      </c>
      <c r="C64" s="21">
        <f>IF(dH2Carvao="","—",dH2Carvao)</f>
        <v>0</v>
      </c>
      <c r="D64" s="21"/>
      <c r="E64" s="18" t="s">
        <v>190</v>
      </c>
      <c r="F64" s="18"/>
      <c r="G64" s="21">
        <f>IF(dH2Coque="","—",dH2Coque)</f>
        <v>0</v>
      </c>
      <c r="H64" s="21"/>
      <c r="I64" s="18" t="s">
        <v>191</v>
      </c>
      <c r="J64" s="18"/>
      <c r="K64" s="22">
        <f>IF(dCoque04="","—",dCoque04)</f>
        <v>0</v>
      </c>
      <c r="L64" s="22"/>
      <c r="M64" s="22"/>
    </row>
    <row r="65" spans="1:18" ht="34" customHeight="1">
      <c r="A65" s="25" t="s">
        <v>202</v>
      </c>
      <c r="B65" s="18" t="s">
        <v>192</v>
      </c>
      <c r="C65" s="29">
        <f>IF(dObs="","—",dObs)</f>
        <v>0</v>
      </c>
      <c r="D65" s="29"/>
      <c r="E65" s="29"/>
      <c r="F65" s="29"/>
      <c r="G65" s="29"/>
      <c r="H65" s="29"/>
      <c r="I65" s="29"/>
      <c r="J65" s="29"/>
      <c r="K65" s="29"/>
      <c r="L65" s="29"/>
      <c r="M65" s="29"/>
    </row>
    <row r="67" spans="1:18" ht="21" customHeight="1">
      <c r="B67" s="23" t="s">
        <v>207</v>
      </c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</row>
    <row r="68" spans="1:18" ht="17" customHeight="1">
      <c r="B68" s="30" t="s">
        <v>208</v>
      </c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</row>
    <row r="69" spans="1:18" ht="30" customHeight="1">
      <c r="B69" s="31" t="s">
        <v>209</v>
      </c>
      <c r="C69" s="31" t="s">
        <v>210</v>
      </c>
      <c r="D69" s="31" t="s">
        <v>211</v>
      </c>
      <c r="E69" s="31" t="s">
        <v>212</v>
      </c>
      <c r="F69" s="31" t="s">
        <v>213</v>
      </c>
      <c r="G69" s="31" t="s">
        <v>214</v>
      </c>
      <c r="H69" s="31" t="s">
        <v>215</v>
      </c>
      <c r="I69" s="31" t="s">
        <v>216</v>
      </c>
      <c r="J69" s="31" t="s">
        <v>217</v>
      </c>
      <c r="K69" s="31" t="s">
        <v>218</v>
      </c>
      <c r="L69" s="31" t="s">
        <v>219</v>
      </c>
      <c r="M69" s="31" t="s">
        <v>220</v>
      </c>
    </row>
    <row r="70" spans="1:18" ht="18" customHeight="1">
      <c r="A70" s="25" t="s">
        <v>221</v>
      </c>
      <c r="B70" s="24" t="s">
        <v>33</v>
      </c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</row>
    <row r="71" spans="1:18" ht="17" customHeight="1">
      <c r="A71" s="25" t="s">
        <v>222</v>
      </c>
      <c r="B71" s="32" t="s">
        <v>34</v>
      </c>
      <c r="C71" s="33" t="s">
        <v>35</v>
      </c>
      <c r="D71" s="34" t="s">
        <v>223</v>
      </c>
      <c r="E71" s="35"/>
      <c r="F71" s="35"/>
      <c r="G71" s="35"/>
      <c r="H71" s="35"/>
      <c r="I71" s="35"/>
      <c r="J71" s="35"/>
      <c r="K71" s="36">
        <f>IF(COUNT(E71:J71)=0,"",AVERAGE(E71:J71))</f>
        <v>0</v>
      </c>
      <c r="L71" s="37">
        <f>IF(COUNT(E71:J71)=0,"",MIN(E71:J71))</f>
        <v>0</v>
      </c>
      <c r="M71" s="37">
        <f>IF(COUNT(E71:J71)=0,"",MAX(E71:J71))</f>
        <v>0</v>
      </c>
      <c r="Q71">
        <f>IFERROR(IF(INDEX('Limites'!$N:$N,MATCH(IF(dProdUS3="",dProdUS4,dProdUS3),'Limites'!$B:$B,0))="","",INDEX('Limites'!$N:$N,MATCH(IF(dProdUS3="",dProdUS4,dProdUS3),'Limites'!$B:$B,0))),"")</f>
        <v>0</v>
      </c>
      <c r="R71">
        <f>IFERROR(IF(INDEX('Limites'!$O:$O,MATCH(IF(dProdUS3="",dProdUS4,dProdUS3),'Limites'!$B:$B,0))="","",INDEX('Limites'!$O:$O,MATCH(IF(dProdUS3="",dProdUS4,dProdUS3),'Limites'!$B:$B,0))),"")</f>
        <v>0</v>
      </c>
    </row>
    <row r="72" spans="1:18" ht="17" customHeight="1">
      <c r="A72" s="25" t="s">
        <v>224</v>
      </c>
      <c r="B72" s="38" t="s">
        <v>39</v>
      </c>
      <c r="C72" s="39" t="s">
        <v>35</v>
      </c>
      <c r="D72" s="40" t="s">
        <v>223</v>
      </c>
      <c r="E72" s="41"/>
      <c r="F72" s="41"/>
      <c r="G72" s="41"/>
      <c r="H72" s="41"/>
      <c r="I72" s="41"/>
      <c r="J72" s="41"/>
      <c r="K72" s="42">
        <f>IF(COUNT(E72:J72)=0,"",AVERAGE(E72:J72))</f>
        <v>0</v>
      </c>
      <c r="L72" s="43">
        <f>IF(COUNT(E72:J72)=0,"",MIN(E72:J72))</f>
        <v>0</v>
      </c>
      <c r="M72" s="43">
        <f>IF(COUNT(E72:J72)=0,"",MAX(E72:J72))</f>
        <v>0</v>
      </c>
      <c r="Q72">
        <f>IFERROR(IF(INDEX('Limites'!$P:$P,MATCH(IF(dProdUS3="",dProdUS4,dProdUS3),'Limites'!$B:$B,0))="","",INDEX('Limites'!$P:$P,MATCH(IF(dProdUS3="",dProdUS4,dProdUS3),'Limites'!$B:$B,0))),"")</f>
        <v>0</v>
      </c>
      <c r="R72">
        <f>IFERROR(IF(INDEX('Limites'!$Q:$Q,MATCH(IF(dProdUS3="",dProdUS4,dProdUS3),'Limites'!$B:$B,0))="","",INDEX('Limites'!$Q:$Q,MATCH(IF(dProdUS3="",dProdUS4,dProdUS3),'Limites'!$B:$B,0))),"")</f>
        <v>0</v>
      </c>
    </row>
    <row r="73" spans="1:18" ht="17" customHeight="1">
      <c r="A73" s="25" t="s">
        <v>225</v>
      </c>
      <c r="B73" s="32" t="s">
        <v>41</v>
      </c>
      <c r="C73" s="33" t="s">
        <v>35</v>
      </c>
      <c r="D73" s="34" t="s">
        <v>223</v>
      </c>
      <c r="E73" s="35"/>
      <c r="F73" s="35"/>
      <c r="G73" s="35"/>
      <c r="H73" s="35"/>
      <c r="I73" s="35"/>
      <c r="J73" s="35"/>
      <c r="K73" s="36">
        <f>IF(COUNT(E73:J73)=0,"",AVERAGE(E73:J73))</f>
        <v>0</v>
      </c>
      <c r="L73" s="37">
        <f>IF(COUNT(E73:J73)=0,"",MIN(E73:J73))</f>
        <v>0</v>
      </c>
      <c r="M73" s="37">
        <f>IF(COUNT(E73:J73)=0,"",MAX(E73:J73))</f>
        <v>0</v>
      </c>
    </row>
    <row r="74" spans="1:18" ht="17" customHeight="1">
      <c r="A74" s="25" t="s">
        <v>226</v>
      </c>
      <c r="B74" s="38" t="s">
        <v>43</v>
      </c>
      <c r="C74" s="39" t="s">
        <v>35</v>
      </c>
      <c r="D74" s="40" t="s">
        <v>223</v>
      </c>
      <c r="E74" s="44"/>
      <c r="F74" s="44"/>
      <c r="G74" s="44"/>
      <c r="H74" s="44"/>
      <c r="I74" s="44"/>
      <c r="J74" s="44"/>
      <c r="K74" s="36">
        <f>IF(COUNT(E74:J74)=0,"",AVERAGE(E74:J74))</f>
        <v>0</v>
      </c>
      <c r="L74" s="45">
        <f>IF(COUNT(E74:J74)=0,"",MIN(E74:J74))</f>
        <v>0</v>
      </c>
      <c r="M74" s="45">
        <f>IF(COUNT(E74:J74)=0,"",MAX(E74:J74))</f>
        <v>0</v>
      </c>
    </row>
    <row r="75" spans="1:18" ht="17" customHeight="1">
      <c r="A75" s="25" t="s">
        <v>227</v>
      </c>
      <c r="B75" s="32" t="s">
        <v>45</v>
      </c>
      <c r="C75" s="33" t="s">
        <v>35</v>
      </c>
      <c r="D75" s="34" t="s">
        <v>223</v>
      </c>
      <c r="E75" s="35"/>
      <c r="F75" s="35"/>
      <c r="G75" s="35"/>
      <c r="H75" s="35"/>
      <c r="I75" s="35"/>
      <c r="J75" s="35"/>
      <c r="K75" s="36">
        <f>IF(COUNT(E75:J75)=0,"",AVERAGE(E75:J75))</f>
        <v>0</v>
      </c>
      <c r="L75" s="37">
        <f>IF(COUNT(E75:J75)=0,"",MIN(E75:J75))</f>
        <v>0</v>
      </c>
      <c r="M75" s="37">
        <f>IF(COUNT(E75:J75)=0,"",MAX(E75:J75))</f>
        <v>0</v>
      </c>
      <c r="Q75">
        <f>IFERROR(IF(INDEX('Limites'!$R:$R,MATCH(IF(dProdUS3="",dProdUS4,dProdUS3),'Limites'!$B:$B,0))="","",INDEX('Limites'!$R:$R,MATCH(IF(dProdUS3="",dProdUS4,dProdUS3),'Limites'!$B:$B,0))),"")</f>
        <v>0</v>
      </c>
      <c r="R75">
        <f>IFERROR(IF(INDEX('Limites'!$S:$S,MATCH(IF(dProdUS3="",dProdUS4,dProdUS3),'Limites'!$B:$B,0))="","",INDEX('Limites'!$S:$S,MATCH(IF(dProdUS3="",dProdUS4,dProdUS3),'Limites'!$B:$B,0))),"")</f>
        <v>0</v>
      </c>
    </row>
    <row r="76" spans="1:18" ht="18" customHeight="1">
      <c r="A76" s="25" t="s">
        <v>228</v>
      </c>
      <c r="B76" s="24" t="s">
        <v>47</v>
      </c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</row>
    <row r="77" spans="1:18" ht="17" customHeight="1">
      <c r="A77" s="25" t="s">
        <v>229</v>
      </c>
      <c r="B77" s="38" t="s">
        <v>48</v>
      </c>
      <c r="C77" s="39" t="s">
        <v>35</v>
      </c>
      <c r="D77" s="40" t="s">
        <v>230</v>
      </c>
      <c r="E77" s="44"/>
      <c r="F77" s="44"/>
      <c r="G77" s="44"/>
      <c r="H77" s="44"/>
      <c r="I77" s="44"/>
      <c r="J77" s="44"/>
      <c r="K77" s="36">
        <f>IF(COUNT(E77:J77)=0,"",AVERAGE(E77:J77))</f>
        <v>0</v>
      </c>
      <c r="L77" s="45">
        <f>IF(COUNT(E77:J77)=0,"",MIN(E77:J77))</f>
        <v>0</v>
      </c>
      <c r="M77" s="45">
        <f>IF(COUNT(E77:J77)=0,"",MAX(E77:J77))</f>
        <v>0</v>
      </c>
      <c r="Q77">
        <f>IFERROR(IF(INDEX('Limites'!$D:$D,MATCH(dProdUS3,'Limites'!$B:$B,0))="","",INDEX('Limites'!$D:$D,MATCH(dProdUS3,'Limites'!$B:$B,0))),"")</f>
        <v>0</v>
      </c>
      <c r="R77">
        <f>IFERROR(IF(INDEX('Limites'!$E:$E,MATCH(dProdUS3,'Limites'!$B:$B,0))="","",INDEX('Limites'!$E:$E,MATCH(dProdUS3,'Limites'!$B:$B,0))),"")</f>
        <v>0</v>
      </c>
    </row>
    <row r="78" spans="1:18" ht="17" customHeight="1">
      <c r="A78" s="25" t="s">
        <v>231</v>
      </c>
      <c r="B78" s="38"/>
      <c r="C78" s="39"/>
      <c r="D78" s="46" t="s">
        <v>232</v>
      </c>
      <c r="E78" s="44"/>
      <c r="F78" s="44"/>
      <c r="G78" s="44"/>
      <c r="H78" s="44"/>
      <c r="I78" s="44"/>
      <c r="J78" s="44"/>
      <c r="K78" s="36">
        <f>IF(COUNT(E78:J78)=0,"",AVERAGE(E78:J78))</f>
        <v>0</v>
      </c>
      <c r="L78" s="45">
        <f>IF(COUNT(E78:J78)=0,"",MIN(E78:J78))</f>
        <v>0</v>
      </c>
      <c r="M78" s="45">
        <f>IF(COUNT(E78:J78)=0,"",MAX(E78:J78))</f>
        <v>0</v>
      </c>
      <c r="Q78">
        <f>IFERROR(IF(INDEX('Limites'!$D:$D,MATCH(dProdUS4,'Limites'!$B:$B,0))="","",INDEX('Limites'!$D:$D,MATCH(dProdUS4,'Limites'!$B:$B,0))),"")</f>
        <v>0</v>
      </c>
      <c r="R78">
        <f>IFERROR(IF(INDEX('Limites'!$E:$E,MATCH(dProdUS4,'Limites'!$B:$B,0))="","",INDEX('Limites'!$E:$E,MATCH(dProdUS4,'Limites'!$B:$B,0))),"")</f>
        <v>0</v>
      </c>
    </row>
    <row r="79" spans="1:18" ht="17" customHeight="1">
      <c r="A79" s="25" t="s">
        <v>233</v>
      </c>
      <c r="B79" s="32" t="s">
        <v>34</v>
      </c>
      <c r="C79" s="33" t="s">
        <v>35</v>
      </c>
      <c r="D79" s="34" t="s">
        <v>230</v>
      </c>
      <c r="E79" s="35"/>
      <c r="F79" s="35"/>
      <c r="G79" s="35"/>
      <c r="H79" s="35"/>
      <c r="I79" s="35"/>
      <c r="J79" s="35"/>
      <c r="K79" s="36">
        <f>IF(COUNT(E79:J79)=0,"",AVERAGE(E79:J79))</f>
        <v>0</v>
      </c>
      <c r="L79" s="37">
        <f>IF(COUNT(E79:J79)=0,"",MIN(E79:J79))</f>
        <v>0</v>
      </c>
      <c r="M79" s="37">
        <f>IF(COUNT(E79:J79)=0,"",MAX(E79:J79))</f>
        <v>0</v>
      </c>
      <c r="Q79">
        <f>IFERROR(IF(INDEX('Limites'!$F:$F,MATCH(dProdUS3,'Limites'!$B:$B,0))="","",INDEX('Limites'!$F:$F,MATCH(dProdUS3,'Limites'!$B:$B,0))),"")</f>
        <v>0</v>
      </c>
      <c r="R79">
        <f>IFERROR(IF(INDEX('Limites'!$G:$G,MATCH(dProdUS3,'Limites'!$B:$B,0))="","",INDEX('Limites'!$G:$G,MATCH(dProdUS3,'Limites'!$B:$B,0))),"")</f>
        <v>0</v>
      </c>
    </row>
    <row r="80" spans="1:18" ht="17" customHeight="1">
      <c r="A80" s="25" t="s">
        <v>234</v>
      </c>
      <c r="B80" s="32"/>
      <c r="C80" s="33"/>
      <c r="D80" s="47" t="s">
        <v>232</v>
      </c>
      <c r="E80" s="35"/>
      <c r="F80" s="35"/>
      <c r="G80" s="35"/>
      <c r="H80" s="35"/>
      <c r="I80" s="35"/>
      <c r="J80" s="35"/>
      <c r="K80" s="36">
        <f>IF(COUNT(E80:J80)=0,"",AVERAGE(E80:J80))</f>
        <v>0</v>
      </c>
      <c r="L80" s="37">
        <f>IF(COUNT(E80:J80)=0,"",MIN(E80:J80))</f>
        <v>0</v>
      </c>
      <c r="M80" s="37">
        <f>IF(COUNT(E80:J80)=0,"",MAX(E80:J80))</f>
        <v>0</v>
      </c>
      <c r="Q80">
        <f>IFERROR(IF(INDEX('Limites'!$F:$F,MATCH(dProdUS4,'Limites'!$B:$B,0))="","",INDEX('Limites'!$F:$F,MATCH(dProdUS4,'Limites'!$B:$B,0))),"")</f>
        <v>0</v>
      </c>
      <c r="R80">
        <f>IFERROR(IF(INDEX('Limites'!$G:$G,MATCH(dProdUS4,'Limites'!$B:$B,0))="","",INDEX('Limites'!$G:$G,MATCH(dProdUS4,'Limites'!$B:$B,0))),"")</f>
        <v>0</v>
      </c>
    </row>
    <row r="81" spans="1:18" ht="17" customHeight="1">
      <c r="A81" s="25" t="s">
        <v>235</v>
      </c>
      <c r="B81" s="38" t="s">
        <v>53</v>
      </c>
      <c r="C81" s="39" t="s">
        <v>35</v>
      </c>
      <c r="D81" s="40" t="s">
        <v>230</v>
      </c>
      <c r="E81" s="44"/>
      <c r="F81" s="44"/>
      <c r="G81" s="44"/>
      <c r="H81" s="44"/>
      <c r="I81" s="44"/>
      <c r="J81" s="44"/>
      <c r="K81" s="36">
        <f>IF(COUNT(E81:J81)=0,"",AVERAGE(E81:J81))</f>
        <v>0</v>
      </c>
      <c r="L81" s="45">
        <f>IF(COUNT(E81:J81)=0,"",MIN(E81:J81))</f>
        <v>0</v>
      </c>
      <c r="M81" s="45">
        <f>IF(COUNT(E81:J81)=0,"",MAX(E81:J81))</f>
        <v>0</v>
      </c>
    </row>
    <row r="82" spans="1:18" ht="17" customHeight="1">
      <c r="A82" s="25" t="s">
        <v>236</v>
      </c>
      <c r="B82" s="38"/>
      <c r="C82" s="39"/>
      <c r="D82" s="46" t="s">
        <v>232</v>
      </c>
      <c r="E82" s="44"/>
      <c r="F82" s="44"/>
      <c r="G82" s="44"/>
      <c r="H82" s="44"/>
      <c r="I82" s="44"/>
      <c r="J82" s="44"/>
      <c r="K82" s="36">
        <f>IF(COUNT(E82:J82)=0,"",AVERAGE(E82:J82))</f>
        <v>0</v>
      </c>
      <c r="L82" s="45">
        <f>IF(COUNT(E82:J82)=0,"",MIN(E82:J82))</f>
        <v>0</v>
      </c>
      <c r="M82" s="45">
        <f>IF(COUNT(E82:J82)=0,"",MAX(E82:J82))</f>
        <v>0</v>
      </c>
    </row>
    <row r="83" spans="1:18" ht="17" customHeight="1">
      <c r="A83" s="25" t="s">
        <v>237</v>
      </c>
      <c r="B83" s="32" t="s">
        <v>43</v>
      </c>
      <c r="C83" s="33" t="s">
        <v>35</v>
      </c>
      <c r="D83" s="34" t="s">
        <v>230</v>
      </c>
      <c r="E83" s="35"/>
      <c r="F83" s="35"/>
      <c r="G83" s="35"/>
      <c r="H83" s="35"/>
      <c r="I83" s="35"/>
      <c r="J83" s="35"/>
      <c r="K83" s="36">
        <f>IF(COUNT(E83:J83)=0,"",AVERAGE(E83:J83))</f>
        <v>0</v>
      </c>
      <c r="L83" s="37">
        <f>IF(COUNT(E83:J83)=0,"",MIN(E83:J83))</f>
        <v>0</v>
      </c>
      <c r="M83" s="37">
        <f>IF(COUNT(E83:J83)=0,"",MAX(E83:J83))</f>
        <v>0</v>
      </c>
      <c r="Q83">
        <f>IFERROR(IF(INDEX('Limites'!$J:$J,MATCH(dProdUS3,'Limites'!$B:$B,0))="","",INDEX('Limites'!$J:$J,MATCH(dProdUS3,'Limites'!$B:$B,0))),"")</f>
        <v>0</v>
      </c>
      <c r="R83">
        <f>IFERROR(IF(INDEX('Limites'!$K:$K,MATCH(dProdUS3,'Limites'!$B:$B,0))="","",INDEX('Limites'!$K:$K,MATCH(dProdUS3,'Limites'!$B:$B,0))),"")</f>
        <v>0</v>
      </c>
    </row>
    <row r="84" spans="1:18" ht="17" customHeight="1">
      <c r="A84" s="25" t="s">
        <v>238</v>
      </c>
      <c r="B84" s="32"/>
      <c r="C84" s="33"/>
      <c r="D84" s="47" t="s">
        <v>232</v>
      </c>
      <c r="E84" s="35"/>
      <c r="F84" s="35"/>
      <c r="G84" s="35"/>
      <c r="H84" s="35"/>
      <c r="I84" s="35"/>
      <c r="J84" s="35"/>
      <c r="K84" s="36">
        <f>IF(COUNT(E84:J84)=0,"",AVERAGE(E84:J84))</f>
        <v>0</v>
      </c>
      <c r="L84" s="37">
        <f>IF(COUNT(E84:J84)=0,"",MIN(E84:J84))</f>
        <v>0</v>
      </c>
      <c r="M84" s="37">
        <f>IF(COUNT(E84:J84)=0,"",MAX(E84:J84))</f>
        <v>0</v>
      </c>
      <c r="Q84">
        <f>IFERROR(IF(INDEX('Limites'!$J:$J,MATCH(dProdUS4,'Limites'!$B:$B,0))="","",INDEX('Limites'!$J:$J,MATCH(dProdUS4,'Limites'!$B:$B,0))),"")</f>
        <v>0</v>
      </c>
      <c r="R84">
        <f>IFERROR(IF(INDEX('Limites'!$K:$K,MATCH(dProdUS4,'Limites'!$B:$B,0))="","",INDEX('Limites'!$K:$K,MATCH(dProdUS4,'Limites'!$B:$B,0))),"")</f>
        <v>0</v>
      </c>
    </row>
    <row r="85" spans="1:18" ht="17" customHeight="1">
      <c r="A85" s="25" t="s">
        <v>239</v>
      </c>
      <c r="B85" s="38" t="s">
        <v>41</v>
      </c>
      <c r="C85" s="39" t="s">
        <v>35</v>
      </c>
      <c r="D85" s="40" t="s">
        <v>230</v>
      </c>
      <c r="E85" s="44"/>
      <c r="F85" s="44"/>
      <c r="G85" s="44"/>
      <c r="H85" s="44"/>
      <c r="I85" s="44"/>
      <c r="J85" s="44"/>
      <c r="K85" s="36">
        <f>IF(COUNT(E85:J85)=0,"",AVERAGE(E85:J85))</f>
        <v>0</v>
      </c>
      <c r="L85" s="45">
        <f>IF(COUNT(E85:J85)=0,"",MIN(E85:J85))</f>
        <v>0</v>
      </c>
      <c r="M85" s="45">
        <f>IF(COUNT(E85:J85)=0,"",MAX(E85:J85))</f>
        <v>0</v>
      </c>
    </row>
    <row r="86" spans="1:18" ht="17" customHeight="1">
      <c r="A86" s="25" t="s">
        <v>240</v>
      </c>
      <c r="B86" s="38"/>
      <c r="C86" s="39"/>
      <c r="D86" s="46" t="s">
        <v>232</v>
      </c>
      <c r="E86" s="44"/>
      <c r="F86" s="44"/>
      <c r="G86" s="44"/>
      <c r="H86" s="44"/>
      <c r="I86" s="44"/>
      <c r="J86" s="44"/>
      <c r="K86" s="36">
        <f>IF(COUNT(E86:J86)=0,"",AVERAGE(E86:J86))</f>
        <v>0</v>
      </c>
      <c r="L86" s="45">
        <f>IF(COUNT(E86:J86)=0,"",MIN(E86:J86))</f>
        <v>0</v>
      </c>
      <c r="M86" s="45">
        <f>IF(COUNT(E86:J86)=0,"",MAX(E86:J86))</f>
        <v>0</v>
      </c>
    </row>
    <row r="87" spans="1:18" ht="17" customHeight="1">
      <c r="A87" s="25" t="s">
        <v>241</v>
      </c>
      <c r="B87" s="32" t="s">
        <v>60</v>
      </c>
      <c r="C87" s="33" t="s">
        <v>61</v>
      </c>
      <c r="D87" s="34" t="s">
        <v>230</v>
      </c>
      <c r="E87" s="35"/>
      <c r="F87" s="35"/>
      <c r="G87" s="35"/>
      <c r="H87" s="35"/>
      <c r="I87" s="35"/>
      <c r="J87" s="35"/>
      <c r="K87" s="36">
        <f>IF(COUNT(E87:J87)=0,"",AVERAGE(E87:J87))</f>
        <v>0</v>
      </c>
      <c r="L87" s="37">
        <f>IF(COUNT(E87:J87)=0,"",MIN(E87:J87))</f>
        <v>0</v>
      </c>
      <c r="M87" s="37">
        <f>IF(COUNT(E87:J87)=0,"",MAX(E87:J87))</f>
        <v>0</v>
      </c>
      <c r="Q87">
        <f>IFERROR(IF(INDEX('Limites'!$L:$L,MATCH(dProdUS3,'Limites'!$B:$B,0))="","",INDEX('Limites'!$L:$L,MATCH(dProdUS3,'Limites'!$B:$B,0))),"")</f>
        <v>0</v>
      </c>
      <c r="R87">
        <f>IFERROR(IF(INDEX('Limites'!$M:$M,MATCH(dProdUS3,'Limites'!$B:$B,0))="","",INDEX('Limites'!$M:$M,MATCH(dProdUS3,'Limites'!$B:$B,0))),"")</f>
        <v>0</v>
      </c>
    </row>
    <row r="88" spans="1:18" ht="17" customHeight="1">
      <c r="A88" s="25" t="s">
        <v>242</v>
      </c>
      <c r="B88" s="32"/>
      <c r="C88" s="33"/>
      <c r="D88" s="47" t="s">
        <v>232</v>
      </c>
      <c r="E88" s="35"/>
      <c r="F88" s="35"/>
      <c r="G88" s="35"/>
      <c r="H88" s="35"/>
      <c r="I88" s="35"/>
      <c r="J88" s="35"/>
      <c r="K88" s="36">
        <f>IF(COUNT(E88:J88)=0,"",AVERAGE(E88:J88))</f>
        <v>0</v>
      </c>
      <c r="L88" s="37">
        <f>IF(COUNT(E88:J88)=0,"",MIN(E88:J88))</f>
        <v>0</v>
      </c>
      <c r="M88" s="37">
        <f>IF(COUNT(E88:J88)=0,"",MAX(E88:J88))</f>
        <v>0</v>
      </c>
      <c r="Q88">
        <f>IFERROR(IF(INDEX('Limites'!$L:$L,MATCH(dProdUS4,'Limites'!$B:$B,0))="","",INDEX('Limites'!$L:$L,MATCH(dProdUS4,'Limites'!$B:$B,0))),"")</f>
        <v>0</v>
      </c>
      <c r="R88">
        <f>IFERROR(IF(INDEX('Limites'!$M:$M,MATCH(dProdUS4,'Limites'!$B:$B,0))="","",INDEX('Limites'!$M:$M,MATCH(dProdUS4,'Limites'!$B:$B,0))),"")</f>
        <v>0</v>
      </c>
    </row>
    <row r="89" spans="1:18" ht="17" customHeight="1">
      <c r="A89" s="25" t="s">
        <v>243</v>
      </c>
      <c r="B89" s="38" t="s">
        <v>64</v>
      </c>
      <c r="C89" s="39" t="s">
        <v>35</v>
      </c>
      <c r="D89" s="40" t="s">
        <v>230</v>
      </c>
      <c r="E89" s="41"/>
      <c r="F89" s="41"/>
      <c r="G89" s="41"/>
      <c r="H89" s="41"/>
      <c r="I89" s="41"/>
      <c r="J89" s="41"/>
      <c r="K89" s="42">
        <f>IF(COUNT(E89:J89)=0,"",AVERAGE(E89:J89))</f>
        <v>0</v>
      </c>
      <c r="L89" s="43">
        <f>IF(COUNT(E89:J89)=0,"",MIN(E89:J89))</f>
        <v>0</v>
      </c>
      <c r="M89" s="43">
        <f>IF(COUNT(E89:J89)=0,"",MAX(E89:J89))</f>
        <v>0</v>
      </c>
    </row>
    <row r="90" spans="1:18" ht="17" customHeight="1">
      <c r="A90" s="25" t="s">
        <v>244</v>
      </c>
      <c r="B90" s="38"/>
      <c r="C90" s="39"/>
      <c r="D90" s="46" t="s">
        <v>232</v>
      </c>
      <c r="E90" s="41"/>
      <c r="F90" s="41"/>
      <c r="G90" s="41"/>
      <c r="H90" s="41"/>
      <c r="I90" s="41"/>
      <c r="J90" s="41"/>
      <c r="K90" s="42">
        <f>IF(COUNT(E90:J90)=0,"",AVERAGE(E90:J90))</f>
        <v>0</v>
      </c>
      <c r="L90" s="43">
        <f>IF(COUNT(E90:J90)=0,"",MIN(E90:J90))</f>
        <v>0</v>
      </c>
      <c r="M90" s="43">
        <f>IF(COUNT(E90:J90)=0,"",MAX(E90:J90))</f>
        <v>0</v>
      </c>
    </row>
    <row r="91" spans="1:18" ht="17" customHeight="1">
      <c r="B91" s="48" t="s">
        <v>245</v>
      </c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</row>
  </sheetData>
  <sheetProtection sheet="1" objects="1" scenarios="1" formatColumns="0" formatRows="0"/>
  <mergeCells count="86">
    <mergeCell ref="D2:M2"/>
    <mergeCell ref="D3:M3"/>
    <mergeCell ref="C6:D6"/>
    <mergeCell ref="F6:H6"/>
    <mergeCell ref="K6:L6"/>
    <mergeCell ref="C7:G7"/>
    <mergeCell ref="H7:I7"/>
    <mergeCell ref="K7:L7"/>
    <mergeCell ref="B9:M9"/>
    <mergeCell ref="B10:M10"/>
    <mergeCell ref="C11:M11"/>
    <mergeCell ref="C12:M12"/>
    <mergeCell ref="C13:M13"/>
    <mergeCell ref="C14:M14"/>
    <mergeCell ref="C15:M15"/>
    <mergeCell ref="C16:M16"/>
    <mergeCell ref="C17:M17"/>
    <mergeCell ref="C18:M18"/>
    <mergeCell ref="C19:M19"/>
    <mergeCell ref="C20:M20"/>
    <mergeCell ref="C21:M21"/>
    <mergeCell ref="C22:M22"/>
    <mergeCell ref="C23:M23"/>
    <mergeCell ref="B25:M25"/>
    <mergeCell ref="C26:M26"/>
    <mergeCell ref="C27:M27"/>
    <mergeCell ref="C28:M28"/>
    <mergeCell ref="C29:M29"/>
    <mergeCell ref="C30:M30"/>
    <mergeCell ref="B32:M32"/>
    <mergeCell ref="C33:M33"/>
    <mergeCell ref="C34:M34"/>
    <mergeCell ref="C35:M35"/>
    <mergeCell ref="C36:M36"/>
    <mergeCell ref="C37:M37"/>
    <mergeCell ref="B39:M39"/>
    <mergeCell ref="C40:M40"/>
    <mergeCell ref="C41:M41"/>
    <mergeCell ref="C42:M42"/>
    <mergeCell ref="C43:M43"/>
    <mergeCell ref="C44:M44"/>
    <mergeCell ref="C45:M45"/>
    <mergeCell ref="C46:M46"/>
    <mergeCell ref="C47:M47"/>
    <mergeCell ref="C48:M48"/>
    <mergeCell ref="B50:M50"/>
    <mergeCell ref="C51:M51"/>
    <mergeCell ref="C52:M52"/>
    <mergeCell ref="B54:M54"/>
    <mergeCell ref="C55:M55"/>
    <mergeCell ref="C56:D56"/>
    <mergeCell ref="E56:F56"/>
    <mergeCell ref="G56:M56"/>
    <mergeCell ref="C57:D57"/>
    <mergeCell ref="E57:F57"/>
    <mergeCell ref="G57:H57"/>
    <mergeCell ref="I57:J57"/>
    <mergeCell ref="B59:M59"/>
    <mergeCell ref="C60:M60"/>
    <mergeCell ref="C61:M61"/>
    <mergeCell ref="B63:M63"/>
    <mergeCell ref="C64:D64"/>
    <mergeCell ref="E64:F64"/>
    <mergeCell ref="G64:H64"/>
    <mergeCell ref="I64:J64"/>
    <mergeCell ref="K64:M64"/>
    <mergeCell ref="C65:M65"/>
    <mergeCell ref="B67:M67"/>
    <mergeCell ref="B68:M68"/>
    <mergeCell ref="B70:M70"/>
    <mergeCell ref="B76:M76"/>
    <mergeCell ref="B77:B78"/>
    <mergeCell ref="C77:C78"/>
    <mergeCell ref="B79:B80"/>
    <mergeCell ref="C79:C80"/>
    <mergeCell ref="B81:B82"/>
    <mergeCell ref="C81:C82"/>
    <mergeCell ref="B83:B84"/>
    <mergeCell ref="C83:C84"/>
    <mergeCell ref="B85:B86"/>
    <mergeCell ref="C85:C86"/>
    <mergeCell ref="B87:B88"/>
    <mergeCell ref="C87:C88"/>
    <mergeCell ref="B89:B90"/>
    <mergeCell ref="C89:C90"/>
    <mergeCell ref="B91:M91"/>
  </mergeCells>
  <conditionalFormatting sqref="E71:K71">
    <cfRule type="expression" dxfId="1" priority="1">
      <formula>AND(ISNUMBER(E71),OR(AND(ISNUMBER($Q71),ROUND(E71,2)&lt;$Q71),AND(ISNUMBER($R71),ROUND(E71,2)&gt;$R71)))</formula>
    </cfRule>
    <cfRule type="expression" dxfId="2" priority="2">
      <formula>AND(ISNUMBER(E71),OR(ISNUMBER($Q71),ISNUMBER($R71)),NOT(OR(AND(ISNUMBER($Q71),ROUND(E71,2)&lt;$Q71),AND(ISNUMBER($R71),ROUND(E71,2)&gt;$R71))))</formula>
    </cfRule>
  </conditionalFormatting>
  <conditionalFormatting sqref="E72:K72">
    <cfRule type="expression" dxfId="1" priority="3">
      <formula>AND(ISNUMBER(E72),OR(AND(ISNUMBER($Q72),ROUND(E72,3)&lt;$Q72),AND(ISNUMBER($R72),ROUND(E72,3)&gt;$R72)))</formula>
    </cfRule>
    <cfRule type="expression" dxfId="2" priority="4">
      <formula>AND(ISNUMBER(E72),OR(ISNUMBER($Q72),ISNUMBER($R72)),NOT(OR(AND(ISNUMBER($Q72),ROUND(E72,3)&lt;$Q72),AND(ISNUMBER($R72),ROUND(E72,3)&gt;$R72))))</formula>
    </cfRule>
  </conditionalFormatting>
  <conditionalFormatting sqref="E75:K75">
    <cfRule type="expression" dxfId="1" priority="5">
      <formula>AND(ISNUMBER(E75),OR(AND(ISNUMBER($Q75),ROUND(E75,2)&lt;$Q75),AND(ISNUMBER($R75),ROUND(E75,2)&gt;$R75)))</formula>
    </cfRule>
    <cfRule type="expression" dxfId="2" priority="6">
      <formula>AND(ISNUMBER(E75),OR(ISNUMBER($Q75),ISNUMBER($R75)),NOT(OR(AND(ISNUMBER($Q75),ROUND(E75,2)&lt;$Q75),AND(ISNUMBER($R75),ROUND(E75,2)&gt;$R75))))</formula>
    </cfRule>
  </conditionalFormatting>
  <conditionalFormatting sqref="E77:K77">
    <cfRule type="expression" dxfId="1" priority="7">
      <formula>AND(ISNUMBER(E77),OR(AND(ISNUMBER($Q77),ROUND(E77,2)&lt;$Q77),AND(ISNUMBER($R77),ROUND(E77,2)&gt;$R77)))</formula>
    </cfRule>
    <cfRule type="expression" dxfId="2" priority="8">
      <formula>AND(ISNUMBER(E77),OR(ISNUMBER($Q77),ISNUMBER($R77)),NOT(OR(AND(ISNUMBER($Q77),ROUND(E77,2)&lt;$Q77),AND(ISNUMBER($R77),ROUND(E77,2)&gt;$R77))))</formula>
    </cfRule>
  </conditionalFormatting>
  <conditionalFormatting sqref="E78:K78">
    <cfRule type="expression" dxfId="1" priority="9">
      <formula>AND(ISNUMBER(E78),OR(AND(ISNUMBER($Q78),ROUND(E78,2)&lt;$Q78),AND(ISNUMBER($R78),ROUND(E78,2)&gt;$R78)))</formula>
    </cfRule>
    <cfRule type="expression" dxfId="2" priority="10">
      <formula>AND(ISNUMBER(E78),OR(ISNUMBER($Q78),ISNUMBER($R78)),NOT(OR(AND(ISNUMBER($Q78),ROUND(E78,2)&lt;$Q78),AND(ISNUMBER($R78),ROUND(E78,2)&gt;$R78))))</formula>
    </cfRule>
  </conditionalFormatting>
  <conditionalFormatting sqref="E79:K79">
    <cfRule type="expression" dxfId="1" priority="11">
      <formula>AND(ISNUMBER(E79),OR(AND(ISNUMBER($Q79),ROUND(E79,2)&lt;$Q79),AND(ISNUMBER($R79),ROUND(E79,2)&gt;$R79)))</formula>
    </cfRule>
    <cfRule type="expression" dxfId="2" priority="12">
      <formula>AND(ISNUMBER(E79),OR(ISNUMBER($Q79),ISNUMBER($R79)),NOT(OR(AND(ISNUMBER($Q79),ROUND(E79,2)&lt;$Q79),AND(ISNUMBER($R79),ROUND(E79,2)&gt;$R79))))</formula>
    </cfRule>
  </conditionalFormatting>
  <conditionalFormatting sqref="E80:K80">
    <cfRule type="expression" dxfId="1" priority="13">
      <formula>AND(ISNUMBER(E80),OR(AND(ISNUMBER($Q80),ROUND(E80,2)&lt;$Q80),AND(ISNUMBER($R80),ROUND(E80,2)&gt;$R80)))</formula>
    </cfRule>
    <cfRule type="expression" dxfId="2" priority="14">
      <formula>AND(ISNUMBER(E80),OR(ISNUMBER($Q80),ISNUMBER($R80)),NOT(OR(AND(ISNUMBER($Q80),ROUND(E80,2)&lt;$Q80),AND(ISNUMBER($R80),ROUND(E80,2)&gt;$R80))))</formula>
    </cfRule>
  </conditionalFormatting>
  <conditionalFormatting sqref="E83:K83">
    <cfRule type="expression" dxfId="1" priority="15">
      <formula>AND(ISNUMBER(E83),OR(AND(ISNUMBER($Q83),ROUND(E83,2)&lt;$Q83),AND(ISNUMBER($R83),ROUND(E83,2)&gt;$R83)))</formula>
    </cfRule>
    <cfRule type="expression" dxfId="2" priority="16">
      <formula>AND(ISNUMBER(E83),OR(ISNUMBER($Q83),ISNUMBER($R83)),NOT(OR(AND(ISNUMBER($Q83),ROUND(E83,2)&lt;$Q83),AND(ISNUMBER($R83),ROUND(E83,2)&gt;$R83))))</formula>
    </cfRule>
  </conditionalFormatting>
  <conditionalFormatting sqref="E84:K84">
    <cfRule type="expression" dxfId="1" priority="17">
      <formula>AND(ISNUMBER(E84),OR(AND(ISNUMBER($Q84),ROUND(E84,2)&lt;$Q84),AND(ISNUMBER($R84),ROUND(E84,2)&gt;$R84)))</formula>
    </cfRule>
    <cfRule type="expression" dxfId="2" priority="18">
      <formula>AND(ISNUMBER(E84),OR(ISNUMBER($Q84),ISNUMBER($R84)),NOT(OR(AND(ISNUMBER($Q84),ROUND(E84,2)&lt;$Q84),AND(ISNUMBER($R84),ROUND(E84,2)&gt;$R84))))</formula>
    </cfRule>
  </conditionalFormatting>
  <conditionalFormatting sqref="E87:K87">
    <cfRule type="expression" dxfId="1" priority="19">
      <formula>AND(ISNUMBER(E87),OR(AND(ISNUMBER($Q87),ROUND(E87,2)&lt;$Q87),AND(ISNUMBER($R87),ROUND(E87,2)&gt;$R87)))</formula>
    </cfRule>
    <cfRule type="expression" dxfId="2" priority="20">
      <formula>AND(ISNUMBER(E87),OR(ISNUMBER($Q87),ISNUMBER($R87)),NOT(OR(AND(ISNUMBER($Q87),ROUND(E87,2)&lt;$Q87),AND(ISNUMBER($R87),ROUND(E87,2)&gt;$R87))))</formula>
    </cfRule>
  </conditionalFormatting>
  <conditionalFormatting sqref="E88:K88">
    <cfRule type="expression" dxfId="1" priority="21">
      <formula>AND(ISNUMBER(E88),OR(AND(ISNUMBER($Q88),ROUND(E88,2)&lt;$Q88),AND(ISNUMBER($R88),ROUND(E88,2)&gt;$R88)))</formula>
    </cfRule>
    <cfRule type="expression" dxfId="2" priority="22">
      <formula>AND(ISNUMBER(E88),OR(ISNUMBER($Q88),ISNUMBER($R88)),NOT(OR(AND(ISNUMBER($Q88),ROUND(E88,2)&lt;$Q88),AND(ISNUMBER($R88),ROUND(E88,2)&gt;$R88))))</formula>
    </cfRule>
  </conditionalFormatting>
  <hyperlinks>
    <hyperlink ref="O10" location="'Preenchimento'!B10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R91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161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162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8" t="s">
        <v>198</v>
      </c>
      <c r="C6" s="21">
        <f>IF(pData="","—",TEXT(DAY(pData),"00")&amp;"/"&amp;TEXT(MONTH(pData),"00")&amp;"/"&amp;YEAR(pData))</f>
        <v>0</v>
      </c>
      <c r="D6" s="21"/>
      <c r="E6" s="18" t="s">
        <v>199</v>
      </c>
      <c r="F6" s="21">
        <f>"Noite  19:00 – 07:00"</f>
        <v>0</v>
      </c>
      <c r="G6" s="21"/>
      <c r="H6" s="21"/>
      <c r="I6" s="18" t="s">
        <v>167</v>
      </c>
      <c r="J6" s="21">
        <f>IF(nLetra="","—",nLetra)</f>
        <v>0</v>
      </c>
      <c r="K6" s="18" t="s">
        <v>169</v>
      </c>
      <c r="L6" s="18"/>
      <c r="M6" s="21">
        <f>IF(nRecebe="","—",nRecebe)</f>
        <v>0</v>
      </c>
    </row>
    <row r="7" spans="1:15" ht="22" customHeight="1">
      <c r="B7" s="18" t="s">
        <v>168</v>
      </c>
      <c r="C7" s="22">
        <f>IF(nTecnico="","—",nTecnico)</f>
        <v>0</v>
      </c>
      <c r="D7" s="22"/>
      <c r="E7" s="22"/>
      <c r="F7" s="22"/>
      <c r="G7" s="22"/>
      <c r="H7" s="18" t="s">
        <v>170</v>
      </c>
      <c r="I7" s="18"/>
      <c r="J7" s="21">
        <f>IF(nProdUS3="","—",nProdUS3)</f>
        <v>0</v>
      </c>
      <c r="K7" s="18" t="s">
        <v>171</v>
      </c>
      <c r="L7" s="18"/>
      <c r="M7" s="21">
        <f>IF(nProdUS4="","—",nProdUS4)</f>
        <v>0</v>
      </c>
    </row>
    <row r="9" spans="1:15" ht="21" customHeight="1">
      <c r="B9" s="23" t="s">
        <v>200</v>
      </c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</row>
    <row r="10" spans="1:15" ht="18" customHeight="1">
      <c r="B10" s="24" t="s">
        <v>172</v>
      </c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O10" s="11" t="s">
        <v>246</v>
      </c>
    </row>
    <row r="11" spans="1:15" ht="17" customHeight="1">
      <c r="A11" s="25" t="s">
        <v>201</v>
      </c>
      <c r="B11" s="26">
        <f>IF(C11="","",1)</f>
        <v>0</v>
      </c>
      <c r="C11" s="27">
        <f>IF(TRIM('Preenchimento'!$C$80)="","",TRIM('Preenchimento'!$C$80))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17" customHeight="1">
      <c r="A12" s="25" t="s">
        <v>201</v>
      </c>
      <c r="B12" s="26">
        <f>IF(C12="","",2)</f>
        <v>0</v>
      </c>
      <c r="C12" s="27">
        <f>IF(TRIM('Preenchimento'!$C$81)="","",TRIM('Preenchimento'!$C$81))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17" customHeight="1">
      <c r="A13" s="25" t="s">
        <v>201</v>
      </c>
      <c r="B13" s="26">
        <f>IF(C13="","",3)</f>
        <v>0</v>
      </c>
      <c r="C13" s="27">
        <f>IF(TRIM('Preenchimento'!$C$82)="","",TRIM('Preenchimento'!$C$82))</f>
        <v>0</v>
      </c>
      <c r="D13" s="27"/>
      <c r="E13" s="27"/>
      <c r="F13" s="27"/>
      <c r="G13" s="27"/>
      <c r="H13" s="27"/>
      <c r="I13" s="27"/>
      <c r="J13" s="27"/>
      <c r="K13" s="27"/>
      <c r="L13" s="27"/>
      <c r="M13" s="27"/>
    </row>
    <row r="14" spans="1:15" ht="17" customHeight="1">
      <c r="A14" s="25" t="s">
        <v>201</v>
      </c>
      <c r="B14" s="26">
        <f>IF(C14="","",4)</f>
        <v>0</v>
      </c>
      <c r="C14" s="27">
        <f>IF(TRIM('Preenchimento'!$C$83)="","",TRIM('Preenchimento'!$C$83))</f>
        <v>0</v>
      </c>
      <c r="D14" s="27"/>
      <c r="E14" s="27"/>
      <c r="F14" s="27"/>
      <c r="G14" s="27"/>
      <c r="H14" s="27"/>
      <c r="I14" s="27"/>
      <c r="J14" s="27"/>
      <c r="K14" s="27"/>
      <c r="L14" s="27"/>
      <c r="M14" s="27"/>
    </row>
    <row r="15" spans="1:15" ht="17" customHeight="1">
      <c r="A15" s="25" t="s">
        <v>201</v>
      </c>
      <c r="B15" s="26">
        <f>IF(C15="","",5)</f>
        <v>0</v>
      </c>
      <c r="C15" s="27">
        <f>IF(TRIM('Preenchimento'!$C$84)="","",TRIM('Preenchimento'!$C$84))</f>
        <v>0</v>
      </c>
      <c r="D15" s="27"/>
      <c r="E15" s="27"/>
      <c r="F15" s="27"/>
      <c r="G15" s="27"/>
      <c r="H15" s="27"/>
      <c r="I15" s="27"/>
      <c r="J15" s="27"/>
      <c r="K15" s="27"/>
      <c r="L15" s="27"/>
      <c r="M15" s="27"/>
    </row>
    <row r="16" spans="1:15" ht="17" customHeight="1">
      <c r="A16" s="25" t="s">
        <v>201</v>
      </c>
      <c r="B16" s="26">
        <f>IF(C16="","",6)</f>
        <v>0</v>
      </c>
      <c r="C16" s="27">
        <f>IF(TRIM('Preenchimento'!$C$85)="","",TRIM('Preenchimento'!$C$85))</f>
        <v>0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7" customHeight="1">
      <c r="A17" s="25" t="s">
        <v>201</v>
      </c>
      <c r="B17" s="26">
        <f>IF(C17="","",7)</f>
        <v>0</v>
      </c>
      <c r="C17" s="27">
        <f>IF(TRIM('Preenchimento'!$C$86)="","",TRIM('Preenchimento'!$C$86))</f>
        <v>0</v>
      </c>
      <c r="D17" s="27"/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7" customHeight="1">
      <c r="A18" s="25" t="s">
        <v>201</v>
      </c>
      <c r="B18" s="26">
        <f>IF(C18="","",8)</f>
        <v>0</v>
      </c>
      <c r="C18" s="27">
        <f>IF(TRIM('Preenchimento'!$C$87)="","",TRIM('Preenchimento'!$C$87))</f>
        <v>0</v>
      </c>
      <c r="D18" s="27"/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7" customHeight="1">
      <c r="A19" s="25" t="s">
        <v>201</v>
      </c>
      <c r="B19" s="26">
        <f>IF(C19="","",9)</f>
        <v>0</v>
      </c>
      <c r="C19" s="27">
        <f>IF(TRIM('Preenchimento'!$C$88)="","",TRIM('Preenchimento'!$C$88))</f>
        <v>0</v>
      </c>
      <c r="D19" s="27"/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7" customHeight="1">
      <c r="A20" s="25" t="s">
        <v>201</v>
      </c>
      <c r="B20" s="26">
        <f>IF(C20="","",10)</f>
        <v>0</v>
      </c>
      <c r="C20" s="27">
        <f>IF(TRIM('Preenchimento'!$C$89)="","",TRIM('Preenchimento'!$C$89))</f>
        <v>0</v>
      </c>
      <c r="D20" s="27"/>
      <c r="E20" s="27"/>
      <c r="F20" s="27"/>
      <c r="G20" s="27"/>
      <c r="H20" s="27"/>
      <c r="I20" s="27"/>
      <c r="J20" s="27"/>
      <c r="K20" s="27"/>
      <c r="L20" s="27"/>
      <c r="M20" s="27"/>
    </row>
    <row r="21" spans="1:13" ht="17" customHeight="1">
      <c r="A21" s="25" t="s">
        <v>201</v>
      </c>
      <c r="B21" s="26">
        <f>IF(C21="","",11)</f>
        <v>0</v>
      </c>
      <c r="C21" s="27">
        <f>IF(TRIM('Preenchimento'!$C$90)="","",TRIM('Preenchimento'!$C$90))</f>
        <v>0</v>
      </c>
      <c r="D21" s="27"/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7" customHeight="1">
      <c r="A22" s="25" t="s">
        <v>201</v>
      </c>
      <c r="B22" s="26">
        <f>IF(C22="","",12)</f>
        <v>0</v>
      </c>
      <c r="C22" s="27">
        <f>IF(TRIM('Preenchimento'!$C$91)="","",TRIM('Preenchimento'!$C$91))</f>
        <v>0</v>
      </c>
      <c r="D22" s="27"/>
      <c r="E22" s="27"/>
      <c r="F22" s="27"/>
      <c r="G22" s="27"/>
      <c r="H22" s="27"/>
      <c r="I22" s="27"/>
      <c r="J22" s="27"/>
      <c r="K22" s="27"/>
      <c r="L22" s="27"/>
      <c r="M22" s="27"/>
    </row>
    <row r="23" spans="1:13" ht="17" customHeight="1">
      <c r="A23" s="25" t="s">
        <v>201</v>
      </c>
      <c r="B23" s="26"/>
      <c r="C23" s="28">
        <f>IF(COUNTA('Preenchimento'!$C$80:$C$91)=0,"Sem registro","")</f>
        <v>0</v>
      </c>
      <c r="D23" s="28"/>
      <c r="E23" s="28"/>
      <c r="F23" s="28"/>
      <c r="G23" s="28"/>
      <c r="H23" s="28"/>
      <c r="I23" s="28"/>
      <c r="J23" s="28"/>
      <c r="K23" s="28"/>
      <c r="L23" s="28"/>
      <c r="M23" s="28"/>
    </row>
    <row r="24" spans="1:13" ht="4" customHeight="1"/>
    <row r="25" spans="1:13" ht="18" customHeight="1">
      <c r="B25" s="24" t="s">
        <v>173</v>
      </c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</row>
    <row r="26" spans="1:13" ht="17" customHeight="1">
      <c r="A26" s="25" t="s">
        <v>201</v>
      </c>
      <c r="B26" s="26">
        <f>IF(C26="","",1)</f>
        <v>0</v>
      </c>
      <c r="C26" s="27">
        <f>IF(TRIM('Preenchimento'!$C$94)="","",TRIM('Preenchimento'!$C$94))</f>
        <v>0</v>
      </c>
      <c r="D26" s="27"/>
      <c r="E26" s="27"/>
      <c r="F26" s="27"/>
      <c r="G26" s="27"/>
      <c r="H26" s="27"/>
      <c r="I26" s="27"/>
      <c r="J26" s="27"/>
      <c r="K26" s="27"/>
      <c r="L26" s="27"/>
      <c r="M26" s="27"/>
    </row>
    <row r="27" spans="1:13" ht="17" customHeight="1">
      <c r="A27" s="25" t="s">
        <v>201</v>
      </c>
      <c r="B27" s="26">
        <f>IF(C27="","",2)</f>
        <v>0</v>
      </c>
      <c r="C27" s="27">
        <f>IF(TRIM('Preenchimento'!$C$95)="","",TRIM('Preenchimento'!$C$95))</f>
        <v>0</v>
      </c>
      <c r="D27" s="27"/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7" customHeight="1">
      <c r="A28" s="25" t="s">
        <v>201</v>
      </c>
      <c r="B28" s="26">
        <f>IF(C28="","",3)</f>
        <v>0</v>
      </c>
      <c r="C28" s="27">
        <f>IF(TRIM('Preenchimento'!$C$96)="","",TRIM('Preenchimento'!$C$96))</f>
        <v>0</v>
      </c>
      <c r="D28" s="27"/>
      <c r="E28" s="27"/>
      <c r="F28" s="27"/>
      <c r="G28" s="27"/>
      <c r="H28" s="27"/>
      <c r="I28" s="27"/>
      <c r="J28" s="27"/>
      <c r="K28" s="27"/>
      <c r="L28" s="27"/>
      <c r="M28" s="27"/>
    </row>
    <row r="29" spans="1:13" ht="17" customHeight="1">
      <c r="A29" s="25" t="s">
        <v>201</v>
      </c>
      <c r="B29" s="26">
        <f>IF(C29="","",4)</f>
        <v>0</v>
      </c>
      <c r="C29" s="27">
        <f>IF(TRIM('Preenchimento'!$C$97)="","",TRIM('Preenchimento'!$C$97))</f>
        <v>0</v>
      </c>
      <c r="D29" s="27"/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7" customHeight="1">
      <c r="A30" s="25" t="s">
        <v>201</v>
      </c>
      <c r="B30" s="26"/>
      <c r="C30" s="28">
        <f>IF(COUNTA('Preenchimento'!$C$94:$C$97)=0,"Sem registro","")</f>
        <v>0</v>
      </c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/>
    <row r="32" spans="1:13" ht="18" customHeight="1">
      <c r="B32" s="24" t="s">
        <v>174</v>
      </c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</row>
    <row r="33" spans="1:13" ht="17" customHeight="1">
      <c r="A33" s="25" t="s">
        <v>201</v>
      </c>
      <c r="B33" s="26">
        <f>IF(C33="","",1)</f>
        <v>0</v>
      </c>
      <c r="C33" s="27">
        <f>IF(TRIM('Preenchimento'!$C$100)="","",TRIM('Preenchimento'!$C$100))</f>
        <v>0</v>
      </c>
      <c r="D33" s="27"/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7" customHeight="1">
      <c r="A34" s="25" t="s">
        <v>201</v>
      </c>
      <c r="B34" s="26">
        <f>IF(C34="","",2)</f>
        <v>0</v>
      </c>
      <c r="C34" s="27">
        <f>IF(TRIM('Preenchimento'!$C$101)="","",TRIM('Preenchimento'!$C$101))</f>
        <v>0</v>
      </c>
      <c r="D34" s="27"/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7" customHeight="1">
      <c r="A35" s="25" t="s">
        <v>201</v>
      </c>
      <c r="B35" s="26">
        <f>IF(C35="","",3)</f>
        <v>0</v>
      </c>
      <c r="C35" s="27">
        <f>IF(TRIM('Preenchimento'!$C$102)="","",TRIM('Preenchimento'!$C$102))</f>
        <v>0</v>
      </c>
      <c r="D35" s="27"/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7" customHeight="1">
      <c r="A36" s="25" t="s">
        <v>201</v>
      </c>
      <c r="B36" s="26">
        <f>IF(C36="","",4)</f>
        <v>0</v>
      </c>
      <c r="C36" s="27">
        <f>IF(TRIM('Preenchimento'!$C$103)="","",TRIM('Preenchimento'!$C$103))</f>
        <v>0</v>
      </c>
      <c r="D36" s="27"/>
      <c r="E36" s="27"/>
      <c r="F36" s="27"/>
      <c r="G36" s="27"/>
      <c r="H36" s="27"/>
      <c r="I36" s="27"/>
      <c r="J36" s="27"/>
      <c r="K36" s="27"/>
      <c r="L36" s="27"/>
      <c r="M36" s="27"/>
    </row>
    <row r="37" spans="1:13" ht="17" customHeight="1">
      <c r="A37" s="25" t="s">
        <v>201</v>
      </c>
      <c r="B37" s="26"/>
      <c r="C37" s="28">
        <f>IF(COUNTA('Preenchimento'!$C$100:$C$103)=0,"Sem registro","")</f>
        <v>0</v>
      </c>
      <c r="D37" s="28"/>
      <c r="E37" s="28"/>
      <c r="F37" s="28"/>
      <c r="G37" s="28"/>
      <c r="H37" s="28"/>
      <c r="I37" s="28"/>
      <c r="J37" s="28"/>
      <c r="K37" s="28"/>
      <c r="L37" s="28"/>
      <c r="M37" s="28"/>
    </row>
    <row r="38" spans="1:13" ht="4" customHeight="1"/>
    <row r="39" spans="1:13" ht="18" customHeight="1">
      <c r="B39" s="24" t="s">
        <v>175</v>
      </c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</row>
    <row r="40" spans="1:13" ht="17" customHeight="1">
      <c r="A40" s="25" t="s">
        <v>201</v>
      </c>
      <c r="B40" s="26">
        <f>IF(C40="","",1)</f>
        <v>0</v>
      </c>
      <c r="C40" s="27">
        <f>IF(TRIM('Preenchimento'!$C$106)="","",TRIM('Preenchimento'!$C$106))</f>
        <v>0</v>
      </c>
      <c r="D40" s="27"/>
      <c r="E40" s="27"/>
      <c r="F40" s="27"/>
      <c r="G40" s="27"/>
      <c r="H40" s="27"/>
      <c r="I40" s="27"/>
      <c r="J40" s="27"/>
      <c r="K40" s="27"/>
      <c r="L40" s="27"/>
      <c r="M40" s="27"/>
    </row>
    <row r="41" spans="1:13" ht="17" customHeight="1">
      <c r="A41" s="25" t="s">
        <v>201</v>
      </c>
      <c r="B41" s="26">
        <f>IF(C41="","",2)</f>
        <v>0</v>
      </c>
      <c r="C41" s="27">
        <f>IF(TRIM('Preenchimento'!$C$107)="","",TRIM('Preenchimento'!$C$107))</f>
        <v>0</v>
      </c>
      <c r="D41" s="27"/>
      <c r="E41" s="27"/>
      <c r="F41" s="27"/>
      <c r="G41" s="27"/>
      <c r="H41" s="27"/>
      <c r="I41" s="27"/>
      <c r="J41" s="27"/>
      <c r="K41" s="27"/>
      <c r="L41" s="27"/>
      <c r="M41" s="27"/>
    </row>
    <row r="42" spans="1:13" ht="17" customHeight="1">
      <c r="A42" s="25" t="s">
        <v>201</v>
      </c>
      <c r="B42" s="26">
        <f>IF(C42="","",3)</f>
        <v>0</v>
      </c>
      <c r="C42" s="27">
        <f>IF(TRIM('Preenchimento'!$C$108)="","",TRIM('Preenchimento'!$C$108))</f>
        <v>0</v>
      </c>
      <c r="D42" s="27"/>
      <c r="E42" s="27"/>
      <c r="F42" s="27"/>
      <c r="G42" s="27"/>
      <c r="H42" s="27"/>
      <c r="I42" s="27"/>
      <c r="J42" s="27"/>
      <c r="K42" s="27"/>
      <c r="L42" s="27"/>
      <c r="M42" s="27"/>
    </row>
    <row r="43" spans="1:13" ht="17" customHeight="1">
      <c r="A43" s="25" t="s">
        <v>201</v>
      </c>
      <c r="B43" s="26">
        <f>IF(C43="","",4)</f>
        <v>0</v>
      </c>
      <c r="C43" s="27">
        <f>IF(TRIM('Preenchimento'!$C$109)="","",TRIM('Preenchimento'!$C$109))</f>
        <v>0</v>
      </c>
      <c r="D43" s="27"/>
      <c r="E43" s="27"/>
      <c r="F43" s="27"/>
      <c r="G43" s="27"/>
      <c r="H43" s="27"/>
      <c r="I43" s="27"/>
      <c r="J43" s="27"/>
      <c r="K43" s="27"/>
      <c r="L43" s="27"/>
      <c r="M43" s="27"/>
    </row>
    <row r="44" spans="1:13" ht="17" customHeight="1">
      <c r="A44" s="25" t="s">
        <v>201</v>
      </c>
      <c r="B44" s="26">
        <f>IF(C44="","",5)</f>
        <v>0</v>
      </c>
      <c r="C44" s="27">
        <f>IF(TRIM('Preenchimento'!$C$110)="","",TRIM('Preenchimento'!$C$110))</f>
        <v>0</v>
      </c>
      <c r="D44" s="27"/>
      <c r="E44" s="27"/>
      <c r="F44" s="27"/>
      <c r="G44" s="27"/>
      <c r="H44" s="27"/>
      <c r="I44" s="27"/>
      <c r="J44" s="27"/>
      <c r="K44" s="27"/>
      <c r="L44" s="27"/>
      <c r="M44" s="27"/>
    </row>
    <row r="45" spans="1:13" ht="17" customHeight="1">
      <c r="A45" s="25" t="s">
        <v>201</v>
      </c>
      <c r="B45" s="26">
        <f>IF(C45="","",6)</f>
        <v>0</v>
      </c>
      <c r="C45" s="27">
        <f>IF(TRIM('Preenchimento'!$C$111)="","",TRIM('Preenchimento'!$C$111))</f>
        <v>0</v>
      </c>
      <c r="D45" s="27"/>
      <c r="E45" s="27"/>
      <c r="F45" s="27"/>
      <c r="G45" s="27"/>
      <c r="H45" s="27"/>
      <c r="I45" s="27"/>
      <c r="J45" s="27"/>
      <c r="K45" s="27"/>
      <c r="L45" s="27"/>
      <c r="M45" s="27"/>
    </row>
    <row r="46" spans="1:13" ht="17" customHeight="1">
      <c r="A46" s="25" t="s">
        <v>201</v>
      </c>
      <c r="B46" s="26">
        <f>IF(C46="","",7)</f>
        <v>0</v>
      </c>
      <c r="C46" s="27">
        <f>IF(TRIM('Preenchimento'!$C$112)="","",TRIM('Preenchimento'!$C$112))</f>
        <v>0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</row>
    <row r="47" spans="1:13" ht="17" customHeight="1">
      <c r="A47" s="25" t="s">
        <v>201</v>
      </c>
      <c r="B47" s="26">
        <f>IF(C47="","",8)</f>
        <v>0</v>
      </c>
      <c r="C47" s="27">
        <f>IF(TRIM('Preenchimento'!$C$113)="","",TRIM('Preenchimento'!$C$113))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17" customHeight="1">
      <c r="A48" s="25" t="s">
        <v>201</v>
      </c>
      <c r="B48" s="26"/>
      <c r="C48" s="28">
        <f>IF(COUNTA('Preenchimento'!$C$106:$C$113)=0,"Sem registro","")</f>
        <v>0</v>
      </c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3" ht="4" customHeight="1"/>
    <row r="50" spans="1:13" ht="18" customHeight="1">
      <c r="B50" s="24" t="s">
        <v>176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</row>
    <row r="51" spans="1:13" ht="34" customHeight="1">
      <c r="A51" s="25" t="s">
        <v>202</v>
      </c>
      <c r="B51" s="18" t="s">
        <v>177</v>
      </c>
      <c r="C51" s="29">
        <f>IF(nComUS3="","Sem registro",nComUS3)</f>
        <v>0</v>
      </c>
      <c r="D51" s="29"/>
      <c r="E51" s="29"/>
      <c r="F51" s="29"/>
      <c r="G51" s="29"/>
      <c r="H51" s="29"/>
      <c r="I51" s="29"/>
      <c r="J51" s="29"/>
      <c r="K51" s="29"/>
      <c r="L51" s="29"/>
      <c r="M51" s="29"/>
    </row>
    <row r="52" spans="1:13" ht="34" customHeight="1">
      <c r="A52" s="25" t="s">
        <v>202</v>
      </c>
      <c r="B52" s="18" t="s">
        <v>178</v>
      </c>
      <c r="C52" s="29">
        <f>IF(nComUS4="","Sem registro",nComUS4)</f>
        <v>0</v>
      </c>
      <c r="D52" s="29"/>
      <c r="E52" s="29"/>
      <c r="F52" s="29"/>
      <c r="G52" s="29"/>
      <c r="H52" s="29"/>
      <c r="I52" s="29"/>
      <c r="J52" s="29"/>
      <c r="K52" s="29"/>
      <c r="L52" s="29"/>
      <c r="M52" s="29"/>
    </row>
    <row r="54" spans="1:13" ht="21" customHeight="1">
      <c r="B54" s="23" t="s">
        <v>203</v>
      </c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</row>
    <row r="55" spans="1:13" ht="30" customHeight="1">
      <c r="A55" s="25" t="s">
        <v>202</v>
      </c>
      <c r="B55" s="18" t="s">
        <v>180</v>
      </c>
      <c r="C55" s="29">
        <f>IF(nProg="","—",nProg)</f>
        <v>0</v>
      </c>
      <c r="D55" s="29"/>
      <c r="E55" s="29"/>
      <c r="F55" s="29"/>
      <c r="G55" s="29"/>
      <c r="H55" s="29"/>
      <c r="I55" s="29"/>
      <c r="J55" s="29"/>
      <c r="K55" s="29"/>
      <c r="L55" s="29"/>
      <c r="M55" s="29"/>
    </row>
    <row r="56" spans="1:13" ht="20" customHeight="1">
      <c r="B56" s="18" t="s">
        <v>182</v>
      </c>
      <c r="C56" s="21">
        <f>IF(nPadroes="","—",nPadroes)</f>
        <v>0</v>
      </c>
      <c r="D56" s="21"/>
      <c r="E56" s="18" t="s">
        <v>183</v>
      </c>
      <c r="F56" s="18"/>
      <c r="G56" s="22">
        <f>IF(nPadroesQuais="","—",nPadroesQuais)</f>
        <v>0</v>
      </c>
      <c r="H56" s="22"/>
      <c r="I56" s="22"/>
      <c r="J56" s="22"/>
      <c r="K56" s="22"/>
      <c r="L56" s="22"/>
      <c r="M56" s="22"/>
    </row>
    <row r="57" spans="1:13" ht="20" customHeight="1">
      <c r="B57" s="18" t="s">
        <v>184</v>
      </c>
      <c r="C57" s="21">
        <f>IF(nAr="","—",nAr)</f>
        <v>0</v>
      </c>
      <c r="D57" s="21"/>
      <c r="E57" s="18" t="s">
        <v>204</v>
      </c>
      <c r="F57" s="18"/>
      <c r="G57" s="21">
        <f>IF(nArStatus="","—",nArStatus)</f>
        <v>0</v>
      </c>
      <c r="H57" s="21"/>
      <c r="I57" s="18" t="s">
        <v>78</v>
      </c>
      <c r="J57" s="18"/>
      <c r="K57" s="21">
        <f>IF(nCompressor="","—",nCompressor)</f>
        <v>0</v>
      </c>
      <c r="L57" s="18" t="s">
        <v>79</v>
      </c>
      <c r="M57" s="21">
        <f>IF(nNitrogenio="","—",nNitrogenio)</f>
        <v>0</v>
      </c>
    </row>
    <row r="59" spans="1:13" ht="21" customHeight="1">
      <c r="B59" s="23" t="s">
        <v>205</v>
      </c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</row>
    <row r="60" spans="1:13" ht="20" customHeight="1">
      <c r="B60" s="18" t="s">
        <v>186</v>
      </c>
      <c r="C60" s="22">
        <f>IF(nCadinhos="","—",nCadinhos)</f>
        <v>0</v>
      </c>
      <c r="D60" s="22"/>
      <c r="E60" s="22"/>
      <c r="F60" s="22"/>
      <c r="G60" s="22"/>
      <c r="H60" s="22"/>
      <c r="I60" s="22"/>
      <c r="J60" s="22"/>
      <c r="K60" s="22"/>
      <c r="L60" s="22"/>
      <c r="M60" s="22"/>
    </row>
    <row r="61" spans="1:13" ht="20" customHeight="1">
      <c r="B61" s="18" t="s">
        <v>187</v>
      </c>
      <c r="C61" s="22">
        <f>IF(nReforma="","—",nReforma)</f>
        <v>0</v>
      </c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3" spans="1:13" ht="21" customHeight="1">
      <c r="B63" s="23" t="s">
        <v>206</v>
      </c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</row>
    <row r="64" spans="1:13" ht="20" customHeight="1">
      <c r="B64" s="18" t="s">
        <v>189</v>
      </c>
      <c r="C64" s="21">
        <f>IF(nH2Carvao="","—",nH2Carvao)</f>
        <v>0</v>
      </c>
      <c r="D64" s="21"/>
      <c r="E64" s="18" t="s">
        <v>190</v>
      </c>
      <c r="F64" s="18"/>
      <c r="G64" s="21">
        <f>IF(nH2Coque="","—",nH2Coque)</f>
        <v>0</v>
      </c>
      <c r="H64" s="21"/>
      <c r="I64" s="18" t="s">
        <v>191</v>
      </c>
      <c r="J64" s="18"/>
      <c r="K64" s="22">
        <f>IF(nCoque04="","—",nCoque04)</f>
        <v>0</v>
      </c>
      <c r="L64" s="22"/>
      <c r="M64" s="22"/>
    </row>
    <row r="65" spans="1:18" ht="34" customHeight="1">
      <c r="A65" s="25" t="s">
        <v>202</v>
      </c>
      <c r="B65" s="18" t="s">
        <v>192</v>
      </c>
      <c r="C65" s="29">
        <f>IF(nObs="","—",nObs)</f>
        <v>0</v>
      </c>
      <c r="D65" s="29"/>
      <c r="E65" s="29"/>
      <c r="F65" s="29"/>
      <c r="G65" s="29"/>
      <c r="H65" s="29"/>
      <c r="I65" s="29"/>
      <c r="J65" s="29"/>
      <c r="K65" s="29"/>
      <c r="L65" s="29"/>
      <c r="M65" s="29"/>
    </row>
    <row r="67" spans="1:18" ht="21" customHeight="1">
      <c r="B67" s="23" t="s">
        <v>207</v>
      </c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</row>
    <row r="68" spans="1:18" ht="17" customHeight="1">
      <c r="B68" s="30" t="s">
        <v>208</v>
      </c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</row>
    <row r="69" spans="1:18" ht="30" customHeight="1">
      <c r="B69" s="31" t="s">
        <v>209</v>
      </c>
      <c r="C69" s="31" t="s">
        <v>210</v>
      </c>
      <c r="D69" s="31" t="s">
        <v>211</v>
      </c>
      <c r="E69" s="31" t="s">
        <v>247</v>
      </c>
      <c r="F69" s="31" t="s">
        <v>248</v>
      </c>
      <c r="G69" s="31" t="s">
        <v>249</v>
      </c>
      <c r="H69" s="31" t="s">
        <v>250</v>
      </c>
      <c r="I69" s="31" t="s">
        <v>251</v>
      </c>
      <c r="J69" s="31" t="s">
        <v>252</v>
      </c>
      <c r="K69" s="31" t="s">
        <v>218</v>
      </c>
      <c r="L69" s="31" t="s">
        <v>219</v>
      </c>
      <c r="M69" s="31" t="s">
        <v>220</v>
      </c>
    </row>
    <row r="70" spans="1:18" ht="18" customHeight="1">
      <c r="A70" s="25" t="s">
        <v>221</v>
      </c>
      <c r="B70" s="24" t="s">
        <v>33</v>
      </c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</row>
    <row r="71" spans="1:18" ht="17" customHeight="1">
      <c r="A71" s="25" t="s">
        <v>222</v>
      </c>
      <c r="B71" s="32" t="s">
        <v>34</v>
      </c>
      <c r="C71" s="33" t="s">
        <v>35</v>
      </c>
      <c r="D71" s="34" t="s">
        <v>223</v>
      </c>
      <c r="E71" s="35"/>
      <c r="F71" s="35"/>
      <c r="G71" s="35"/>
      <c r="H71" s="35"/>
      <c r="I71" s="35"/>
      <c r="J71" s="35"/>
      <c r="K71" s="36">
        <f>IF(COUNT(E71:J71)=0,"",AVERAGE(E71:J71))</f>
        <v>0</v>
      </c>
      <c r="L71" s="37">
        <f>IF(COUNT(E71:J71)=0,"",MIN(E71:J71))</f>
        <v>0</v>
      </c>
      <c r="M71" s="37">
        <f>IF(COUNT(E71:J71)=0,"",MAX(E71:J71))</f>
        <v>0</v>
      </c>
      <c r="Q71">
        <f>IFERROR(IF(INDEX('Limites'!$N:$N,MATCH(IF(nProdUS3="",nProdUS4,nProdUS3),'Limites'!$B:$B,0))="","",INDEX('Limites'!$N:$N,MATCH(IF(nProdUS3="",nProdUS4,nProdUS3),'Limites'!$B:$B,0))),"")</f>
        <v>0</v>
      </c>
      <c r="R71">
        <f>IFERROR(IF(INDEX('Limites'!$O:$O,MATCH(IF(nProdUS3="",nProdUS4,nProdUS3),'Limites'!$B:$B,0))="","",INDEX('Limites'!$O:$O,MATCH(IF(nProdUS3="",nProdUS4,nProdUS3),'Limites'!$B:$B,0))),"")</f>
        <v>0</v>
      </c>
    </row>
    <row r="72" spans="1:18" ht="17" customHeight="1">
      <c r="A72" s="25" t="s">
        <v>224</v>
      </c>
      <c r="B72" s="38" t="s">
        <v>39</v>
      </c>
      <c r="C72" s="39" t="s">
        <v>35</v>
      </c>
      <c r="D72" s="40" t="s">
        <v>223</v>
      </c>
      <c r="E72" s="41"/>
      <c r="F72" s="41"/>
      <c r="G72" s="41"/>
      <c r="H72" s="41"/>
      <c r="I72" s="41"/>
      <c r="J72" s="41"/>
      <c r="K72" s="42">
        <f>IF(COUNT(E72:J72)=0,"",AVERAGE(E72:J72))</f>
        <v>0</v>
      </c>
      <c r="L72" s="43">
        <f>IF(COUNT(E72:J72)=0,"",MIN(E72:J72))</f>
        <v>0</v>
      </c>
      <c r="M72" s="43">
        <f>IF(COUNT(E72:J72)=0,"",MAX(E72:J72))</f>
        <v>0</v>
      </c>
      <c r="Q72">
        <f>IFERROR(IF(INDEX('Limites'!$P:$P,MATCH(IF(nProdUS3="",nProdUS4,nProdUS3),'Limites'!$B:$B,0))="","",INDEX('Limites'!$P:$P,MATCH(IF(nProdUS3="",nProdUS4,nProdUS3),'Limites'!$B:$B,0))),"")</f>
        <v>0</v>
      </c>
      <c r="R72">
        <f>IFERROR(IF(INDEX('Limites'!$Q:$Q,MATCH(IF(nProdUS3="",nProdUS4,nProdUS3),'Limites'!$B:$B,0))="","",INDEX('Limites'!$Q:$Q,MATCH(IF(nProdUS3="",nProdUS4,nProdUS3),'Limites'!$B:$B,0))),"")</f>
        <v>0</v>
      </c>
    </row>
    <row r="73" spans="1:18" ht="17" customHeight="1">
      <c r="A73" s="25" t="s">
        <v>225</v>
      </c>
      <c r="B73" s="32" t="s">
        <v>41</v>
      </c>
      <c r="C73" s="33" t="s">
        <v>35</v>
      </c>
      <c r="D73" s="34" t="s">
        <v>223</v>
      </c>
      <c r="E73" s="35"/>
      <c r="F73" s="35"/>
      <c r="G73" s="35"/>
      <c r="H73" s="35"/>
      <c r="I73" s="35"/>
      <c r="J73" s="35"/>
      <c r="K73" s="36">
        <f>IF(COUNT(E73:J73)=0,"",AVERAGE(E73:J73))</f>
        <v>0</v>
      </c>
      <c r="L73" s="37">
        <f>IF(COUNT(E73:J73)=0,"",MIN(E73:J73))</f>
        <v>0</v>
      </c>
      <c r="M73" s="37">
        <f>IF(COUNT(E73:J73)=0,"",MAX(E73:J73))</f>
        <v>0</v>
      </c>
    </row>
    <row r="74" spans="1:18" ht="17" customHeight="1">
      <c r="A74" s="25" t="s">
        <v>226</v>
      </c>
      <c r="B74" s="38" t="s">
        <v>43</v>
      </c>
      <c r="C74" s="39" t="s">
        <v>35</v>
      </c>
      <c r="D74" s="40" t="s">
        <v>223</v>
      </c>
      <c r="E74" s="44"/>
      <c r="F74" s="44"/>
      <c r="G74" s="44"/>
      <c r="H74" s="44"/>
      <c r="I74" s="44"/>
      <c r="J74" s="44"/>
      <c r="K74" s="36">
        <f>IF(COUNT(E74:J74)=0,"",AVERAGE(E74:J74))</f>
        <v>0</v>
      </c>
      <c r="L74" s="45">
        <f>IF(COUNT(E74:J74)=0,"",MIN(E74:J74))</f>
        <v>0</v>
      </c>
      <c r="M74" s="45">
        <f>IF(COUNT(E74:J74)=0,"",MAX(E74:J74))</f>
        <v>0</v>
      </c>
    </row>
    <row r="75" spans="1:18" ht="17" customHeight="1">
      <c r="A75" s="25" t="s">
        <v>227</v>
      </c>
      <c r="B75" s="32" t="s">
        <v>45</v>
      </c>
      <c r="C75" s="33" t="s">
        <v>35</v>
      </c>
      <c r="D75" s="34" t="s">
        <v>223</v>
      </c>
      <c r="E75" s="35"/>
      <c r="F75" s="35"/>
      <c r="G75" s="35"/>
      <c r="H75" s="35"/>
      <c r="I75" s="35"/>
      <c r="J75" s="35"/>
      <c r="K75" s="36">
        <f>IF(COUNT(E75:J75)=0,"",AVERAGE(E75:J75))</f>
        <v>0</v>
      </c>
      <c r="L75" s="37">
        <f>IF(COUNT(E75:J75)=0,"",MIN(E75:J75))</f>
        <v>0</v>
      </c>
      <c r="M75" s="37">
        <f>IF(COUNT(E75:J75)=0,"",MAX(E75:J75))</f>
        <v>0</v>
      </c>
      <c r="Q75">
        <f>IFERROR(IF(INDEX('Limites'!$R:$R,MATCH(IF(nProdUS3="",nProdUS4,nProdUS3),'Limites'!$B:$B,0))="","",INDEX('Limites'!$R:$R,MATCH(IF(nProdUS3="",nProdUS4,nProdUS3),'Limites'!$B:$B,0))),"")</f>
        <v>0</v>
      </c>
      <c r="R75">
        <f>IFERROR(IF(INDEX('Limites'!$S:$S,MATCH(IF(nProdUS3="",nProdUS4,nProdUS3),'Limites'!$B:$B,0))="","",INDEX('Limites'!$S:$S,MATCH(IF(nProdUS3="",nProdUS4,nProdUS3),'Limites'!$B:$B,0))),"")</f>
        <v>0</v>
      </c>
    </row>
    <row r="76" spans="1:18" ht="18" customHeight="1">
      <c r="A76" s="25" t="s">
        <v>228</v>
      </c>
      <c r="B76" s="24" t="s">
        <v>47</v>
      </c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</row>
    <row r="77" spans="1:18" ht="17" customHeight="1">
      <c r="A77" s="25" t="s">
        <v>229</v>
      </c>
      <c r="B77" s="38" t="s">
        <v>48</v>
      </c>
      <c r="C77" s="39" t="s">
        <v>35</v>
      </c>
      <c r="D77" s="40" t="s">
        <v>230</v>
      </c>
      <c r="E77" s="44"/>
      <c r="F77" s="44"/>
      <c r="G77" s="44"/>
      <c r="H77" s="44"/>
      <c r="I77" s="44"/>
      <c r="J77" s="44"/>
      <c r="K77" s="36">
        <f>IF(COUNT(E77:J77)=0,"",AVERAGE(E77:J77))</f>
        <v>0</v>
      </c>
      <c r="L77" s="45">
        <f>IF(COUNT(E77:J77)=0,"",MIN(E77:J77))</f>
        <v>0</v>
      </c>
      <c r="M77" s="45">
        <f>IF(COUNT(E77:J77)=0,"",MAX(E77:J77))</f>
        <v>0</v>
      </c>
      <c r="Q77">
        <f>IFERROR(IF(INDEX('Limites'!$D:$D,MATCH(nProdUS3,'Limites'!$B:$B,0))="","",INDEX('Limites'!$D:$D,MATCH(nProdUS3,'Limites'!$B:$B,0))),"")</f>
        <v>0</v>
      </c>
      <c r="R77">
        <f>IFERROR(IF(INDEX('Limites'!$E:$E,MATCH(nProdUS3,'Limites'!$B:$B,0))="","",INDEX('Limites'!$E:$E,MATCH(nProdUS3,'Limites'!$B:$B,0))),"")</f>
        <v>0</v>
      </c>
    </row>
    <row r="78" spans="1:18" ht="17" customHeight="1">
      <c r="A78" s="25" t="s">
        <v>231</v>
      </c>
      <c r="B78" s="38"/>
      <c r="C78" s="39"/>
      <c r="D78" s="46" t="s">
        <v>232</v>
      </c>
      <c r="E78" s="44"/>
      <c r="F78" s="44"/>
      <c r="G78" s="44"/>
      <c r="H78" s="44"/>
      <c r="I78" s="44"/>
      <c r="J78" s="44"/>
      <c r="K78" s="36">
        <f>IF(COUNT(E78:J78)=0,"",AVERAGE(E78:J78))</f>
        <v>0</v>
      </c>
      <c r="L78" s="45">
        <f>IF(COUNT(E78:J78)=0,"",MIN(E78:J78))</f>
        <v>0</v>
      </c>
      <c r="M78" s="45">
        <f>IF(COUNT(E78:J78)=0,"",MAX(E78:J78))</f>
        <v>0</v>
      </c>
      <c r="Q78">
        <f>IFERROR(IF(INDEX('Limites'!$D:$D,MATCH(nProdUS4,'Limites'!$B:$B,0))="","",INDEX('Limites'!$D:$D,MATCH(nProdUS4,'Limites'!$B:$B,0))),"")</f>
        <v>0</v>
      </c>
      <c r="R78">
        <f>IFERROR(IF(INDEX('Limites'!$E:$E,MATCH(nProdUS4,'Limites'!$B:$B,0))="","",INDEX('Limites'!$E:$E,MATCH(nProdUS4,'Limites'!$B:$B,0))),"")</f>
        <v>0</v>
      </c>
    </row>
    <row r="79" spans="1:18" ht="17" customHeight="1">
      <c r="A79" s="25" t="s">
        <v>233</v>
      </c>
      <c r="B79" s="32" t="s">
        <v>34</v>
      </c>
      <c r="C79" s="33" t="s">
        <v>35</v>
      </c>
      <c r="D79" s="34" t="s">
        <v>230</v>
      </c>
      <c r="E79" s="35"/>
      <c r="F79" s="35"/>
      <c r="G79" s="35"/>
      <c r="H79" s="35"/>
      <c r="I79" s="35"/>
      <c r="J79" s="35"/>
      <c r="K79" s="36">
        <f>IF(COUNT(E79:J79)=0,"",AVERAGE(E79:J79))</f>
        <v>0</v>
      </c>
      <c r="L79" s="37">
        <f>IF(COUNT(E79:J79)=0,"",MIN(E79:J79))</f>
        <v>0</v>
      </c>
      <c r="M79" s="37">
        <f>IF(COUNT(E79:J79)=0,"",MAX(E79:J79))</f>
        <v>0</v>
      </c>
      <c r="Q79">
        <f>IFERROR(IF(INDEX('Limites'!$F:$F,MATCH(nProdUS3,'Limites'!$B:$B,0))="","",INDEX('Limites'!$F:$F,MATCH(nProdUS3,'Limites'!$B:$B,0))),"")</f>
        <v>0</v>
      </c>
      <c r="R79">
        <f>IFERROR(IF(INDEX('Limites'!$G:$G,MATCH(nProdUS3,'Limites'!$B:$B,0))="","",INDEX('Limites'!$G:$G,MATCH(nProdUS3,'Limites'!$B:$B,0))),"")</f>
        <v>0</v>
      </c>
    </row>
    <row r="80" spans="1:18" ht="17" customHeight="1">
      <c r="A80" s="25" t="s">
        <v>234</v>
      </c>
      <c r="B80" s="32"/>
      <c r="C80" s="33"/>
      <c r="D80" s="47" t="s">
        <v>232</v>
      </c>
      <c r="E80" s="35"/>
      <c r="F80" s="35"/>
      <c r="G80" s="35"/>
      <c r="H80" s="35"/>
      <c r="I80" s="35"/>
      <c r="J80" s="35"/>
      <c r="K80" s="36">
        <f>IF(COUNT(E80:J80)=0,"",AVERAGE(E80:J80))</f>
        <v>0</v>
      </c>
      <c r="L80" s="37">
        <f>IF(COUNT(E80:J80)=0,"",MIN(E80:J80))</f>
        <v>0</v>
      </c>
      <c r="M80" s="37">
        <f>IF(COUNT(E80:J80)=0,"",MAX(E80:J80))</f>
        <v>0</v>
      </c>
      <c r="Q80">
        <f>IFERROR(IF(INDEX('Limites'!$F:$F,MATCH(nProdUS4,'Limites'!$B:$B,0))="","",INDEX('Limites'!$F:$F,MATCH(nProdUS4,'Limites'!$B:$B,0))),"")</f>
        <v>0</v>
      </c>
      <c r="R80">
        <f>IFERROR(IF(INDEX('Limites'!$G:$G,MATCH(nProdUS4,'Limites'!$B:$B,0))="","",INDEX('Limites'!$G:$G,MATCH(nProdUS4,'Limites'!$B:$B,0))),"")</f>
        <v>0</v>
      </c>
    </row>
    <row r="81" spans="1:18" ht="17" customHeight="1">
      <c r="A81" s="25" t="s">
        <v>235</v>
      </c>
      <c r="B81" s="38" t="s">
        <v>53</v>
      </c>
      <c r="C81" s="39" t="s">
        <v>35</v>
      </c>
      <c r="D81" s="40" t="s">
        <v>230</v>
      </c>
      <c r="E81" s="44"/>
      <c r="F81" s="44"/>
      <c r="G81" s="44"/>
      <c r="H81" s="44"/>
      <c r="I81" s="44"/>
      <c r="J81" s="44"/>
      <c r="K81" s="36">
        <f>IF(COUNT(E81:J81)=0,"",AVERAGE(E81:J81))</f>
        <v>0</v>
      </c>
      <c r="L81" s="45">
        <f>IF(COUNT(E81:J81)=0,"",MIN(E81:J81))</f>
        <v>0</v>
      </c>
      <c r="M81" s="45">
        <f>IF(COUNT(E81:J81)=0,"",MAX(E81:J81))</f>
        <v>0</v>
      </c>
    </row>
    <row r="82" spans="1:18" ht="17" customHeight="1">
      <c r="A82" s="25" t="s">
        <v>236</v>
      </c>
      <c r="B82" s="38"/>
      <c r="C82" s="39"/>
      <c r="D82" s="46" t="s">
        <v>232</v>
      </c>
      <c r="E82" s="44"/>
      <c r="F82" s="44"/>
      <c r="G82" s="44"/>
      <c r="H82" s="44"/>
      <c r="I82" s="44"/>
      <c r="J82" s="44"/>
      <c r="K82" s="36">
        <f>IF(COUNT(E82:J82)=0,"",AVERAGE(E82:J82))</f>
        <v>0</v>
      </c>
      <c r="L82" s="45">
        <f>IF(COUNT(E82:J82)=0,"",MIN(E82:J82))</f>
        <v>0</v>
      </c>
      <c r="M82" s="45">
        <f>IF(COUNT(E82:J82)=0,"",MAX(E82:J82))</f>
        <v>0</v>
      </c>
    </row>
    <row r="83" spans="1:18" ht="17" customHeight="1">
      <c r="A83" s="25" t="s">
        <v>237</v>
      </c>
      <c r="B83" s="32" t="s">
        <v>43</v>
      </c>
      <c r="C83" s="33" t="s">
        <v>35</v>
      </c>
      <c r="D83" s="34" t="s">
        <v>230</v>
      </c>
      <c r="E83" s="35"/>
      <c r="F83" s="35"/>
      <c r="G83" s="35"/>
      <c r="H83" s="35"/>
      <c r="I83" s="35"/>
      <c r="J83" s="35"/>
      <c r="K83" s="36">
        <f>IF(COUNT(E83:J83)=0,"",AVERAGE(E83:J83))</f>
        <v>0</v>
      </c>
      <c r="L83" s="37">
        <f>IF(COUNT(E83:J83)=0,"",MIN(E83:J83))</f>
        <v>0</v>
      </c>
      <c r="M83" s="37">
        <f>IF(COUNT(E83:J83)=0,"",MAX(E83:J83))</f>
        <v>0</v>
      </c>
      <c r="Q83">
        <f>IFERROR(IF(INDEX('Limites'!$J:$J,MATCH(nProdUS3,'Limites'!$B:$B,0))="","",INDEX('Limites'!$J:$J,MATCH(nProdUS3,'Limites'!$B:$B,0))),"")</f>
        <v>0</v>
      </c>
      <c r="R83">
        <f>IFERROR(IF(INDEX('Limites'!$K:$K,MATCH(nProdUS3,'Limites'!$B:$B,0))="","",INDEX('Limites'!$K:$K,MATCH(nProdUS3,'Limites'!$B:$B,0))),"")</f>
        <v>0</v>
      </c>
    </row>
    <row r="84" spans="1:18" ht="17" customHeight="1">
      <c r="A84" s="25" t="s">
        <v>238</v>
      </c>
      <c r="B84" s="32"/>
      <c r="C84" s="33"/>
      <c r="D84" s="47" t="s">
        <v>232</v>
      </c>
      <c r="E84" s="35"/>
      <c r="F84" s="35"/>
      <c r="G84" s="35"/>
      <c r="H84" s="35"/>
      <c r="I84" s="35"/>
      <c r="J84" s="35"/>
      <c r="K84" s="36">
        <f>IF(COUNT(E84:J84)=0,"",AVERAGE(E84:J84))</f>
        <v>0</v>
      </c>
      <c r="L84" s="37">
        <f>IF(COUNT(E84:J84)=0,"",MIN(E84:J84))</f>
        <v>0</v>
      </c>
      <c r="M84" s="37">
        <f>IF(COUNT(E84:J84)=0,"",MAX(E84:J84))</f>
        <v>0</v>
      </c>
      <c r="Q84">
        <f>IFERROR(IF(INDEX('Limites'!$J:$J,MATCH(nProdUS4,'Limites'!$B:$B,0))="","",INDEX('Limites'!$J:$J,MATCH(nProdUS4,'Limites'!$B:$B,0))),"")</f>
        <v>0</v>
      </c>
      <c r="R84">
        <f>IFERROR(IF(INDEX('Limites'!$K:$K,MATCH(nProdUS4,'Limites'!$B:$B,0))="","",INDEX('Limites'!$K:$K,MATCH(nProdUS4,'Limites'!$B:$B,0))),"")</f>
        <v>0</v>
      </c>
    </row>
    <row r="85" spans="1:18" ht="17" customHeight="1">
      <c r="A85" s="25" t="s">
        <v>239</v>
      </c>
      <c r="B85" s="38" t="s">
        <v>41</v>
      </c>
      <c r="C85" s="39" t="s">
        <v>35</v>
      </c>
      <c r="D85" s="40" t="s">
        <v>230</v>
      </c>
      <c r="E85" s="44"/>
      <c r="F85" s="44"/>
      <c r="G85" s="44"/>
      <c r="H85" s="44"/>
      <c r="I85" s="44"/>
      <c r="J85" s="44"/>
      <c r="K85" s="36">
        <f>IF(COUNT(E85:J85)=0,"",AVERAGE(E85:J85))</f>
        <v>0</v>
      </c>
      <c r="L85" s="45">
        <f>IF(COUNT(E85:J85)=0,"",MIN(E85:J85))</f>
        <v>0</v>
      </c>
      <c r="M85" s="45">
        <f>IF(COUNT(E85:J85)=0,"",MAX(E85:J85))</f>
        <v>0</v>
      </c>
    </row>
    <row r="86" spans="1:18" ht="17" customHeight="1">
      <c r="A86" s="25" t="s">
        <v>240</v>
      </c>
      <c r="B86" s="38"/>
      <c r="C86" s="39"/>
      <c r="D86" s="46" t="s">
        <v>232</v>
      </c>
      <c r="E86" s="44"/>
      <c r="F86" s="44"/>
      <c r="G86" s="44"/>
      <c r="H86" s="44"/>
      <c r="I86" s="44"/>
      <c r="J86" s="44"/>
      <c r="K86" s="36">
        <f>IF(COUNT(E86:J86)=0,"",AVERAGE(E86:J86))</f>
        <v>0</v>
      </c>
      <c r="L86" s="45">
        <f>IF(COUNT(E86:J86)=0,"",MIN(E86:J86))</f>
        <v>0</v>
      </c>
      <c r="M86" s="45">
        <f>IF(COUNT(E86:J86)=0,"",MAX(E86:J86))</f>
        <v>0</v>
      </c>
    </row>
    <row r="87" spans="1:18" ht="17" customHeight="1">
      <c r="A87" s="25" t="s">
        <v>241</v>
      </c>
      <c r="B87" s="32" t="s">
        <v>60</v>
      </c>
      <c r="C87" s="33" t="s">
        <v>61</v>
      </c>
      <c r="D87" s="34" t="s">
        <v>230</v>
      </c>
      <c r="E87" s="35"/>
      <c r="F87" s="35"/>
      <c r="G87" s="35"/>
      <c r="H87" s="35"/>
      <c r="I87" s="35"/>
      <c r="J87" s="35"/>
      <c r="K87" s="36">
        <f>IF(COUNT(E87:J87)=0,"",AVERAGE(E87:J87))</f>
        <v>0</v>
      </c>
      <c r="L87" s="37">
        <f>IF(COUNT(E87:J87)=0,"",MIN(E87:J87))</f>
        <v>0</v>
      </c>
      <c r="M87" s="37">
        <f>IF(COUNT(E87:J87)=0,"",MAX(E87:J87))</f>
        <v>0</v>
      </c>
      <c r="Q87">
        <f>IFERROR(IF(INDEX('Limites'!$L:$L,MATCH(nProdUS3,'Limites'!$B:$B,0))="","",INDEX('Limites'!$L:$L,MATCH(nProdUS3,'Limites'!$B:$B,0))),"")</f>
        <v>0</v>
      </c>
      <c r="R87">
        <f>IFERROR(IF(INDEX('Limites'!$M:$M,MATCH(nProdUS3,'Limites'!$B:$B,0))="","",INDEX('Limites'!$M:$M,MATCH(nProdUS3,'Limites'!$B:$B,0))),"")</f>
        <v>0</v>
      </c>
    </row>
    <row r="88" spans="1:18" ht="17" customHeight="1">
      <c r="A88" s="25" t="s">
        <v>242</v>
      </c>
      <c r="B88" s="32"/>
      <c r="C88" s="33"/>
      <c r="D88" s="47" t="s">
        <v>232</v>
      </c>
      <c r="E88" s="35"/>
      <c r="F88" s="35"/>
      <c r="G88" s="35"/>
      <c r="H88" s="35"/>
      <c r="I88" s="35"/>
      <c r="J88" s="35"/>
      <c r="K88" s="36">
        <f>IF(COUNT(E88:J88)=0,"",AVERAGE(E88:J88))</f>
        <v>0</v>
      </c>
      <c r="L88" s="37">
        <f>IF(COUNT(E88:J88)=0,"",MIN(E88:J88))</f>
        <v>0</v>
      </c>
      <c r="M88" s="37">
        <f>IF(COUNT(E88:J88)=0,"",MAX(E88:J88))</f>
        <v>0</v>
      </c>
      <c r="Q88">
        <f>IFERROR(IF(INDEX('Limites'!$L:$L,MATCH(nProdUS4,'Limites'!$B:$B,0))="","",INDEX('Limites'!$L:$L,MATCH(nProdUS4,'Limites'!$B:$B,0))),"")</f>
        <v>0</v>
      </c>
      <c r="R88">
        <f>IFERROR(IF(INDEX('Limites'!$M:$M,MATCH(nProdUS4,'Limites'!$B:$B,0))="","",INDEX('Limites'!$M:$M,MATCH(nProdUS4,'Limites'!$B:$B,0))),"")</f>
        <v>0</v>
      </c>
    </row>
    <row r="89" spans="1:18" ht="17" customHeight="1">
      <c r="A89" s="25" t="s">
        <v>243</v>
      </c>
      <c r="B89" s="38" t="s">
        <v>64</v>
      </c>
      <c r="C89" s="39" t="s">
        <v>35</v>
      </c>
      <c r="D89" s="40" t="s">
        <v>230</v>
      </c>
      <c r="E89" s="41"/>
      <c r="F89" s="41"/>
      <c r="G89" s="41"/>
      <c r="H89" s="41"/>
      <c r="I89" s="41"/>
      <c r="J89" s="41"/>
      <c r="K89" s="42">
        <f>IF(COUNT(E89:J89)=0,"",AVERAGE(E89:J89))</f>
        <v>0</v>
      </c>
      <c r="L89" s="43">
        <f>IF(COUNT(E89:J89)=0,"",MIN(E89:J89))</f>
        <v>0</v>
      </c>
      <c r="M89" s="43">
        <f>IF(COUNT(E89:J89)=0,"",MAX(E89:J89))</f>
        <v>0</v>
      </c>
    </row>
    <row r="90" spans="1:18" ht="17" customHeight="1">
      <c r="A90" s="25" t="s">
        <v>244</v>
      </c>
      <c r="B90" s="38"/>
      <c r="C90" s="39"/>
      <c r="D90" s="46" t="s">
        <v>232</v>
      </c>
      <c r="E90" s="41"/>
      <c r="F90" s="41"/>
      <c r="G90" s="41"/>
      <c r="H90" s="41"/>
      <c r="I90" s="41"/>
      <c r="J90" s="41"/>
      <c r="K90" s="42">
        <f>IF(COUNT(E90:J90)=0,"",AVERAGE(E90:J90))</f>
        <v>0</v>
      </c>
      <c r="L90" s="43">
        <f>IF(COUNT(E90:J90)=0,"",MIN(E90:J90))</f>
        <v>0</v>
      </c>
      <c r="M90" s="43">
        <f>IF(COUNT(E90:J90)=0,"",MAX(E90:J90))</f>
        <v>0</v>
      </c>
    </row>
    <row r="91" spans="1:18" ht="17" customHeight="1">
      <c r="B91" s="48" t="s">
        <v>245</v>
      </c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</row>
  </sheetData>
  <sheetProtection sheet="1" objects="1" scenarios="1" formatColumns="0" formatRows="0"/>
  <mergeCells count="86">
    <mergeCell ref="D2:M2"/>
    <mergeCell ref="D3:M3"/>
    <mergeCell ref="C6:D6"/>
    <mergeCell ref="F6:H6"/>
    <mergeCell ref="K6:L6"/>
    <mergeCell ref="C7:G7"/>
    <mergeCell ref="H7:I7"/>
    <mergeCell ref="K7:L7"/>
    <mergeCell ref="B9:M9"/>
    <mergeCell ref="B10:M10"/>
    <mergeCell ref="C11:M11"/>
    <mergeCell ref="C12:M12"/>
    <mergeCell ref="C13:M13"/>
    <mergeCell ref="C14:M14"/>
    <mergeCell ref="C15:M15"/>
    <mergeCell ref="C16:M16"/>
    <mergeCell ref="C17:M17"/>
    <mergeCell ref="C18:M18"/>
    <mergeCell ref="C19:M19"/>
    <mergeCell ref="C20:M20"/>
    <mergeCell ref="C21:M21"/>
    <mergeCell ref="C22:M22"/>
    <mergeCell ref="C23:M23"/>
    <mergeCell ref="B25:M25"/>
    <mergeCell ref="C26:M26"/>
    <mergeCell ref="C27:M27"/>
    <mergeCell ref="C28:M28"/>
    <mergeCell ref="C29:M29"/>
    <mergeCell ref="C30:M30"/>
    <mergeCell ref="B32:M32"/>
    <mergeCell ref="C33:M33"/>
    <mergeCell ref="C34:M34"/>
    <mergeCell ref="C35:M35"/>
    <mergeCell ref="C36:M36"/>
    <mergeCell ref="C37:M37"/>
    <mergeCell ref="B39:M39"/>
    <mergeCell ref="C40:M40"/>
    <mergeCell ref="C41:M41"/>
    <mergeCell ref="C42:M42"/>
    <mergeCell ref="C43:M43"/>
    <mergeCell ref="C44:M44"/>
    <mergeCell ref="C45:M45"/>
    <mergeCell ref="C46:M46"/>
    <mergeCell ref="C47:M47"/>
    <mergeCell ref="C48:M48"/>
    <mergeCell ref="B50:M50"/>
    <mergeCell ref="C51:M51"/>
    <mergeCell ref="C52:M52"/>
    <mergeCell ref="B54:M54"/>
    <mergeCell ref="C55:M55"/>
    <mergeCell ref="C56:D56"/>
    <mergeCell ref="E56:F56"/>
    <mergeCell ref="G56:M56"/>
    <mergeCell ref="C57:D57"/>
    <mergeCell ref="E57:F57"/>
    <mergeCell ref="G57:H57"/>
    <mergeCell ref="I57:J57"/>
    <mergeCell ref="B59:M59"/>
    <mergeCell ref="C60:M60"/>
    <mergeCell ref="C61:M61"/>
    <mergeCell ref="B63:M63"/>
    <mergeCell ref="C64:D64"/>
    <mergeCell ref="E64:F64"/>
    <mergeCell ref="G64:H64"/>
    <mergeCell ref="I64:J64"/>
    <mergeCell ref="K64:M64"/>
    <mergeCell ref="C65:M65"/>
    <mergeCell ref="B67:M67"/>
    <mergeCell ref="B68:M68"/>
    <mergeCell ref="B70:M70"/>
    <mergeCell ref="B76:M76"/>
    <mergeCell ref="B77:B78"/>
    <mergeCell ref="C77:C78"/>
    <mergeCell ref="B79:B80"/>
    <mergeCell ref="C79:C80"/>
    <mergeCell ref="B81:B82"/>
    <mergeCell ref="C81:C82"/>
    <mergeCell ref="B83:B84"/>
    <mergeCell ref="C83:C84"/>
    <mergeCell ref="B85:B86"/>
    <mergeCell ref="C85:C86"/>
    <mergeCell ref="B87:B88"/>
    <mergeCell ref="C87:C88"/>
    <mergeCell ref="B89:B90"/>
    <mergeCell ref="C89:C90"/>
    <mergeCell ref="B91:M91"/>
  </mergeCells>
  <conditionalFormatting sqref="E71:K71">
    <cfRule type="expression" dxfId="1" priority="1">
      <formula>AND(ISNUMBER(E71),OR(AND(ISNUMBER($Q71),ROUND(E71,2)&lt;$Q71),AND(ISNUMBER($R71),ROUND(E71,2)&gt;$R71)))</formula>
    </cfRule>
    <cfRule type="expression" dxfId="2" priority="2">
      <formula>AND(ISNUMBER(E71),OR(ISNUMBER($Q71),ISNUMBER($R71)),NOT(OR(AND(ISNUMBER($Q71),ROUND(E71,2)&lt;$Q71),AND(ISNUMBER($R71),ROUND(E71,2)&gt;$R71))))</formula>
    </cfRule>
  </conditionalFormatting>
  <conditionalFormatting sqref="E72:K72">
    <cfRule type="expression" dxfId="1" priority="3">
      <formula>AND(ISNUMBER(E72),OR(AND(ISNUMBER($Q72),ROUND(E72,3)&lt;$Q72),AND(ISNUMBER($R72),ROUND(E72,3)&gt;$R72)))</formula>
    </cfRule>
    <cfRule type="expression" dxfId="2" priority="4">
      <formula>AND(ISNUMBER(E72),OR(ISNUMBER($Q72),ISNUMBER($R72)),NOT(OR(AND(ISNUMBER($Q72),ROUND(E72,3)&lt;$Q72),AND(ISNUMBER($R72),ROUND(E72,3)&gt;$R72))))</formula>
    </cfRule>
  </conditionalFormatting>
  <conditionalFormatting sqref="E75:K75">
    <cfRule type="expression" dxfId="1" priority="5">
      <formula>AND(ISNUMBER(E75),OR(AND(ISNUMBER($Q75),ROUND(E75,2)&lt;$Q75),AND(ISNUMBER($R75),ROUND(E75,2)&gt;$R75)))</formula>
    </cfRule>
    <cfRule type="expression" dxfId="2" priority="6">
      <formula>AND(ISNUMBER(E75),OR(ISNUMBER($Q75),ISNUMBER($R75)),NOT(OR(AND(ISNUMBER($Q75),ROUND(E75,2)&lt;$Q75),AND(ISNUMBER($R75),ROUND(E75,2)&gt;$R75))))</formula>
    </cfRule>
  </conditionalFormatting>
  <conditionalFormatting sqref="E77:K77">
    <cfRule type="expression" dxfId="1" priority="7">
      <formula>AND(ISNUMBER(E77),OR(AND(ISNUMBER($Q77),ROUND(E77,2)&lt;$Q77),AND(ISNUMBER($R77),ROUND(E77,2)&gt;$R77)))</formula>
    </cfRule>
    <cfRule type="expression" dxfId="2" priority="8">
      <formula>AND(ISNUMBER(E77),OR(ISNUMBER($Q77),ISNUMBER($R77)),NOT(OR(AND(ISNUMBER($Q77),ROUND(E77,2)&lt;$Q77),AND(ISNUMBER($R77),ROUND(E77,2)&gt;$R77))))</formula>
    </cfRule>
  </conditionalFormatting>
  <conditionalFormatting sqref="E78:K78">
    <cfRule type="expression" dxfId="1" priority="9">
      <formula>AND(ISNUMBER(E78),OR(AND(ISNUMBER($Q78),ROUND(E78,2)&lt;$Q78),AND(ISNUMBER($R78),ROUND(E78,2)&gt;$R78)))</formula>
    </cfRule>
    <cfRule type="expression" dxfId="2" priority="10">
      <formula>AND(ISNUMBER(E78),OR(ISNUMBER($Q78),ISNUMBER($R78)),NOT(OR(AND(ISNUMBER($Q78),ROUND(E78,2)&lt;$Q78),AND(ISNUMBER($R78),ROUND(E78,2)&gt;$R78))))</formula>
    </cfRule>
  </conditionalFormatting>
  <conditionalFormatting sqref="E79:K79">
    <cfRule type="expression" dxfId="1" priority="11">
      <formula>AND(ISNUMBER(E79),OR(AND(ISNUMBER($Q79),ROUND(E79,2)&lt;$Q79),AND(ISNUMBER($R79),ROUND(E79,2)&gt;$R79)))</formula>
    </cfRule>
    <cfRule type="expression" dxfId="2" priority="12">
      <formula>AND(ISNUMBER(E79),OR(ISNUMBER($Q79),ISNUMBER($R79)),NOT(OR(AND(ISNUMBER($Q79),ROUND(E79,2)&lt;$Q79),AND(ISNUMBER($R79),ROUND(E79,2)&gt;$R79))))</formula>
    </cfRule>
  </conditionalFormatting>
  <conditionalFormatting sqref="E80:K80">
    <cfRule type="expression" dxfId="1" priority="13">
      <formula>AND(ISNUMBER(E80),OR(AND(ISNUMBER($Q80),ROUND(E80,2)&lt;$Q80),AND(ISNUMBER($R80),ROUND(E80,2)&gt;$R80)))</formula>
    </cfRule>
    <cfRule type="expression" dxfId="2" priority="14">
      <formula>AND(ISNUMBER(E80),OR(ISNUMBER($Q80),ISNUMBER($R80)),NOT(OR(AND(ISNUMBER($Q80),ROUND(E80,2)&lt;$Q80),AND(ISNUMBER($R80),ROUND(E80,2)&gt;$R80))))</formula>
    </cfRule>
  </conditionalFormatting>
  <conditionalFormatting sqref="E83:K83">
    <cfRule type="expression" dxfId="1" priority="15">
      <formula>AND(ISNUMBER(E83),OR(AND(ISNUMBER($Q83),ROUND(E83,2)&lt;$Q83),AND(ISNUMBER($R83),ROUND(E83,2)&gt;$R83)))</formula>
    </cfRule>
    <cfRule type="expression" dxfId="2" priority="16">
      <formula>AND(ISNUMBER(E83),OR(ISNUMBER($Q83),ISNUMBER($R83)),NOT(OR(AND(ISNUMBER($Q83),ROUND(E83,2)&lt;$Q83),AND(ISNUMBER($R83),ROUND(E83,2)&gt;$R83))))</formula>
    </cfRule>
  </conditionalFormatting>
  <conditionalFormatting sqref="E84:K84">
    <cfRule type="expression" dxfId="1" priority="17">
      <formula>AND(ISNUMBER(E84),OR(AND(ISNUMBER($Q84),ROUND(E84,2)&lt;$Q84),AND(ISNUMBER($R84),ROUND(E84,2)&gt;$R84)))</formula>
    </cfRule>
    <cfRule type="expression" dxfId="2" priority="18">
      <formula>AND(ISNUMBER(E84),OR(ISNUMBER($Q84),ISNUMBER($R84)),NOT(OR(AND(ISNUMBER($Q84),ROUND(E84,2)&lt;$Q84),AND(ISNUMBER($R84),ROUND(E84,2)&gt;$R84))))</formula>
    </cfRule>
  </conditionalFormatting>
  <conditionalFormatting sqref="E87:K87">
    <cfRule type="expression" dxfId="1" priority="19">
      <formula>AND(ISNUMBER(E87),OR(AND(ISNUMBER($Q87),ROUND(E87,2)&lt;$Q87),AND(ISNUMBER($R87),ROUND(E87,2)&gt;$R87)))</formula>
    </cfRule>
    <cfRule type="expression" dxfId="2" priority="20">
      <formula>AND(ISNUMBER(E87),OR(ISNUMBER($Q87),ISNUMBER($R87)),NOT(OR(AND(ISNUMBER($Q87),ROUND(E87,2)&lt;$Q87),AND(ISNUMBER($R87),ROUND(E87,2)&gt;$R87))))</formula>
    </cfRule>
  </conditionalFormatting>
  <conditionalFormatting sqref="E88:K88">
    <cfRule type="expression" dxfId="1" priority="21">
      <formula>AND(ISNUMBER(E88),OR(AND(ISNUMBER($Q88),ROUND(E88,2)&lt;$Q88),AND(ISNUMBER($R88),ROUND(E88,2)&gt;$R88)))</formula>
    </cfRule>
    <cfRule type="expression" dxfId="2" priority="22">
      <formula>AND(ISNUMBER(E88),OR(ISNUMBER($Q88),ISNUMBER($R88)),NOT(OR(AND(ISNUMBER($Q88),ROUND(E88,2)&lt;$Q88),AND(ISNUMBER($R88),ROUND(E88,2)&gt;$R88))))</formula>
    </cfRule>
  </conditionalFormatting>
  <hyperlinks>
    <hyperlink ref="O10" location="'Preenchimento'!B75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X33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4" width="6.7109375" customWidth="1"/>
    <col min="5" max="16" width="9.28515625" customWidth="1"/>
    <col min="17" max="17" width="11.7109375" customWidth="1"/>
    <col min="18" max="19" width="9.7109375" customWidth="1"/>
    <col min="20" max="20" width="3.7109375" customWidth="1"/>
    <col min="21" max="21" width="28.7109375" customWidth="1"/>
    <col min="23" max="24" width="8.7109375" hidden="1" customWidth="1"/>
  </cols>
  <sheetData>
    <row r="1" spans="1:24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4" ht="34" customHeight="1">
      <c r="B2" s="1"/>
      <c r="C2" s="1"/>
      <c r="D2" s="1"/>
      <c r="E2" s="2" t="s">
        <v>161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4" ht="24" customHeight="1">
      <c r="B3" s="1"/>
      <c r="C3" s="1"/>
      <c r="D3" s="1"/>
      <c r="E3" s="3" t="s">
        <v>162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4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4" ht="8" customHeight="1"/>
    <row r="6" spans="1:24" ht="26" customHeight="1">
      <c r="B6" s="49" t="s">
        <v>253</v>
      </c>
      <c r="C6" s="50" t="s">
        <v>131</v>
      </c>
      <c r="D6" s="50"/>
      <c r="E6" s="51"/>
      <c r="F6" s="51"/>
      <c r="G6" s="51"/>
      <c r="H6" s="52" t="s">
        <v>132</v>
      </c>
      <c r="I6" s="51"/>
      <c r="J6" s="51"/>
      <c r="K6" s="51"/>
      <c r="L6" s="53" t="s">
        <v>254</v>
      </c>
      <c r="M6" s="53"/>
      <c r="N6" s="53"/>
      <c r="O6" s="53"/>
      <c r="P6" s="53"/>
      <c r="Q6" s="53"/>
      <c r="R6" s="53"/>
      <c r="S6" s="53"/>
    </row>
    <row r="7" spans="1:24" ht="6" customHeight="1"/>
    <row r="8" spans="1:24" ht="20" customHeight="1">
      <c r="B8" s="49" t="s">
        <v>170</v>
      </c>
      <c r="C8" s="54">
        <f>IF(dProdUS3="","",dProdUS3)</f>
        <v>0</v>
      </c>
      <c r="D8" s="54"/>
    </row>
    <row r="9" spans="1:24" ht="20" customHeight="1">
      <c r="B9" s="49" t="s">
        <v>171</v>
      </c>
      <c r="C9" s="54">
        <f>IF(dProdUS4="","",dProdUS4)</f>
        <v>0</v>
      </c>
      <c r="D9" s="54"/>
    </row>
    <row r="10" spans="1:24">
      <c r="B10" s="55" t="s">
        <v>208</v>
      </c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U10" s="11" t="s">
        <v>246</v>
      </c>
    </row>
    <row r="11" spans="1:24" ht="30" customHeight="1">
      <c r="B11" s="31" t="s">
        <v>209</v>
      </c>
      <c r="C11" s="31" t="s">
        <v>210</v>
      </c>
      <c r="D11" s="31" t="s">
        <v>211</v>
      </c>
      <c r="E11" s="31" t="s">
        <v>255</v>
      </c>
      <c r="F11" s="31" t="s">
        <v>255</v>
      </c>
      <c r="G11" s="31" t="s">
        <v>255</v>
      </c>
      <c r="H11" s="31" t="s">
        <v>255</v>
      </c>
      <c r="I11" s="31" t="s">
        <v>255</v>
      </c>
      <c r="J11" s="31" t="s">
        <v>255</v>
      </c>
      <c r="K11" s="31" t="s">
        <v>255</v>
      </c>
      <c r="L11" s="31" t="s">
        <v>255</v>
      </c>
      <c r="M11" s="31" t="s">
        <v>255</v>
      </c>
      <c r="N11" s="31" t="s">
        <v>255</v>
      </c>
      <c r="O11" s="31" t="s">
        <v>255</v>
      </c>
      <c r="P11" s="31" t="s">
        <v>255</v>
      </c>
      <c r="Q11" s="31" t="s">
        <v>256</v>
      </c>
      <c r="R11" s="31" t="s">
        <v>219</v>
      </c>
      <c r="S11" s="31" t="s">
        <v>220</v>
      </c>
    </row>
    <row r="12" spans="1:24" ht="18" customHeight="1">
      <c r="A12" s="25" t="s">
        <v>221</v>
      </c>
      <c r="B12" s="24" t="s">
        <v>33</v>
      </c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</row>
    <row r="13" spans="1:24" ht="17" customHeight="1">
      <c r="A13" s="25" t="s">
        <v>222</v>
      </c>
      <c r="B13" s="32" t="s">
        <v>34</v>
      </c>
      <c r="C13" s="33" t="s">
        <v>35</v>
      </c>
      <c r="D13" s="34" t="s">
        <v>223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6">
        <f>IF(COUNT(E13:P13)=0,"",AVERAGE(E13:P13))</f>
        <v>0</v>
      </c>
      <c r="R13" s="37">
        <f>IF(COUNT(E13:P13)=0,"",MIN(E13:P13))</f>
        <v>0</v>
      </c>
      <c r="S13" s="37">
        <f>IF(COUNT(E13:P13)=0,"",MAX(E13:P13))</f>
        <v>0</v>
      </c>
      <c r="W13">
        <f>IFERROR(IF(INDEX('Limites'!$N:$N,MATCH(IF(gProdUS3="",gProdUS4,gProdUS3),'Limites'!$B:$B,0))="","",INDEX('Limites'!$N:$N,MATCH(IF(gProdUS3="",gProdUS4,gProdUS3),'Limites'!$B:$B,0))),"")</f>
        <v>0</v>
      </c>
      <c r="X13">
        <f>IFERROR(IF(INDEX('Limites'!$O:$O,MATCH(IF(gProdUS3="",gProdUS4,gProdUS3),'Limites'!$B:$B,0))="","",INDEX('Limites'!$O:$O,MATCH(IF(gProdUS3="",gProdUS4,gProdUS3),'Limites'!$B:$B,0))),"")</f>
        <v>0</v>
      </c>
    </row>
    <row r="14" spans="1:24" ht="17" customHeight="1">
      <c r="A14" s="25" t="s">
        <v>224</v>
      </c>
      <c r="B14" s="38" t="s">
        <v>39</v>
      </c>
      <c r="C14" s="39" t="s">
        <v>35</v>
      </c>
      <c r="D14" s="40" t="s">
        <v>223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2">
        <f>IF(COUNT(E14:P14)=0,"",AVERAGE(E14:P14))</f>
        <v>0</v>
      </c>
      <c r="R14" s="43">
        <f>IF(COUNT(E14:P14)=0,"",MIN(E14:P14))</f>
        <v>0</v>
      </c>
      <c r="S14" s="43">
        <f>IF(COUNT(E14:P14)=0,"",MAX(E14:P14))</f>
        <v>0</v>
      </c>
      <c r="W14">
        <f>IFERROR(IF(INDEX('Limites'!$P:$P,MATCH(IF(gProdUS3="",gProdUS4,gProdUS3),'Limites'!$B:$B,0))="","",INDEX('Limites'!$P:$P,MATCH(IF(gProdUS3="",gProdUS4,gProdUS3),'Limites'!$B:$B,0))),"")</f>
        <v>0</v>
      </c>
      <c r="X14">
        <f>IFERROR(IF(INDEX('Limites'!$Q:$Q,MATCH(IF(gProdUS3="",gProdUS4,gProdUS3),'Limites'!$B:$B,0))="","",INDEX('Limites'!$Q:$Q,MATCH(IF(gProdUS3="",gProdUS4,gProdUS3),'Limites'!$B:$B,0))),"")</f>
        <v>0</v>
      </c>
    </row>
    <row r="15" spans="1:24" ht="17" customHeight="1">
      <c r="A15" s="25" t="s">
        <v>225</v>
      </c>
      <c r="B15" s="32" t="s">
        <v>41</v>
      </c>
      <c r="C15" s="33" t="s">
        <v>35</v>
      </c>
      <c r="D15" s="34" t="s">
        <v>223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6">
        <f>IF(COUNT(E15:P15)=0,"",AVERAGE(E15:P15))</f>
        <v>0</v>
      </c>
      <c r="R15" s="37">
        <f>IF(COUNT(E15:P15)=0,"",MIN(E15:P15))</f>
        <v>0</v>
      </c>
      <c r="S15" s="37">
        <f>IF(COUNT(E15:P15)=0,"",MAX(E15:P15))</f>
        <v>0</v>
      </c>
    </row>
    <row r="16" spans="1:24" ht="17" customHeight="1">
      <c r="A16" s="25" t="s">
        <v>226</v>
      </c>
      <c r="B16" s="38" t="s">
        <v>43</v>
      </c>
      <c r="C16" s="39" t="s">
        <v>35</v>
      </c>
      <c r="D16" s="40" t="s">
        <v>223</v>
      </c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36">
        <f>IF(COUNT(E16:P16)=0,"",AVERAGE(E16:P16))</f>
        <v>0</v>
      </c>
      <c r="R16" s="45">
        <f>IF(COUNT(E16:P16)=0,"",MIN(E16:P16))</f>
        <v>0</v>
      </c>
      <c r="S16" s="45">
        <f>IF(COUNT(E16:P16)=0,"",MAX(E16:P16))</f>
        <v>0</v>
      </c>
    </row>
    <row r="17" spans="1:24" ht="17" customHeight="1">
      <c r="A17" s="25" t="s">
        <v>227</v>
      </c>
      <c r="B17" s="32" t="s">
        <v>45</v>
      </c>
      <c r="C17" s="33" t="s">
        <v>35</v>
      </c>
      <c r="D17" s="34" t="s">
        <v>223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6">
        <f>IF(COUNT(E17:P17)=0,"",AVERAGE(E17:P17))</f>
        <v>0</v>
      </c>
      <c r="R17" s="37">
        <f>IF(COUNT(E17:P17)=0,"",MIN(E17:P17))</f>
        <v>0</v>
      </c>
      <c r="S17" s="37">
        <f>IF(COUNT(E17:P17)=0,"",MAX(E17:P17))</f>
        <v>0</v>
      </c>
      <c r="W17">
        <f>IFERROR(IF(INDEX('Limites'!$R:$R,MATCH(IF(gProdUS3="",gProdUS4,gProdUS3),'Limites'!$B:$B,0))="","",INDEX('Limites'!$R:$R,MATCH(IF(gProdUS3="",gProdUS4,gProdUS3),'Limites'!$B:$B,0))),"")</f>
        <v>0</v>
      </c>
      <c r="X17">
        <f>IFERROR(IF(INDEX('Limites'!$S:$S,MATCH(IF(gProdUS3="",gProdUS4,gProdUS3),'Limites'!$B:$B,0))="","",INDEX('Limites'!$S:$S,MATCH(IF(gProdUS3="",gProdUS4,gProdUS3),'Limites'!$B:$B,0))),"")</f>
        <v>0</v>
      </c>
    </row>
    <row r="18" spans="1:24" ht="18" customHeight="1">
      <c r="A18" s="25" t="s">
        <v>228</v>
      </c>
      <c r="B18" s="24" t="s">
        <v>47</v>
      </c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</row>
    <row r="19" spans="1:24" ht="17" customHeight="1">
      <c r="A19" s="25" t="s">
        <v>229</v>
      </c>
      <c r="B19" s="38" t="s">
        <v>48</v>
      </c>
      <c r="C19" s="39" t="s">
        <v>35</v>
      </c>
      <c r="D19" s="40" t="s">
        <v>230</v>
      </c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36">
        <f>IF(COUNT(E19:P19)=0,"",AVERAGE(E19:P19))</f>
        <v>0</v>
      </c>
      <c r="R19" s="45">
        <f>IF(COUNT(E19:P19)=0,"",MIN(E19:P19))</f>
        <v>0</v>
      </c>
      <c r="S19" s="45">
        <f>IF(COUNT(E19:P19)=0,"",MAX(E19:P19))</f>
        <v>0</v>
      </c>
      <c r="W19">
        <f>IFERROR(IF(INDEX('Limites'!$D:$D,MATCH(gProdUS3,'Limites'!$B:$B,0))="","",INDEX('Limites'!$D:$D,MATCH(gProdUS3,'Limites'!$B:$B,0))),"")</f>
        <v>0</v>
      </c>
      <c r="X19">
        <f>IFERROR(IF(INDEX('Limites'!$E:$E,MATCH(gProdUS3,'Limites'!$B:$B,0))="","",INDEX('Limites'!$E:$E,MATCH(gProdUS3,'Limites'!$B:$B,0))),"")</f>
        <v>0</v>
      </c>
    </row>
    <row r="20" spans="1:24" ht="17" customHeight="1">
      <c r="A20" s="25" t="s">
        <v>231</v>
      </c>
      <c r="B20" s="38"/>
      <c r="C20" s="39"/>
      <c r="D20" s="46" t="s">
        <v>232</v>
      </c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36">
        <f>IF(COUNT(E20:P20)=0,"",AVERAGE(E20:P20))</f>
        <v>0</v>
      </c>
      <c r="R20" s="45">
        <f>IF(COUNT(E20:P20)=0,"",MIN(E20:P20))</f>
        <v>0</v>
      </c>
      <c r="S20" s="45">
        <f>IF(COUNT(E20:P20)=0,"",MAX(E20:P20))</f>
        <v>0</v>
      </c>
      <c r="W20">
        <f>IFERROR(IF(INDEX('Limites'!$D:$D,MATCH(gProdUS4,'Limites'!$B:$B,0))="","",INDEX('Limites'!$D:$D,MATCH(gProdUS4,'Limites'!$B:$B,0))),"")</f>
        <v>0</v>
      </c>
      <c r="X20">
        <f>IFERROR(IF(INDEX('Limites'!$E:$E,MATCH(gProdUS4,'Limites'!$B:$B,0))="","",INDEX('Limites'!$E:$E,MATCH(gProdUS4,'Limites'!$B:$B,0))),"")</f>
        <v>0</v>
      </c>
    </row>
    <row r="21" spans="1:24" ht="17" customHeight="1">
      <c r="A21" s="25" t="s">
        <v>233</v>
      </c>
      <c r="B21" s="32" t="s">
        <v>34</v>
      </c>
      <c r="C21" s="33" t="s">
        <v>35</v>
      </c>
      <c r="D21" s="34" t="s">
        <v>230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6">
        <f>IF(COUNT(E21:P21)=0,"",AVERAGE(E21:P21))</f>
        <v>0</v>
      </c>
      <c r="R21" s="37">
        <f>IF(COUNT(E21:P21)=0,"",MIN(E21:P21))</f>
        <v>0</v>
      </c>
      <c r="S21" s="37">
        <f>IF(COUNT(E21:P21)=0,"",MAX(E21:P21))</f>
        <v>0</v>
      </c>
      <c r="W21">
        <f>IFERROR(IF(INDEX('Limites'!$F:$F,MATCH(gProdUS3,'Limites'!$B:$B,0))="","",INDEX('Limites'!$F:$F,MATCH(gProdUS3,'Limites'!$B:$B,0))),"")</f>
        <v>0</v>
      </c>
      <c r="X21">
        <f>IFERROR(IF(INDEX('Limites'!$G:$G,MATCH(gProdUS3,'Limites'!$B:$B,0))="","",INDEX('Limites'!$G:$G,MATCH(gProdUS3,'Limites'!$B:$B,0))),"")</f>
        <v>0</v>
      </c>
    </row>
    <row r="22" spans="1:24" ht="17" customHeight="1">
      <c r="A22" s="25" t="s">
        <v>234</v>
      </c>
      <c r="B22" s="32"/>
      <c r="C22" s="33"/>
      <c r="D22" s="47" t="s">
        <v>232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6">
        <f>IF(COUNT(E22:P22)=0,"",AVERAGE(E22:P22))</f>
        <v>0</v>
      </c>
      <c r="R22" s="37">
        <f>IF(COUNT(E22:P22)=0,"",MIN(E22:P22))</f>
        <v>0</v>
      </c>
      <c r="S22" s="37">
        <f>IF(COUNT(E22:P22)=0,"",MAX(E22:P22))</f>
        <v>0</v>
      </c>
      <c r="W22">
        <f>IFERROR(IF(INDEX('Limites'!$F:$F,MATCH(gProdUS4,'Limites'!$B:$B,0))="","",INDEX('Limites'!$F:$F,MATCH(gProdUS4,'Limites'!$B:$B,0))),"")</f>
        <v>0</v>
      </c>
      <c r="X22">
        <f>IFERROR(IF(INDEX('Limites'!$G:$G,MATCH(gProdUS4,'Limites'!$B:$B,0))="","",INDEX('Limites'!$G:$G,MATCH(gProdUS4,'Limites'!$B:$B,0))),"")</f>
        <v>0</v>
      </c>
    </row>
    <row r="23" spans="1:24" ht="17" customHeight="1">
      <c r="A23" s="25" t="s">
        <v>235</v>
      </c>
      <c r="B23" s="38" t="s">
        <v>53</v>
      </c>
      <c r="C23" s="39" t="s">
        <v>35</v>
      </c>
      <c r="D23" s="40" t="s">
        <v>230</v>
      </c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36">
        <f>IF(COUNT(E23:P23)=0,"",AVERAGE(E23:P23))</f>
        <v>0</v>
      </c>
      <c r="R23" s="45">
        <f>IF(COUNT(E23:P23)=0,"",MIN(E23:P23))</f>
        <v>0</v>
      </c>
      <c r="S23" s="45">
        <f>IF(COUNT(E23:P23)=0,"",MAX(E23:P23))</f>
        <v>0</v>
      </c>
    </row>
    <row r="24" spans="1:24" ht="17" customHeight="1">
      <c r="A24" s="25" t="s">
        <v>236</v>
      </c>
      <c r="B24" s="38"/>
      <c r="C24" s="39"/>
      <c r="D24" s="46" t="s">
        <v>232</v>
      </c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36">
        <f>IF(COUNT(E24:P24)=0,"",AVERAGE(E24:P24))</f>
        <v>0</v>
      </c>
      <c r="R24" s="45">
        <f>IF(COUNT(E24:P24)=0,"",MIN(E24:P24))</f>
        <v>0</v>
      </c>
      <c r="S24" s="45">
        <f>IF(COUNT(E24:P24)=0,"",MAX(E24:P24))</f>
        <v>0</v>
      </c>
    </row>
    <row r="25" spans="1:24" ht="17" customHeight="1">
      <c r="A25" s="25" t="s">
        <v>237</v>
      </c>
      <c r="B25" s="32" t="s">
        <v>43</v>
      </c>
      <c r="C25" s="33" t="s">
        <v>35</v>
      </c>
      <c r="D25" s="34" t="s">
        <v>230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6">
        <f>IF(COUNT(E25:P25)=0,"",AVERAGE(E25:P25))</f>
        <v>0</v>
      </c>
      <c r="R25" s="37">
        <f>IF(COUNT(E25:P25)=0,"",MIN(E25:P25))</f>
        <v>0</v>
      </c>
      <c r="S25" s="37">
        <f>IF(COUNT(E25:P25)=0,"",MAX(E25:P25))</f>
        <v>0</v>
      </c>
      <c r="W25">
        <f>IFERROR(IF(INDEX('Limites'!$J:$J,MATCH(gProdUS3,'Limites'!$B:$B,0))="","",INDEX('Limites'!$J:$J,MATCH(gProdUS3,'Limites'!$B:$B,0))),"")</f>
        <v>0</v>
      </c>
      <c r="X25">
        <f>IFERROR(IF(INDEX('Limites'!$K:$K,MATCH(gProdUS3,'Limites'!$B:$B,0))="","",INDEX('Limites'!$K:$K,MATCH(gProdUS3,'Limites'!$B:$B,0))),"")</f>
        <v>0</v>
      </c>
    </row>
    <row r="26" spans="1:24" ht="17" customHeight="1">
      <c r="A26" s="25" t="s">
        <v>238</v>
      </c>
      <c r="B26" s="32"/>
      <c r="C26" s="33"/>
      <c r="D26" s="47" t="s">
        <v>232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6">
        <f>IF(COUNT(E26:P26)=0,"",AVERAGE(E26:P26))</f>
        <v>0</v>
      </c>
      <c r="R26" s="37">
        <f>IF(COUNT(E26:P26)=0,"",MIN(E26:P26))</f>
        <v>0</v>
      </c>
      <c r="S26" s="37">
        <f>IF(COUNT(E26:P26)=0,"",MAX(E26:P26))</f>
        <v>0</v>
      </c>
      <c r="W26">
        <f>IFERROR(IF(INDEX('Limites'!$J:$J,MATCH(gProdUS4,'Limites'!$B:$B,0))="","",INDEX('Limites'!$J:$J,MATCH(gProdUS4,'Limites'!$B:$B,0))),"")</f>
        <v>0</v>
      </c>
      <c r="X26">
        <f>IFERROR(IF(INDEX('Limites'!$K:$K,MATCH(gProdUS4,'Limites'!$B:$B,0))="","",INDEX('Limites'!$K:$K,MATCH(gProdUS4,'Limites'!$B:$B,0))),"")</f>
        <v>0</v>
      </c>
    </row>
    <row r="27" spans="1:24" ht="17" customHeight="1">
      <c r="A27" s="25" t="s">
        <v>239</v>
      </c>
      <c r="B27" s="38" t="s">
        <v>41</v>
      </c>
      <c r="C27" s="39" t="s">
        <v>35</v>
      </c>
      <c r="D27" s="40" t="s">
        <v>230</v>
      </c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36">
        <f>IF(COUNT(E27:P27)=0,"",AVERAGE(E27:P27))</f>
        <v>0</v>
      </c>
      <c r="R27" s="45">
        <f>IF(COUNT(E27:P27)=0,"",MIN(E27:P27))</f>
        <v>0</v>
      </c>
      <c r="S27" s="45">
        <f>IF(COUNT(E27:P27)=0,"",MAX(E27:P27))</f>
        <v>0</v>
      </c>
    </row>
    <row r="28" spans="1:24" ht="17" customHeight="1">
      <c r="A28" s="25" t="s">
        <v>240</v>
      </c>
      <c r="B28" s="38"/>
      <c r="C28" s="39"/>
      <c r="D28" s="46" t="s">
        <v>232</v>
      </c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36">
        <f>IF(COUNT(E28:P28)=0,"",AVERAGE(E28:P28))</f>
        <v>0</v>
      </c>
      <c r="R28" s="45">
        <f>IF(COUNT(E28:P28)=0,"",MIN(E28:P28))</f>
        <v>0</v>
      </c>
      <c r="S28" s="45">
        <f>IF(COUNT(E28:P28)=0,"",MAX(E28:P28))</f>
        <v>0</v>
      </c>
    </row>
    <row r="29" spans="1:24" ht="17" customHeight="1">
      <c r="A29" s="25" t="s">
        <v>241</v>
      </c>
      <c r="B29" s="32" t="s">
        <v>60</v>
      </c>
      <c r="C29" s="33" t="s">
        <v>61</v>
      </c>
      <c r="D29" s="34" t="s">
        <v>230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6">
        <f>IF(COUNT(E29:P29)=0,"",AVERAGE(E29:P29))</f>
        <v>0</v>
      </c>
      <c r="R29" s="37">
        <f>IF(COUNT(E29:P29)=0,"",MIN(E29:P29))</f>
        <v>0</v>
      </c>
      <c r="S29" s="37">
        <f>IF(COUNT(E29:P29)=0,"",MAX(E29:P29))</f>
        <v>0</v>
      </c>
      <c r="W29">
        <f>IFERROR(IF(INDEX('Limites'!$L:$L,MATCH(gProdUS3,'Limites'!$B:$B,0))="","",INDEX('Limites'!$L:$L,MATCH(gProdUS3,'Limites'!$B:$B,0))),"")</f>
        <v>0</v>
      </c>
      <c r="X29">
        <f>IFERROR(IF(INDEX('Limites'!$M:$M,MATCH(gProdUS3,'Limites'!$B:$B,0))="","",INDEX('Limites'!$M:$M,MATCH(gProdUS3,'Limites'!$B:$B,0))),"")</f>
        <v>0</v>
      </c>
    </row>
    <row r="30" spans="1:24" ht="17" customHeight="1">
      <c r="A30" s="25" t="s">
        <v>242</v>
      </c>
      <c r="B30" s="32"/>
      <c r="C30" s="33"/>
      <c r="D30" s="47" t="s">
        <v>232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6">
        <f>IF(COUNT(E30:P30)=0,"",AVERAGE(E30:P30))</f>
        <v>0</v>
      </c>
      <c r="R30" s="37">
        <f>IF(COUNT(E30:P30)=0,"",MIN(E30:P30))</f>
        <v>0</v>
      </c>
      <c r="S30" s="37">
        <f>IF(COUNT(E30:P30)=0,"",MAX(E30:P30))</f>
        <v>0</v>
      </c>
      <c r="W30">
        <f>IFERROR(IF(INDEX('Limites'!$L:$L,MATCH(gProdUS4,'Limites'!$B:$B,0))="","",INDEX('Limites'!$L:$L,MATCH(gProdUS4,'Limites'!$B:$B,0))),"")</f>
        <v>0</v>
      </c>
      <c r="X30">
        <f>IFERROR(IF(INDEX('Limites'!$M:$M,MATCH(gProdUS4,'Limites'!$B:$B,0))="","",INDEX('Limites'!$M:$M,MATCH(gProdUS4,'Limites'!$B:$B,0))),"")</f>
        <v>0</v>
      </c>
    </row>
    <row r="31" spans="1:24" ht="17" customHeight="1">
      <c r="A31" s="25" t="s">
        <v>243</v>
      </c>
      <c r="B31" s="38" t="s">
        <v>64</v>
      </c>
      <c r="C31" s="39" t="s">
        <v>35</v>
      </c>
      <c r="D31" s="40" t="s">
        <v>230</v>
      </c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2">
        <f>IF(COUNT(E31:P31)=0,"",AVERAGE(E31:P31))</f>
        <v>0</v>
      </c>
      <c r="R31" s="43">
        <f>IF(COUNT(E31:P31)=0,"",MIN(E31:P31))</f>
        <v>0</v>
      </c>
      <c r="S31" s="43">
        <f>IF(COUNT(E31:P31)=0,"",MAX(E31:P31))</f>
        <v>0</v>
      </c>
    </row>
    <row r="32" spans="1:24" ht="17" customHeight="1">
      <c r="A32" s="25" t="s">
        <v>244</v>
      </c>
      <c r="B32" s="38"/>
      <c r="C32" s="39"/>
      <c r="D32" s="46" t="s">
        <v>232</v>
      </c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2">
        <f>IF(COUNT(E32:P32)=0,"",AVERAGE(E32:P32))</f>
        <v>0</v>
      </c>
      <c r="R32" s="43">
        <f>IF(COUNT(E32:P32)=0,"",MIN(E32:P32))</f>
        <v>0</v>
      </c>
      <c r="S32" s="43">
        <f>IF(COUNT(E32:P32)=0,"",MAX(E32:P32))</f>
        <v>0</v>
      </c>
    </row>
    <row r="33" spans="2:19" ht="16" customHeight="1">
      <c r="B33" s="56" t="s">
        <v>245</v>
      </c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</row>
  </sheetData>
  <sheetProtection sheet="1" objects="1" scenarios="1" formatColumns="0" formatRows="0"/>
  <mergeCells count="26">
    <mergeCell ref="E2:S2"/>
    <mergeCell ref="E3:S3"/>
    <mergeCell ref="C6:D6"/>
    <mergeCell ref="E6:G6"/>
    <mergeCell ref="I6:K6"/>
    <mergeCell ref="L6:S6"/>
    <mergeCell ref="C8:D8"/>
    <mergeCell ref="C9:D9"/>
    <mergeCell ref="B10:S10"/>
    <mergeCell ref="B12:S12"/>
    <mergeCell ref="B18:S18"/>
    <mergeCell ref="B19:B20"/>
    <mergeCell ref="C19:C20"/>
    <mergeCell ref="B21:B22"/>
    <mergeCell ref="C21:C22"/>
    <mergeCell ref="B23:B24"/>
    <mergeCell ref="C23:C24"/>
    <mergeCell ref="B25:B26"/>
    <mergeCell ref="C25:C26"/>
    <mergeCell ref="B27:B28"/>
    <mergeCell ref="C27:C28"/>
    <mergeCell ref="B29:B30"/>
    <mergeCell ref="C29:C30"/>
    <mergeCell ref="B31:B32"/>
    <mergeCell ref="C31:C32"/>
    <mergeCell ref="B33:S33"/>
  </mergeCells>
  <conditionalFormatting sqref="E13:Q13">
    <cfRule type="expression" dxfId="1" priority="1">
      <formula>AND(ISNUMBER(E13),OR(AND(ISNUMBER($W13),ROUND(E13,2)&lt;$W13),AND(ISNUMBER($X13),ROUND(E13,2)&gt;$X13)))</formula>
    </cfRule>
    <cfRule type="expression" dxfId="2" priority="2">
      <formula>AND(ISNUMBER(E13),OR(ISNUMBER($W13),ISNUMBER($X13)),NOT(OR(AND(ISNUMBER($W13),ROUND(E13,2)&lt;$W13),AND(ISNUMBER($X13),ROUND(E13,2)&gt;$X13))))</formula>
    </cfRule>
  </conditionalFormatting>
  <conditionalFormatting sqref="E14:Q14">
    <cfRule type="expression" dxfId="1" priority="3">
      <formula>AND(ISNUMBER(E14),OR(AND(ISNUMBER($W14),ROUND(E14,3)&lt;$W14),AND(ISNUMBER($X14),ROUND(E14,3)&gt;$X14)))</formula>
    </cfRule>
    <cfRule type="expression" dxfId="2" priority="4">
      <formula>AND(ISNUMBER(E14),OR(ISNUMBER($W14),ISNUMBER($X14)),NOT(OR(AND(ISNUMBER($W14),ROUND(E14,3)&lt;$W14),AND(ISNUMBER($X14),ROUND(E14,3)&gt;$X14))))</formula>
    </cfRule>
  </conditionalFormatting>
  <conditionalFormatting sqref="E17:Q17">
    <cfRule type="expression" dxfId="1" priority="5">
      <formula>AND(ISNUMBER(E17),OR(AND(ISNUMBER($W17),ROUND(E17,2)&lt;$W17),AND(ISNUMBER($X17),ROUND(E17,2)&gt;$X17)))</formula>
    </cfRule>
    <cfRule type="expression" dxfId="2" priority="6">
      <formula>AND(ISNUMBER(E17),OR(ISNUMBER($W17),ISNUMBER($X17)),NOT(OR(AND(ISNUMBER($W17),ROUND(E17,2)&lt;$W17),AND(ISNUMBER($X17),ROUND(E17,2)&gt;$X17))))</formula>
    </cfRule>
  </conditionalFormatting>
  <conditionalFormatting sqref="E19:Q19">
    <cfRule type="expression" dxfId="1" priority="7">
      <formula>AND(ISNUMBER(E19),OR(AND(ISNUMBER($W19),ROUND(E19,2)&lt;$W19),AND(ISNUMBER($X19),ROUND(E19,2)&gt;$X19)))</formula>
    </cfRule>
    <cfRule type="expression" dxfId="2" priority="8">
      <formula>AND(ISNUMBER(E19),OR(ISNUMBER($W19),ISNUMBER($X19)),NOT(OR(AND(ISNUMBER($W19),ROUND(E19,2)&lt;$W19),AND(ISNUMBER($X19),ROUND(E19,2)&gt;$X19))))</formula>
    </cfRule>
  </conditionalFormatting>
  <conditionalFormatting sqref="E20:Q20">
    <cfRule type="expression" dxfId="1" priority="9">
      <formula>AND(ISNUMBER(E20),OR(AND(ISNUMBER($W20),ROUND(E20,2)&lt;$W20),AND(ISNUMBER($X20),ROUND(E20,2)&gt;$X20)))</formula>
    </cfRule>
    <cfRule type="expression" dxfId="2" priority="10">
      <formula>AND(ISNUMBER(E20),OR(ISNUMBER($W20),ISNUMBER($X20)),NOT(OR(AND(ISNUMBER($W20),ROUND(E20,2)&lt;$W20),AND(ISNUMBER($X20),ROUND(E20,2)&gt;$X20))))</formula>
    </cfRule>
  </conditionalFormatting>
  <conditionalFormatting sqref="E21:Q21">
    <cfRule type="expression" dxfId="1" priority="11">
      <formula>AND(ISNUMBER(E21),OR(AND(ISNUMBER($W21),ROUND(E21,2)&lt;$W21),AND(ISNUMBER($X21),ROUND(E21,2)&gt;$X21)))</formula>
    </cfRule>
    <cfRule type="expression" dxfId="2" priority="12">
      <formula>AND(ISNUMBER(E21),OR(ISNUMBER($W21),ISNUMBER($X21)),NOT(OR(AND(ISNUMBER($W21),ROUND(E21,2)&lt;$W21),AND(ISNUMBER($X21),ROUND(E21,2)&gt;$X21))))</formula>
    </cfRule>
  </conditionalFormatting>
  <conditionalFormatting sqref="E22:Q22">
    <cfRule type="expression" dxfId="1" priority="13">
      <formula>AND(ISNUMBER(E22),OR(AND(ISNUMBER($W22),ROUND(E22,2)&lt;$W22),AND(ISNUMBER($X22),ROUND(E22,2)&gt;$X22)))</formula>
    </cfRule>
    <cfRule type="expression" dxfId="2" priority="14">
      <formula>AND(ISNUMBER(E22),OR(ISNUMBER($W22),ISNUMBER($X22)),NOT(OR(AND(ISNUMBER($W22),ROUND(E22,2)&lt;$W22),AND(ISNUMBER($X22),ROUND(E22,2)&gt;$X22))))</formula>
    </cfRule>
  </conditionalFormatting>
  <conditionalFormatting sqref="E25:Q25">
    <cfRule type="expression" dxfId="1" priority="15">
      <formula>AND(ISNUMBER(E25),OR(AND(ISNUMBER($W25),ROUND(E25,2)&lt;$W25),AND(ISNUMBER($X25),ROUND(E25,2)&gt;$X25)))</formula>
    </cfRule>
    <cfRule type="expression" dxfId="2" priority="16">
      <formula>AND(ISNUMBER(E25),OR(ISNUMBER($W25),ISNUMBER($X25)),NOT(OR(AND(ISNUMBER($W25),ROUND(E25,2)&lt;$W25),AND(ISNUMBER($X25),ROUND(E25,2)&gt;$X25))))</formula>
    </cfRule>
  </conditionalFormatting>
  <conditionalFormatting sqref="E26:Q26">
    <cfRule type="expression" dxfId="1" priority="17">
      <formula>AND(ISNUMBER(E26),OR(AND(ISNUMBER($W26),ROUND(E26,2)&lt;$W26),AND(ISNUMBER($X26),ROUND(E26,2)&gt;$X26)))</formula>
    </cfRule>
    <cfRule type="expression" dxfId="2" priority="18">
      <formula>AND(ISNUMBER(E26),OR(ISNUMBER($W26),ISNUMBER($X26)),NOT(OR(AND(ISNUMBER($W26),ROUND(E26,2)&lt;$W26),AND(ISNUMBER($X26),ROUND(E26,2)&gt;$X26))))</formula>
    </cfRule>
  </conditionalFormatting>
  <conditionalFormatting sqref="E29:Q29">
    <cfRule type="expression" dxfId="1" priority="19">
      <formula>AND(ISNUMBER(E29),OR(AND(ISNUMBER($W29),ROUND(E29,2)&lt;$W29),AND(ISNUMBER($X29),ROUND(E29,2)&gt;$X29)))</formula>
    </cfRule>
    <cfRule type="expression" dxfId="2" priority="20">
      <formula>AND(ISNUMBER(E29),OR(ISNUMBER($W29),ISNUMBER($X29)),NOT(OR(AND(ISNUMBER($W29),ROUND(E29,2)&lt;$W29),AND(ISNUMBER($X29),ROUND(E29,2)&gt;$X29))))</formula>
    </cfRule>
  </conditionalFormatting>
  <conditionalFormatting sqref="E30:Q30">
    <cfRule type="expression" dxfId="1" priority="21">
      <formula>AND(ISNUMBER(E30),OR(AND(ISNUMBER($W30),ROUND(E30,2)&lt;$W30),AND(ISNUMBER($X30),ROUND(E30,2)&gt;$X30)))</formula>
    </cfRule>
    <cfRule type="expression" dxfId="2" priority="22">
      <formula>AND(ISNUMBER(E30),OR(ISNUMBER($W30),ISNUMBER($X30)),NOT(OR(AND(ISNUMBER($W30),ROUND(E30,2)&lt;$W30),AND(ISNUMBER($X30),ROUND(E30,2)&gt;$X30))))</formula>
    </cfRule>
  </conditionalFormatting>
  <dataValidations count="4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  <dataValidation type="list" allowBlank="1" showInputMessage="1" showErrorMessage="1" sqref="C8">
      <formula1>lstProdutos</formula1>
    </dataValidation>
    <dataValidation type="list" allowBlank="1" showInputMessage="1" showErrorMessage="1" sqref="C9">
      <formula1>lstProdutos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imites">
    <pageSetUpPr fitToPage="1"/>
  </sheetPr>
  <dimension ref="A1:S37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2.7109375" customWidth="1"/>
    <col min="2" max="2" width="14.7109375" customWidth="1"/>
    <col min="3" max="3" width="12.7109375" customWidth="1"/>
    <col min="4" max="19" width="9.28515625" customWidth="1"/>
    <col min="20" max="20" width="3.7109375" customWidth="1"/>
  </cols>
  <sheetData>
    <row r="1" spans="2:19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19" ht="34" customHeight="1">
      <c r="B2" s="1"/>
      <c r="C2" s="1"/>
      <c r="D2" s="1"/>
      <c r="E2" s="2" t="s">
        <v>99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" customHeight="1">
      <c r="B3" s="1"/>
      <c r="C3" s="1"/>
      <c r="D3" s="1"/>
      <c r="E3" s="3" t="s">
        <v>100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19" ht="8" customHeight="1"/>
    <row r="6" spans="2:19" ht="30" customHeight="1">
      <c r="B6" s="57" t="s">
        <v>101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</row>
    <row r="7" spans="2:19" ht="30" customHeight="1">
      <c r="B7" s="31" t="s">
        <v>102</v>
      </c>
      <c r="C7" s="31" t="s">
        <v>103</v>
      </c>
      <c r="D7" s="31" t="s">
        <v>104</v>
      </c>
      <c r="E7" s="31"/>
      <c r="F7" s="31"/>
      <c r="G7" s="31"/>
      <c r="H7" s="31"/>
      <c r="I7" s="31"/>
      <c r="J7" s="31"/>
      <c r="K7" s="31"/>
      <c r="L7" s="31"/>
      <c r="M7" s="31"/>
      <c r="N7" s="31" t="s">
        <v>105</v>
      </c>
      <c r="O7" s="31"/>
      <c r="P7" s="31"/>
      <c r="Q7" s="31"/>
      <c r="R7" s="31"/>
      <c r="S7" s="31"/>
    </row>
    <row r="8" spans="2:19">
      <c r="B8" s="31"/>
      <c r="C8" s="31"/>
      <c r="D8" s="58" t="s">
        <v>106</v>
      </c>
      <c r="E8" s="58" t="s">
        <v>107</v>
      </c>
      <c r="F8" s="58" t="s">
        <v>108</v>
      </c>
      <c r="G8" s="58" t="s">
        <v>109</v>
      </c>
      <c r="H8" s="58" t="s">
        <v>110</v>
      </c>
      <c r="I8" s="58" t="s">
        <v>111</v>
      </c>
      <c r="J8" s="58" t="s">
        <v>112</v>
      </c>
      <c r="K8" s="58" t="s">
        <v>113</v>
      </c>
      <c r="L8" s="58" t="s">
        <v>114</v>
      </c>
      <c r="M8" s="58" t="s">
        <v>115</v>
      </c>
      <c r="N8" s="58" t="s">
        <v>108</v>
      </c>
      <c r="O8" s="58" t="s">
        <v>109</v>
      </c>
      <c r="P8" s="58" t="s">
        <v>110</v>
      </c>
      <c r="Q8" s="58" t="s">
        <v>111</v>
      </c>
      <c r="R8" s="58" t="s">
        <v>116</v>
      </c>
      <c r="S8" s="58" t="s">
        <v>117</v>
      </c>
    </row>
    <row r="9" spans="2:19" ht="17" customHeight="1">
      <c r="B9" s="59" t="s">
        <v>118</v>
      </c>
      <c r="C9" s="60" t="s">
        <v>119</v>
      </c>
      <c r="D9" s="61">
        <v>67.39</v>
      </c>
      <c r="E9" s="61"/>
      <c r="F9" s="61"/>
      <c r="G9" s="61">
        <v>1.54</v>
      </c>
      <c r="H9" s="62"/>
      <c r="I9" s="62">
        <v>0.05</v>
      </c>
      <c r="J9" s="61">
        <v>0.7</v>
      </c>
      <c r="K9" s="61"/>
      <c r="L9" s="61"/>
      <c r="M9" s="61"/>
      <c r="N9" s="61"/>
      <c r="O9" s="61">
        <v>1.36</v>
      </c>
      <c r="P9" s="62"/>
      <c r="Q9" s="62">
        <v>0.05</v>
      </c>
      <c r="R9" s="61"/>
      <c r="S9" s="61">
        <v>4.3</v>
      </c>
    </row>
    <row r="10" spans="2:19" ht="17" customHeight="1">
      <c r="B10" s="59" t="s">
        <v>120</v>
      </c>
      <c r="C10" s="60" t="s">
        <v>121</v>
      </c>
      <c r="D10" s="61">
        <v>67.19</v>
      </c>
      <c r="E10" s="61"/>
      <c r="F10" s="61"/>
      <c r="G10" s="61">
        <v>2.05</v>
      </c>
      <c r="H10" s="62"/>
      <c r="I10" s="62">
        <v>0.074</v>
      </c>
      <c r="J10" s="61">
        <v>0.65</v>
      </c>
      <c r="K10" s="61"/>
      <c r="L10" s="61"/>
      <c r="M10" s="61"/>
      <c r="N10" s="61"/>
      <c r="O10" s="61">
        <v>1.99</v>
      </c>
      <c r="P10" s="62"/>
      <c r="Q10" s="62">
        <v>0.075</v>
      </c>
      <c r="R10" s="61"/>
      <c r="S10" s="61">
        <v>4.3</v>
      </c>
    </row>
    <row r="11" spans="2:19" ht="17" customHeight="1">
      <c r="B11" s="59" t="s">
        <v>122</v>
      </c>
      <c r="C11" s="60" t="s">
        <v>123</v>
      </c>
      <c r="D11" s="61">
        <v>65.3</v>
      </c>
      <c r="E11" s="61"/>
      <c r="F11" s="61"/>
      <c r="G11" s="61">
        <v>3.45</v>
      </c>
      <c r="H11" s="62"/>
      <c r="I11" s="62">
        <v>0.074</v>
      </c>
      <c r="J11" s="61"/>
      <c r="K11" s="61"/>
      <c r="L11" s="61"/>
      <c r="M11" s="61">
        <v>0.55</v>
      </c>
      <c r="N11" s="61"/>
      <c r="O11" s="61">
        <v>2.5</v>
      </c>
      <c r="P11" s="62"/>
      <c r="Q11" s="62">
        <v>0.075</v>
      </c>
      <c r="R11" s="61"/>
      <c r="S11" s="61">
        <v>4.3</v>
      </c>
    </row>
    <row r="12" spans="2:19" ht="17" customHeight="1">
      <c r="B12" s="59" t="s">
        <v>124</v>
      </c>
      <c r="C12" s="60" t="s">
        <v>123</v>
      </c>
      <c r="D12" s="61">
        <v>65.09999999999999</v>
      </c>
      <c r="E12" s="61"/>
      <c r="F12" s="61"/>
      <c r="G12" s="61">
        <v>3.2</v>
      </c>
      <c r="H12" s="62"/>
      <c r="I12" s="62">
        <v>0.074</v>
      </c>
      <c r="J12" s="61"/>
      <c r="K12" s="61"/>
      <c r="L12" s="61">
        <v>0.75</v>
      </c>
      <c r="M12" s="61"/>
      <c r="N12" s="61"/>
      <c r="O12" s="61">
        <v>2.5</v>
      </c>
      <c r="P12" s="62"/>
      <c r="Q12" s="62">
        <v>0.075</v>
      </c>
      <c r="R12" s="61"/>
      <c r="S12" s="61">
        <v>4.3</v>
      </c>
    </row>
    <row r="13" spans="2:19" ht="17" customHeight="1">
      <c r="B13" s="59" t="s">
        <v>125</v>
      </c>
      <c r="C13" s="60" t="s">
        <v>121</v>
      </c>
      <c r="D13" s="61">
        <v>65.3</v>
      </c>
      <c r="E13" s="61"/>
      <c r="F13" s="61"/>
      <c r="G13" s="61">
        <v>2.8</v>
      </c>
      <c r="H13" s="62"/>
      <c r="I13" s="62">
        <v>0.074</v>
      </c>
      <c r="J13" s="61"/>
      <c r="K13" s="61"/>
      <c r="L13" s="61">
        <v>0.95</v>
      </c>
      <c r="M13" s="61"/>
      <c r="N13" s="61"/>
      <c r="O13" s="61">
        <v>1.99</v>
      </c>
      <c r="P13" s="62"/>
      <c r="Q13" s="62">
        <v>0.075</v>
      </c>
      <c r="R13" s="61"/>
      <c r="S13" s="61">
        <v>4.3</v>
      </c>
    </row>
    <row r="14" spans="2:19" ht="17" customHeight="1">
      <c r="B14" s="59" t="s">
        <v>126</v>
      </c>
      <c r="C14" s="60" t="s">
        <v>121</v>
      </c>
      <c r="D14" s="61">
        <v>65</v>
      </c>
      <c r="E14" s="61"/>
      <c r="F14" s="61"/>
      <c r="G14" s="61">
        <v>3</v>
      </c>
      <c r="H14" s="62"/>
      <c r="I14" s="62">
        <v>0.07199999999999999</v>
      </c>
      <c r="J14" s="61"/>
      <c r="K14" s="61"/>
      <c r="L14" s="61">
        <v>1.1</v>
      </c>
      <c r="M14" s="61"/>
      <c r="N14" s="61"/>
      <c r="O14" s="61">
        <v>1.99</v>
      </c>
      <c r="P14" s="62"/>
      <c r="Q14" s="62">
        <v>0.075</v>
      </c>
      <c r="R14" s="61"/>
      <c r="S14" s="61">
        <v>4.3</v>
      </c>
    </row>
    <row r="15" spans="2:19" ht="17" customHeight="1">
      <c r="B15" s="59" t="s">
        <v>127</v>
      </c>
      <c r="C15" s="60" t="s">
        <v>128</v>
      </c>
      <c r="D15" s="61">
        <v>63.5</v>
      </c>
      <c r="E15" s="61"/>
      <c r="F15" s="61"/>
      <c r="G15" s="61">
        <v>5.3</v>
      </c>
      <c r="H15" s="62"/>
      <c r="I15" s="62">
        <v>0.1</v>
      </c>
      <c r="J15" s="61"/>
      <c r="K15" s="61"/>
      <c r="L15" s="61">
        <v>0.4</v>
      </c>
      <c r="M15" s="61"/>
      <c r="N15" s="61"/>
      <c r="O15" s="61">
        <v>5.3</v>
      </c>
      <c r="P15" s="62"/>
      <c r="Q15" s="62">
        <v>0.11</v>
      </c>
      <c r="R15" s="61"/>
      <c r="S15" s="61">
        <v>4.3</v>
      </c>
    </row>
    <row r="16" spans="2:19" ht="17" customHeight="1">
      <c r="B16" s="59"/>
      <c r="C16" s="60"/>
      <c r="D16" s="61"/>
      <c r="E16" s="61"/>
      <c r="F16" s="61"/>
      <c r="G16" s="61"/>
      <c r="H16" s="62"/>
      <c r="I16" s="62"/>
      <c r="J16" s="61"/>
      <c r="K16" s="61"/>
      <c r="L16" s="61"/>
      <c r="M16" s="61"/>
      <c r="N16" s="61"/>
      <c r="O16" s="61"/>
      <c r="P16" s="62"/>
      <c r="Q16" s="62"/>
      <c r="R16" s="61"/>
      <c r="S16" s="61"/>
    </row>
    <row r="17" spans="2:19" ht="17" customHeight="1">
      <c r="B17" s="59"/>
      <c r="C17" s="60"/>
      <c r="D17" s="61"/>
      <c r="E17" s="61"/>
      <c r="F17" s="61"/>
      <c r="G17" s="61"/>
      <c r="H17" s="62"/>
      <c r="I17" s="62"/>
      <c r="J17" s="61"/>
      <c r="K17" s="61"/>
      <c r="L17" s="61"/>
      <c r="M17" s="61"/>
      <c r="N17" s="61"/>
      <c r="O17" s="61"/>
      <c r="P17" s="62"/>
      <c r="Q17" s="62"/>
      <c r="R17" s="61"/>
      <c r="S17" s="61"/>
    </row>
    <row r="18" spans="2:19" ht="17" customHeight="1">
      <c r="B18" s="59"/>
      <c r="C18" s="60"/>
      <c r="D18" s="61"/>
      <c r="E18" s="61"/>
      <c r="F18" s="61"/>
      <c r="G18" s="61"/>
      <c r="H18" s="62"/>
      <c r="I18" s="62"/>
      <c r="J18" s="61"/>
      <c r="K18" s="61"/>
      <c r="L18" s="61"/>
      <c r="M18" s="61"/>
      <c r="N18" s="61"/>
      <c r="O18" s="61"/>
      <c r="P18" s="62"/>
      <c r="Q18" s="62"/>
      <c r="R18" s="61"/>
      <c r="S18" s="61"/>
    </row>
    <row r="19" spans="2:19" ht="17" customHeight="1">
      <c r="B19" s="59"/>
      <c r="C19" s="60"/>
      <c r="D19" s="61"/>
      <c r="E19" s="61"/>
      <c r="F19" s="61"/>
      <c r="G19" s="61"/>
      <c r="H19" s="62"/>
      <c r="I19" s="62"/>
      <c r="J19" s="61"/>
      <c r="K19" s="61"/>
      <c r="L19" s="61"/>
      <c r="M19" s="61"/>
      <c r="N19" s="61"/>
      <c r="O19" s="61"/>
      <c r="P19" s="62"/>
      <c r="Q19" s="62"/>
      <c r="R19" s="61"/>
      <c r="S19" s="61"/>
    </row>
    <row r="20" spans="2:19" ht="17" customHeight="1">
      <c r="B20" s="59"/>
      <c r="C20" s="60"/>
      <c r="D20" s="61"/>
      <c r="E20" s="61"/>
      <c r="F20" s="61"/>
      <c r="G20" s="61"/>
      <c r="H20" s="62"/>
      <c r="I20" s="62"/>
      <c r="J20" s="61"/>
      <c r="K20" s="61"/>
      <c r="L20" s="61"/>
      <c r="M20" s="61"/>
      <c r="N20" s="61"/>
      <c r="O20" s="61"/>
      <c r="P20" s="62"/>
      <c r="Q20" s="62"/>
      <c r="R20" s="61"/>
      <c r="S20" s="61"/>
    </row>
    <row r="21" spans="2:19" ht="17" customHeight="1">
      <c r="B21" s="59"/>
      <c r="C21" s="60"/>
      <c r="D21" s="61"/>
      <c r="E21" s="61"/>
      <c r="F21" s="61"/>
      <c r="G21" s="61"/>
      <c r="H21" s="62"/>
      <c r="I21" s="62"/>
      <c r="J21" s="61"/>
      <c r="K21" s="61"/>
      <c r="L21" s="61"/>
      <c r="M21" s="61"/>
      <c r="N21" s="61"/>
      <c r="O21" s="61"/>
      <c r="P21" s="62"/>
      <c r="Q21" s="62"/>
      <c r="R21" s="61"/>
      <c r="S21" s="61"/>
    </row>
    <row r="22" spans="2:19" ht="17" customHeight="1">
      <c r="B22" s="59"/>
      <c r="C22" s="60"/>
      <c r="D22" s="61"/>
      <c r="E22" s="61"/>
      <c r="F22" s="61"/>
      <c r="G22" s="61"/>
      <c r="H22" s="62"/>
      <c r="I22" s="62"/>
      <c r="J22" s="61"/>
      <c r="K22" s="61"/>
      <c r="L22" s="61"/>
      <c r="M22" s="61"/>
      <c r="N22" s="61"/>
      <c r="O22" s="61"/>
      <c r="P22" s="62"/>
      <c r="Q22" s="62"/>
      <c r="R22" s="61"/>
      <c r="S22" s="61"/>
    </row>
    <row r="23" spans="2:19" ht="17" customHeight="1">
      <c r="B23" s="59"/>
      <c r="C23" s="60"/>
      <c r="D23" s="61"/>
      <c r="E23" s="61"/>
      <c r="F23" s="61"/>
      <c r="G23" s="61"/>
      <c r="H23" s="62"/>
      <c r="I23" s="62"/>
      <c r="J23" s="61"/>
      <c r="K23" s="61"/>
      <c r="L23" s="61"/>
      <c r="M23" s="61"/>
      <c r="N23" s="61"/>
      <c r="O23" s="61"/>
      <c r="P23" s="62"/>
      <c r="Q23" s="62"/>
      <c r="R23" s="61"/>
      <c r="S23" s="61"/>
    </row>
    <row r="24" spans="2:19" ht="17" customHeight="1">
      <c r="B24" s="59"/>
      <c r="C24" s="60"/>
      <c r="D24" s="61"/>
      <c r="E24" s="61"/>
      <c r="F24" s="61"/>
      <c r="G24" s="61"/>
      <c r="H24" s="62"/>
      <c r="I24" s="62"/>
      <c r="J24" s="61"/>
      <c r="K24" s="61"/>
      <c r="L24" s="61"/>
      <c r="M24" s="61"/>
      <c r="N24" s="61"/>
      <c r="O24" s="61"/>
      <c r="P24" s="62"/>
      <c r="Q24" s="62"/>
      <c r="R24" s="61"/>
      <c r="S24" s="61"/>
    </row>
    <row r="25" spans="2:19" ht="17" customHeight="1">
      <c r="B25" s="59"/>
      <c r="C25" s="60"/>
      <c r="D25" s="61"/>
      <c r="E25" s="61"/>
      <c r="F25" s="61"/>
      <c r="G25" s="61"/>
      <c r="H25" s="62"/>
      <c r="I25" s="62"/>
      <c r="J25" s="61"/>
      <c r="K25" s="61"/>
      <c r="L25" s="61"/>
      <c r="M25" s="61"/>
      <c r="N25" s="61"/>
      <c r="O25" s="61"/>
      <c r="P25" s="62"/>
      <c r="Q25" s="62"/>
      <c r="R25" s="61"/>
      <c r="S25" s="61"/>
    </row>
    <row r="26" spans="2:19" ht="17" customHeight="1">
      <c r="B26" s="59"/>
      <c r="C26" s="60"/>
      <c r="D26" s="61"/>
      <c r="E26" s="61"/>
      <c r="F26" s="61"/>
      <c r="G26" s="61"/>
      <c r="H26" s="62"/>
      <c r="I26" s="62"/>
      <c r="J26" s="61"/>
      <c r="K26" s="61"/>
      <c r="L26" s="61"/>
      <c r="M26" s="61"/>
      <c r="N26" s="61"/>
      <c r="O26" s="61"/>
      <c r="P26" s="62"/>
      <c r="Q26" s="62"/>
      <c r="R26" s="61"/>
      <c r="S26" s="61"/>
    </row>
    <row r="27" spans="2:19" ht="17" customHeight="1">
      <c r="B27" s="59"/>
      <c r="C27" s="60"/>
      <c r="D27" s="61"/>
      <c r="E27" s="61"/>
      <c r="F27" s="61"/>
      <c r="G27" s="61"/>
      <c r="H27" s="62"/>
      <c r="I27" s="62"/>
      <c r="J27" s="61"/>
      <c r="K27" s="61"/>
      <c r="L27" s="61"/>
      <c r="M27" s="61"/>
      <c r="N27" s="61"/>
      <c r="O27" s="61"/>
      <c r="P27" s="62"/>
      <c r="Q27" s="62"/>
      <c r="R27" s="61"/>
      <c r="S27" s="61"/>
    </row>
    <row r="28" spans="2:19" ht="17" customHeight="1">
      <c r="B28" s="59"/>
      <c r="C28" s="60"/>
      <c r="D28" s="61"/>
      <c r="E28" s="61"/>
      <c r="F28" s="61"/>
      <c r="G28" s="61"/>
      <c r="H28" s="62"/>
      <c r="I28" s="62"/>
      <c r="J28" s="61"/>
      <c r="K28" s="61"/>
      <c r="L28" s="61"/>
      <c r="M28" s="61"/>
      <c r="N28" s="61"/>
      <c r="O28" s="61"/>
      <c r="P28" s="62"/>
      <c r="Q28" s="62"/>
      <c r="R28" s="61"/>
      <c r="S28" s="61"/>
    </row>
    <row r="29" spans="2:19" ht="17" customHeight="1">
      <c r="B29" s="59"/>
      <c r="C29" s="60"/>
      <c r="D29" s="61"/>
      <c r="E29" s="61"/>
      <c r="F29" s="61"/>
      <c r="G29" s="61"/>
      <c r="H29" s="62"/>
      <c r="I29" s="62"/>
      <c r="J29" s="61"/>
      <c r="K29" s="61"/>
      <c r="L29" s="61"/>
      <c r="M29" s="61"/>
      <c r="N29" s="61"/>
      <c r="O29" s="61"/>
      <c r="P29" s="62"/>
      <c r="Q29" s="62"/>
      <c r="R29" s="61"/>
      <c r="S29" s="61"/>
    </row>
    <row r="30" spans="2:19" ht="17" customHeight="1">
      <c r="B30" s="59"/>
      <c r="C30" s="60"/>
      <c r="D30" s="61"/>
      <c r="E30" s="61"/>
      <c r="F30" s="61"/>
      <c r="G30" s="61"/>
      <c r="H30" s="62"/>
      <c r="I30" s="62"/>
      <c r="J30" s="61"/>
      <c r="K30" s="61"/>
      <c r="L30" s="61"/>
      <c r="M30" s="61"/>
      <c r="N30" s="61"/>
      <c r="O30" s="61"/>
      <c r="P30" s="62"/>
      <c r="Q30" s="62"/>
      <c r="R30" s="61"/>
      <c r="S30" s="61"/>
    </row>
    <row r="31" spans="2:19" ht="17" customHeight="1">
      <c r="B31" s="59"/>
      <c r="C31" s="60"/>
      <c r="D31" s="61"/>
      <c r="E31" s="61"/>
      <c r="F31" s="61"/>
      <c r="G31" s="61"/>
      <c r="H31" s="62"/>
      <c r="I31" s="62"/>
      <c r="J31" s="61"/>
      <c r="K31" s="61"/>
      <c r="L31" s="61"/>
      <c r="M31" s="61"/>
      <c r="N31" s="61"/>
      <c r="O31" s="61"/>
      <c r="P31" s="62"/>
      <c r="Q31" s="62"/>
      <c r="R31" s="61"/>
      <c r="S31" s="61"/>
    </row>
    <row r="32" spans="2:19" ht="17" customHeight="1">
      <c r="B32" s="59"/>
      <c r="C32" s="60"/>
      <c r="D32" s="61"/>
      <c r="E32" s="61"/>
      <c r="F32" s="61"/>
      <c r="G32" s="61"/>
      <c r="H32" s="62"/>
      <c r="I32" s="62"/>
      <c r="J32" s="61"/>
      <c r="K32" s="61"/>
      <c r="L32" s="61"/>
      <c r="M32" s="61"/>
      <c r="N32" s="61"/>
      <c r="O32" s="61"/>
      <c r="P32" s="62"/>
      <c r="Q32" s="62"/>
      <c r="R32" s="61"/>
      <c r="S32" s="61"/>
    </row>
    <row r="33" spans="2:19" ht="17" customHeight="1">
      <c r="B33" s="59"/>
      <c r="C33" s="60"/>
      <c r="D33" s="61"/>
      <c r="E33" s="61"/>
      <c r="F33" s="61"/>
      <c r="G33" s="61"/>
      <c r="H33" s="62"/>
      <c r="I33" s="62"/>
      <c r="J33" s="61"/>
      <c r="K33" s="61"/>
      <c r="L33" s="61"/>
      <c r="M33" s="61"/>
      <c r="N33" s="61"/>
      <c r="O33" s="61"/>
      <c r="P33" s="62"/>
      <c r="Q33" s="62"/>
      <c r="R33" s="61"/>
      <c r="S33" s="61"/>
    </row>
    <row r="35" spans="2:19">
      <c r="B35" s="63" t="s">
        <v>129</v>
      </c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</row>
    <row r="36" spans="2:19"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</row>
    <row r="37" spans="2:19"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</row>
  </sheetData>
  <sheetProtection sheet="1" objects="1" scenarios="1" formatColumns="0" formatRows="0"/>
  <mergeCells count="8">
    <mergeCell ref="E2:S2"/>
    <mergeCell ref="E3:S3"/>
    <mergeCell ref="B6:S6"/>
    <mergeCell ref="B7:B8"/>
    <mergeCell ref="C7:C8"/>
    <mergeCell ref="D7:M7"/>
    <mergeCell ref="N7:S7"/>
    <mergeCell ref="B35:S37"/>
  </mergeCells>
  <pageMargins left="0.7" right="0.7" top="0.75" bottom="0.75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31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28" ht="34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4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5" t="s">
        <v>2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S5" s="64" t="s">
        <v>68</v>
      </c>
      <c r="T5" s="64"/>
      <c r="U5" s="64"/>
      <c r="V5" s="64"/>
      <c r="W5" s="64"/>
      <c r="X5" s="64"/>
      <c r="Y5" s="64"/>
      <c r="Z5" s="64"/>
      <c r="AA5" s="64"/>
      <c r="AB5" s="64"/>
    </row>
    <row r="6" spans="2:28" ht="20" customHeight="1">
      <c r="B6" s="65" t="s">
        <v>3</v>
      </c>
      <c r="C6" s="65"/>
      <c r="D6" s="60" t="s">
        <v>4</v>
      </c>
      <c r="E6" s="60"/>
      <c r="F6" s="60"/>
      <c r="G6" s="7" t="s">
        <v>5</v>
      </c>
      <c r="H6" s="7"/>
      <c r="I6" s="7"/>
      <c r="J6" s="7"/>
      <c r="S6" s="66" t="s">
        <v>69</v>
      </c>
      <c r="T6" s="66" t="s">
        <v>72</v>
      </c>
      <c r="U6" s="66" t="s">
        <v>77</v>
      </c>
      <c r="V6" s="66" t="s">
        <v>80</v>
      </c>
      <c r="W6" s="66" t="s">
        <v>83</v>
      </c>
      <c r="X6" s="66" t="s">
        <v>22</v>
      </c>
      <c r="Y6" s="66" t="s">
        <v>89</v>
      </c>
      <c r="Z6" s="66" t="s">
        <v>91</v>
      </c>
      <c r="AA6" s="66" t="s">
        <v>94</v>
      </c>
      <c r="AB6" s="66" t="s">
        <v>96</v>
      </c>
    </row>
    <row r="7" spans="2:28" ht="20" customHeight="1">
      <c r="B7" s="65" t="s">
        <v>6</v>
      </c>
      <c r="C7" s="65"/>
      <c r="D7" s="60" t="s">
        <v>7</v>
      </c>
      <c r="E7" s="60"/>
      <c r="F7" s="60"/>
      <c r="G7" s="7" t="s">
        <v>8</v>
      </c>
      <c r="H7" s="7"/>
      <c r="I7" s="7"/>
      <c r="J7" s="7"/>
      <c r="S7" s="67" t="s">
        <v>70</v>
      </c>
      <c r="T7" s="67" t="s">
        <v>73</v>
      </c>
      <c r="U7" s="67" t="s">
        <v>78</v>
      </c>
      <c r="V7" s="67" t="s">
        <v>81</v>
      </c>
      <c r="W7" s="67" t="s">
        <v>84</v>
      </c>
      <c r="X7" s="67" t="s">
        <v>36</v>
      </c>
      <c r="Y7" s="67" t="s">
        <v>4</v>
      </c>
      <c r="Z7" s="67" t="s">
        <v>92</v>
      </c>
      <c r="AA7" s="67" t="s">
        <v>38</v>
      </c>
      <c r="AB7" s="67" t="s">
        <v>97</v>
      </c>
    </row>
    <row r="8" spans="2:28" ht="20" customHeight="1">
      <c r="B8" s="65" t="s">
        <v>9</v>
      </c>
      <c r="C8" s="65"/>
      <c r="D8" s="68">
        <v>0.2916666666666667</v>
      </c>
      <c r="E8" s="68"/>
      <c r="F8" s="68"/>
      <c r="G8" s="7" t="s">
        <v>10</v>
      </c>
      <c r="H8" s="7"/>
      <c r="I8" s="7"/>
      <c r="J8" s="7"/>
      <c r="S8" s="67" t="s">
        <v>71</v>
      </c>
      <c r="T8" s="67" t="s">
        <v>74</v>
      </c>
      <c r="U8" s="67" t="s">
        <v>79</v>
      </c>
      <c r="V8" s="67" t="s">
        <v>82</v>
      </c>
      <c r="W8" s="67" t="s">
        <v>85</v>
      </c>
      <c r="X8" s="67" t="s">
        <v>87</v>
      </c>
      <c r="Y8" s="67" t="s">
        <v>90</v>
      </c>
      <c r="Z8" s="67" t="s">
        <v>93</v>
      </c>
      <c r="AA8" s="67" t="s">
        <v>95</v>
      </c>
      <c r="AB8" s="67" t="s">
        <v>14</v>
      </c>
    </row>
    <row r="9" spans="2:28" ht="20" customHeight="1">
      <c r="B9" s="65" t="s">
        <v>11</v>
      </c>
      <c r="C9" s="65"/>
      <c r="D9" s="60">
        <v>60</v>
      </c>
      <c r="E9" s="60"/>
      <c r="F9" s="60"/>
      <c r="G9" s="7" t="s">
        <v>12</v>
      </c>
      <c r="H9" s="7"/>
      <c r="I9" s="7"/>
      <c r="J9" s="7"/>
      <c r="T9" s="67" t="s">
        <v>75</v>
      </c>
      <c r="W9" s="67" t="s">
        <v>86</v>
      </c>
      <c r="X9" s="67" t="s">
        <v>88</v>
      </c>
      <c r="AB9" s="67" t="s">
        <v>98</v>
      </c>
    </row>
    <row r="10" spans="2:28" ht="20" customHeight="1">
      <c r="B10" s="65" t="s">
        <v>13</v>
      </c>
      <c r="C10" s="65"/>
      <c r="D10" s="60" t="s">
        <v>14</v>
      </c>
      <c r="E10" s="60"/>
      <c r="F10" s="60"/>
      <c r="G10" s="7" t="s">
        <v>15</v>
      </c>
      <c r="H10" s="7"/>
      <c r="I10" s="7"/>
      <c r="J10" s="7"/>
      <c r="T10" s="67" t="s">
        <v>76</v>
      </c>
    </row>
    <row r="15" spans="2:28" ht="28" customHeight="1">
      <c r="B15" s="69" t="s">
        <v>16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</row>
    <row r="16" spans="2:28" ht="22" customHeight="1">
      <c r="B16" s="15" t="s">
        <v>17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2:16" ht="32" customHeight="1">
      <c r="B17" s="70" t="s">
        <v>18</v>
      </c>
      <c r="C17" s="70" t="s">
        <v>19</v>
      </c>
      <c r="D17" s="70" t="s">
        <v>20</v>
      </c>
      <c r="E17" s="70" t="s">
        <v>21</v>
      </c>
      <c r="F17" s="70" t="s">
        <v>22</v>
      </c>
      <c r="G17" s="70" t="s">
        <v>23</v>
      </c>
      <c r="H17" s="70" t="s">
        <v>24</v>
      </c>
      <c r="I17" s="70" t="s">
        <v>25</v>
      </c>
      <c r="J17" s="70" t="s">
        <v>26</v>
      </c>
      <c r="K17" s="70" t="s">
        <v>27</v>
      </c>
      <c r="L17" s="70" t="s">
        <v>28</v>
      </c>
      <c r="M17" s="70" t="s">
        <v>29</v>
      </c>
      <c r="N17" s="70" t="s">
        <v>30</v>
      </c>
      <c r="O17" s="70" t="s">
        <v>31</v>
      </c>
      <c r="P17" s="70" t="s">
        <v>32</v>
      </c>
    </row>
    <row r="18" spans="2:16">
      <c r="B18" s="71" t="s">
        <v>33</v>
      </c>
      <c r="C18" s="72" t="s">
        <v>34</v>
      </c>
      <c r="D18" s="60" t="s">
        <v>35</v>
      </c>
      <c r="E18" s="60">
        <v>2</v>
      </c>
      <c r="F18" s="60" t="s">
        <v>36</v>
      </c>
      <c r="G18" s="73" t="s">
        <v>37</v>
      </c>
      <c r="H18" s="74" t="s">
        <v>38</v>
      </c>
      <c r="I18" s="75" t="str">
        <f>IF(G18="","",G18)</f>
        <v>M650030010-0004-HHLQU</v>
      </c>
      <c r="J18" s="74" t="s">
        <v>38</v>
      </c>
      <c r="K18" s="60"/>
      <c r="L18" s="60"/>
      <c r="M18" s="60">
        <v>0</v>
      </c>
      <c r="N18" s="60">
        <v>50000</v>
      </c>
      <c r="O18" s="60">
        <v>1.29</v>
      </c>
      <c r="P18" s="60">
        <v>1.29</v>
      </c>
    </row>
    <row r="19" spans="2:16">
      <c r="B19" s="76" t="s">
        <v>33</v>
      </c>
      <c r="C19" s="77" t="s">
        <v>39</v>
      </c>
      <c r="D19" s="60" t="s">
        <v>35</v>
      </c>
      <c r="E19" s="60">
        <v>3</v>
      </c>
      <c r="F19" s="60" t="s">
        <v>36</v>
      </c>
      <c r="G19" s="73" t="s">
        <v>40</v>
      </c>
      <c r="H19" s="74" t="s">
        <v>38</v>
      </c>
      <c r="I19" s="75" t="str">
        <f>IF(G19="","",G19)</f>
        <v>M650030010-0008-HHLQU</v>
      </c>
      <c r="J19" s="74" t="s">
        <v>38</v>
      </c>
      <c r="K19" s="60"/>
      <c r="L19" s="60"/>
      <c r="M19" s="60">
        <v>0</v>
      </c>
      <c r="N19" s="60">
        <v>50000</v>
      </c>
      <c r="O19" s="60">
        <v>0.04</v>
      </c>
      <c r="P19" s="60">
        <v>0.04</v>
      </c>
    </row>
    <row r="20" spans="2:16">
      <c r="B20" s="71" t="s">
        <v>33</v>
      </c>
      <c r="C20" s="72" t="s">
        <v>41</v>
      </c>
      <c r="D20" s="60" t="s">
        <v>35</v>
      </c>
      <c r="E20" s="60">
        <v>2</v>
      </c>
      <c r="F20" s="60" t="s">
        <v>36</v>
      </c>
      <c r="G20" s="73" t="s">
        <v>42</v>
      </c>
      <c r="H20" s="74" t="s">
        <v>38</v>
      </c>
      <c r="I20" s="75" t="str">
        <f>IF(G20="","",G20)</f>
        <v>M650030010-0007-HHLQU</v>
      </c>
      <c r="J20" s="74" t="s">
        <v>38</v>
      </c>
      <c r="K20" s="60"/>
      <c r="L20" s="60"/>
      <c r="M20" s="60">
        <v>0</v>
      </c>
      <c r="N20" s="60">
        <v>50000</v>
      </c>
      <c r="O20" s="60">
        <v>0.05</v>
      </c>
      <c r="P20" s="60">
        <v>0.05</v>
      </c>
    </row>
    <row r="21" spans="2:16">
      <c r="B21" s="76" t="s">
        <v>33</v>
      </c>
      <c r="C21" s="77" t="s">
        <v>43</v>
      </c>
      <c r="D21" s="60" t="s">
        <v>35</v>
      </c>
      <c r="E21" s="60">
        <v>2</v>
      </c>
      <c r="F21" s="60" t="s">
        <v>36</v>
      </c>
      <c r="G21" s="73" t="s">
        <v>44</v>
      </c>
      <c r="H21" s="74" t="s">
        <v>38</v>
      </c>
      <c r="I21" s="75" t="str">
        <f>IF(G21="","",G21)</f>
        <v>M650030010-0006-HHLQU</v>
      </c>
      <c r="J21" s="74" t="s">
        <v>38</v>
      </c>
      <c r="K21" s="60"/>
      <c r="L21" s="60"/>
      <c r="M21" s="60">
        <v>0</v>
      </c>
      <c r="N21" s="60">
        <v>50000</v>
      </c>
      <c r="O21" s="60">
        <v>0.09</v>
      </c>
      <c r="P21" s="60">
        <v>0.09</v>
      </c>
    </row>
    <row r="22" spans="2:16">
      <c r="B22" s="71" t="s">
        <v>33</v>
      </c>
      <c r="C22" s="72" t="s">
        <v>45</v>
      </c>
      <c r="D22" s="60" t="s">
        <v>35</v>
      </c>
      <c r="E22" s="60">
        <v>2</v>
      </c>
      <c r="F22" s="60" t="s">
        <v>36</v>
      </c>
      <c r="G22" s="73" t="s">
        <v>46</v>
      </c>
      <c r="H22" s="74" t="s">
        <v>38</v>
      </c>
      <c r="I22" s="75" t="str">
        <f>IF(G22="","",G22)</f>
        <v>M650030010-0013-HHLQU</v>
      </c>
      <c r="J22" s="74" t="s">
        <v>38</v>
      </c>
      <c r="K22" s="60"/>
      <c r="L22" s="60"/>
      <c r="M22" s="60">
        <v>0</v>
      </c>
      <c r="N22" s="60">
        <v>50000</v>
      </c>
      <c r="O22" s="60">
        <v>3.66</v>
      </c>
      <c r="P22" s="60">
        <v>3.66</v>
      </c>
    </row>
    <row r="23" spans="2:16">
      <c r="B23" s="76" t="s">
        <v>47</v>
      </c>
      <c r="C23" s="77" t="s">
        <v>48</v>
      </c>
      <c r="D23" s="60" t="s">
        <v>35</v>
      </c>
      <c r="E23" s="60">
        <v>2</v>
      </c>
      <c r="F23" s="60" t="s">
        <v>36</v>
      </c>
      <c r="G23" s="73" t="s">
        <v>49</v>
      </c>
      <c r="H23" s="74" t="s">
        <v>38</v>
      </c>
      <c r="I23" s="73" t="s">
        <v>50</v>
      </c>
      <c r="J23" s="74" t="s">
        <v>38</v>
      </c>
      <c r="K23" s="60"/>
      <c r="L23" s="60"/>
      <c r="M23" s="60">
        <v>0</v>
      </c>
      <c r="N23" s="60">
        <v>50000</v>
      </c>
      <c r="O23" s="60">
        <v>67.3</v>
      </c>
      <c r="P23" s="60">
        <v>65.59999999999999</v>
      </c>
    </row>
    <row r="24" spans="2:16">
      <c r="B24" s="71" t="s">
        <v>47</v>
      </c>
      <c r="C24" s="72" t="s">
        <v>34</v>
      </c>
      <c r="D24" s="60" t="s">
        <v>35</v>
      </c>
      <c r="E24" s="60">
        <v>2</v>
      </c>
      <c r="F24" s="60" t="s">
        <v>36</v>
      </c>
      <c r="G24" s="73" t="s">
        <v>51</v>
      </c>
      <c r="H24" s="74" t="s">
        <v>38</v>
      </c>
      <c r="I24" s="73" t="s">
        <v>52</v>
      </c>
      <c r="J24" s="74" t="s">
        <v>38</v>
      </c>
      <c r="K24" s="60"/>
      <c r="L24" s="60"/>
      <c r="M24" s="60">
        <v>0</v>
      </c>
      <c r="N24" s="60">
        <v>50000</v>
      </c>
      <c r="O24" s="60">
        <v>1.82</v>
      </c>
      <c r="P24" s="60">
        <v>2.9</v>
      </c>
    </row>
    <row r="25" spans="2:16">
      <c r="B25" s="76" t="s">
        <v>47</v>
      </c>
      <c r="C25" s="77" t="s">
        <v>53</v>
      </c>
      <c r="D25" s="60" t="s">
        <v>35</v>
      </c>
      <c r="E25" s="60">
        <v>2</v>
      </c>
      <c r="F25" s="60" t="s">
        <v>36</v>
      </c>
      <c r="G25" s="73" t="s">
        <v>54</v>
      </c>
      <c r="H25" s="74" t="s">
        <v>38</v>
      </c>
      <c r="I25" s="73" t="s">
        <v>55</v>
      </c>
      <c r="J25" s="74" t="s">
        <v>38</v>
      </c>
      <c r="K25" s="60"/>
      <c r="L25" s="60"/>
      <c r="M25" s="60">
        <v>0</v>
      </c>
      <c r="N25" s="60">
        <v>50000</v>
      </c>
      <c r="O25" s="60">
        <v>0.42</v>
      </c>
      <c r="P25" s="60">
        <v>0.44</v>
      </c>
    </row>
    <row r="26" spans="2:16">
      <c r="B26" s="71" t="s">
        <v>47</v>
      </c>
      <c r="C26" s="72" t="s">
        <v>43</v>
      </c>
      <c r="D26" s="60" t="s">
        <v>35</v>
      </c>
      <c r="E26" s="60">
        <v>2</v>
      </c>
      <c r="F26" s="60" t="s">
        <v>36</v>
      </c>
      <c r="G26" s="73" t="s">
        <v>56</v>
      </c>
      <c r="H26" s="74" t="s">
        <v>38</v>
      </c>
      <c r="I26" s="73" t="s">
        <v>57</v>
      </c>
      <c r="J26" s="74" t="s">
        <v>38</v>
      </c>
      <c r="K26" s="60"/>
      <c r="L26" s="60"/>
      <c r="M26" s="60">
        <v>0</v>
      </c>
      <c r="N26" s="60">
        <v>50000</v>
      </c>
      <c r="O26" s="60">
        <v>0.82</v>
      </c>
      <c r="P26" s="60">
        <v>1.4</v>
      </c>
    </row>
    <row r="27" spans="2:16">
      <c r="B27" s="76" t="s">
        <v>47</v>
      </c>
      <c r="C27" s="77" t="s">
        <v>41</v>
      </c>
      <c r="D27" s="60" t="s">
        <v>35</v>
      </c>
      <c r="E27" s="60">
        <v>2</v>
      </c>
      <c r="F27" s="60" t="s">
        <v>36</v>
      </c>
      <c r="G27" s="73" t="s">
        <v>58</v>
      </c>
      <c r="H27" s="74" t="s">
        <v>38</v>
      </c>
      <c r="I27" s="73" t="s">
        <v>59</v>
      </c>
      <c r="J27" s="74" t="s">
        <v>38</v>
      </c>
      <c r="K27" s="60"/>
      <c r="L27" s="60"/>
      <c r="M27" s="60">
        <v>0</v>
      </c>
      <c r="N27" s="60">
        <v>50000</v>
      </c>
      <c r="O27" s="60">
        <v>0.1</v>
      </c>
      <c r="P27" s="60">
        <v>0.11</v>
      </c>
    </row>
    <row r="28" spans="2:16">
      <c r="B28" s="71" t="s">
        <v>47</v>
      </c>
      <c r="C28" s="72" t="s">
        <v>60</v>
      </c>
      <c r="D28" s="60" t="s">
        <v>61</v>
      </c>
      <c r="E28" s="60">
        <v>2</v>
      </c>
      <c r="F28" s="60" t="s">
        <v>36</v>
      </c>
      <c r="G28" s="73" t="s">
        <v>62</v>
      </c>
      <c r="H28" s="74" t="s">
        <v>38</v>
      </c>
      <c r="I28" s="73" t="s">
        <v>63</v>
      </c>
      <c r="J28" s="74" t="s">
        <v>38</v>
      </c>
      <c r="K28" s="60"/>
      <c r="L28" s="60"/>
      <c r="M28" s="60">
        <v>0</v>
      </c>
      <c r="N28" s="60">
        <v>50000</v>
      </c>
      <c r="O28" s="60">
        <v>0.45</v>
      </c>
      <c r="P28" s="60">
        <v>0.48</v>
      </c>
    </row>
    <row r="29" spans="2:16">
      <c r="B29" s="76" t="s">
        <v>47</v>
      </c>
      <c r="C29" s="77" t="s">
        <v>64</v>
      </c>
      <c r="D29" s="60" t="s">
        <v>35</v>
      </c>
      <c r="E29" s="60">
        <v>3</v>
      </c>
      <c r="F29" s="60" t="s">
        <v>36</v>
      </c>
      <c r="G29" s="73" t="s">
        <v>65</v>
      </c>
      <c r="H29" s="74" t="s">
        <v>38</v>
      </c>
      <c r="I29" s="73" t="s">
        <v>66</v>
      </c>
      <c r="J29" s="74" t="s">
        <v>38</v>
      </c>
      <c r="K29" s="60"/>
      <c r="L29" s="60"/>
      <c r="M29" s="60">
        <v>0</v>
      </c>
      <c r="N29" s="60">
        <v>50000</v>
      </c>
      <c r="O29" s="60">
        <v>0.07000000000000001</v>
      </c>
      <c r="P29" s="60">
        <v>0.07099999999999999</v>
      </c>
    </row>
    <row r="31" spans="2:16">
      <c r="C31" s="78" t="s">
        <v>67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AB5"/>
  </mergeCells>
  <conditionalFormatting sqref="G18:G29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29">
      <formula1>lstAgreg</formula1>
    </dataValidation>
    <dataValidation type="list" allowBlank="1" showInputMessage="1" showErrorMessage="1" sqref="H18:H29">
      <formula1>lstTipo</formula1>
    </dataValidation>
    <dataValidation type="list" allowBlank="1" showInputMessage="1" showErrorMessage="1" sqref="J18:J29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Y14"/>
  <sheetViews>
    <sheetView showGridLines="0" workbookViewId="0"/>
  </sheetViews>
  <sheetFormatPr defaultRowHeight="15"/>
  <cols>
    <col min="1" max="1" width="18.7109375" style="79" customWidth="1"/>
    <col min="2" max="25" width="14.7109375" customWidth="1"/>
  </cols>
  <sheetData>
    <row r="1" spans="1:25">
      <c r="A1" s="80" t="s">
        <v>130</v>
      </c>
    </row>
    <row r="3" spans="1:25">
      <c r="A3" s="81" t="s">
        <v>131</v>
      </c>
      <c r="B3" s="82"/>
      <c r="D3" s="81" t="s">
        <v>133</v>
      </c>
    </row>
    <row r="4" spans="1:25">
      <c r="A4" s="81" t="s">
        <v>132</v>
      </c>
      <c r="B4" s="82"/>
      <c r="D4" s="81" t="s">
        <v>134</v>
      </c>
    </row>
    <row r="6" spans="1:25">
      <c r="A6" s="83" t="s">
        <v>135</v>
      </c>
    </row>
    <row r="7" spans="1:25">
      <c r="A7" s="84" t="str">
        <f>_xll.AspenTech.PME.ProcessData.Functions.GetCalculationValues("time,attribute","M650030010-0004-HHLQU,M650030010-0004-HHLQU,M650030010-0008-HHLQU,M650030010-0008-HHLQU,M650030010-0007-HHLQU,M650030010-0007-HHLQU,M650030010-0006-HHLQU,M650030010-0006-HHLQU,M650030010-0013-HHLQU,M650030010-0013-HHLQU,M710050020-0002-HHLQU,M4710050"&amp;"020-0002-HHLQU,M710050020-0004-HHLQU,M4710050020-0004-HHLQU,M710050020-0005-HHLQU,M4710050020-0005-HHLQU,M710050020-0006-HHLQU,M4710050020-0006-HHLQU,M710050020-0007-HHLQU,M4710050020-0007-HHLQU,M710050020-0018-HHLQU,M4710050020-0018-HHLQU,M710050020"&amp;"-0115-HHLQU,M4710050020-0115-HHLQU","UBU,UBU,UBU,UBU,UBU,UBU,UBU,UBU,UBU,UBU,UBU,UBU,UBU,UBU,UBU,UBU,UBU,UBU,UBU,UBU,UBU,UBU,UBU,UBU","IP_MESVALOR,IP_MESVALOR,IP_MESVALOR,IP_MESVALOR,IP_MESVALOR,IP_MESVALOR,IP_MESVALOR,IP_MESVALOR,IP_MESVALOR,IP_MESVALOR,IP_MESVALOR,IP_MESVALOR,IP_MESVALOR,IP_MESVALOR,IP_MESVALOR,IP_MESVALOR,IP_MESVALOR,IP_MESVALOR,IP_MESVALOR,IP_MESVALOR,IP_MESVALO"&amp;"R,IP_MESVALOR,IP_MESVALOR,IP_MESVALOR",Dados_MES!$B$3,Dados_MES!$B$4,"2h",0,"",0,"1",0,1560,0,0,1,1,ADDRESS(ROW(Dados_MES!A7),COLUMN(Dados_MES!A7),1,,"Dados_MES"),"Dados_MES!A9",1)</f>
        <v>Success</v>
      </c>
    </row>
    <row r="8" spans="1:25" ht="45" customHeight="1">
      <c r="A8" s="85" t="s">
        <v>136</v>
      </c>
      <c r="B8" s="86" t="s">
        <v>137</v>
      </c>
      <c r="C8" s="86" t="s">
        <v>138</v>
      </c>
      <c r="D8" s="86" t="s">
        <v>139</v>
      </c>
      <c r="E8" s="86" t="s">
        <v>140</v>
      </c>
      <c r="F8" s="86" t="s">
        <v>141</v>
      </c>
      <c r="G8" s="86" t="s">
        <v>142</v>
      </c>
      <c r="H8" s="86" t="s">
        <v>143</v>
      </c>
      <c r="I8" s="86" t="s">
        <v>144</v>
      </c>
      <c r="J8" s="86" t="s">
        <v>145</v>
      </c>
      <c r="K8" s="86" t="s">
        <v>146</v>
      </c>
      <c r="L8" s="86" t="s">
        <v>147</v>
      </c>
      <c r="M8" s="86" t="s">
        <v>148</v>
      </c>
      <c r="N8" s="86" t="s">
        <v>149</v>
      </c>
      <c r="O8" s="86" t="s">
        <v>150</v>
      </c>
      <c r="P8" s="86" t="s">
        <v>151</v>
      </c>
      <c r="Q8" s="86" t="s">
        <v>152</v>
      </c>
      <c r="R8" s="86" t="s">
        <v>153</v>
      </c>
      <c r="S8" s="86" t="s">
        <v>154</v>
      </c>
      <c r="T8" s="86" t="s">
        <v>155</v>
      </c>
      <c r="U8" s="86" t="s">
        <v>156</v>
      </c>
      <c r="V8" s="86" t="s">
        <v>157</v>
      </c>
      <c r="W8" s="86" t="s">
        <v>158</v>
      </c>
      <c r="X8" s="86" t="s">
        <v>159</v>
      </c>
      <c r="Y8" s="86" t="s">
        <v>160</v>
      </c>
    </row>
    <row r="9" spans="1:25">
      <c r="A9" s="87">
        <f t="array" ref="A9:Y14">_xll.AspenTech.PME.ProcessData.Functions.ShowCalculationValues(ADDRESS(ROW(Dados_MES!A7),COLUMN(Dados_MES!A7),1,,"Dados_MES"),Dados_MES!A7, 0)</f>
        <v>0</v>
      </c>
      <c r="B9" s="87">
        <v>0</v>
      </c>
      <c r="C9" s="87">
        <v>0</v>
      </c>
      <c r="D9" s="87">
        <v>0</v>
      </c>
      <c r="E9" s="87">
        <v>0</v>
      </c>
      <c r="F9" s="87">
        <v>0</v>
      </c>
      <c r="G9" s="87">
        <v>0</v>
      </c>
      <c r="H9" s="87">
        <v>0</v>
      </c>
      <c r="I9" s="87">
        <v>0</v>
      </c>
      <c r="J9" s="87">
        <v>0</v>
      </c>
      <c r="K9" s="87">
        <v>0</v>
      </c>
      <c r="L9" s="87">
        <v>0</v>
      </c>
      <c r="M9" s="87">
        <v>0</v>
      </c>
      <c r="N9" s="87">
        <v>0</v>
      </c>
      <c r="O9" s="87">
        <v>0</v>
      </c>
      <c r="P9" s="87">
        <v>0</v>
      </c>
      <c r="Q9" s="87">
        <v>0</v>
      </c>
      <c r="R9" s="87">
        <v>0</v>
      </c>
      <c r="S9" s="87">
        <v>0</v>
      </c>
      <c r="T9" s="87">
        <v>0</v>
      </c>
      <c r="U9" s="87">
        <v>0</v>
      </c>
      <c r="V9" s="87">
        <v>0</v>
      </c>
      <c r="W9" s="87">
        <v>0</v>
      </c>
      <c r="X9" s="87">
        <v>0</v>
      </c>
      <c r="Y9" s="87">
        <v>0</v>
      </c>
    </row>
    <row r="10" spans="1:25">
      <c r="A10" s="87">
        <v>0</v>
      </c>
      <c r="B10" s="87">
        <v>0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  <c r="O10" s="87">
        <v>0</v>
      </c>
      <c r="P10" s="87">
        <v>0</v>
      </c>
      <c r="Q10" s="87">
        <v>0</v>
      </c>
      <c r="R10" s="87">
        <v>0</v>
      </c>
      <c r="S10" s="87">
        <v>0</v>
      </c>
      <c r="T10" s="87">
        <v>0</v>
      </c>
      <c r="U10" s="87">
        <v>0</v>
      </c>
      <c r="V10" s="87">
        <v>0</v>
      </c>
      <c r="W10" s="87">
        <v>0</v>
      </c>
      <c r="X10" s="87">
        <v>0</v>
      </c>
      <c r="Y10" s="87">
        <v>0</v>
      </c>
    </row>
    <row r="11" spans="1:25">
      <c r="A11" s="87">
        <v>0</v>
      </c>
      <c r="B11" s="87">
        <v>0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  <c r="O11" s="87">
        <v>0</v>
      </c>
      <c r="P11" s="87">
        <v>0</v>
      </c>
      <c r="Q11" s="87">
        <v>0</v>
      </c>
      <c r="R11" s="87">
        <v>0</v>
      </c>
      <c r="S11" s="87">
        <v>0</v>
      </c>
      <c r="T11" s="87">
        <v>0</v>
      </c>
      <c r="U11" s="87">
        <v>0</v>
      </c>
      <c r="V11" s="87">
        <v>0</v>
      </c>
      <c r="W11" s="87">
        <v>0</v>
      </c>
      <c r="X11" s="87">
        <v>0</v>
      </c>
      <c r="Y11" s="87">
        <v>0</v>
      </c>
    </row>
    <row r="12" spans="1:25">
      <c r="A12" s="87">
        <v>0</v>
      </c>
      <c r="B12" s="87">
        <v>0</v>
      </c>
      <c r="C12" s="87">
        <v>0</v>
      </c>
      <c r="D12" s="87">
        <v>0</v>
      </c>
      <c r="E12" s="87">
        <v>0</v>
      </c>
      <c r="F12" s="87">
        <v>0</v>
      </c>
      <c r="G12" s="87">
        <v>0</v>
      </c>
      <c r="H12" s="87">
        <v>0</v>
      </c>
      <c r="I12" s="87">
        <v>0</v>
      </c>
      <c r="J12" s="87">
        <v>0</v>
      </c>
      <c r="K12" s="87">
        <v>0</v>
      </c>
      <c r="L12" s="87">
        <v>0</v>
      </c>
      <c r="M12" s="87">
        <v>0</v>
      </c>
      <c r="N12" s="87">
        <v>0</v>
      </c>
      <c r="O12" s="87">
        <v>0</v>
      </c>
      <c r="P12" s="87">
        <v>0</v>
      </c>
      <c r="Q12" s="87">
        <v>0</v>
      </c>
      <c r="R12" s="87">
        <v>0</v>
      </c>
      <c r="S12" s="87">
        <v>0</v>
      </c>
      <c r="T12" s="87">
        <v>0</v>
      </c>
      <c r="U12" s="87">
        <v>0</v>
      </c>
      <c r="V12" s="87">
        <v>0</v>
      </c>
      <c r="W12" s="87">
        <v>0</v>
      </c>
      <c r="X12" s="87">
        <v>0</v>
      </c>
      <c r="Y12" s="87">
        <v>0</v>
      </c>
    </row>
    <row r="13" spans="1:25">
      <c r="A13" s="87">
        <v>0</v>
      </c>
      <c r="B13" s="87">
        <v>0</v>
      </c>
      <c r="C13" s="87">
        <v>0</v>
      </c>
      <c r="D13" s="87">
        <v>0</v>
      </c>
      <c r="E13" s="87">
        <v>0</v>
      </c>
      <c r="F13" s="87">
        <v>0</v>
      </c>
      <c r="G13" s="87">
        <v>0</v>
      </c>
      <c r="H13" s="87">
        <v>0</v>
      </c>
      <c r="I13" s="87">
        <v>0</v>
      </c>
      <c r="J13" s="87">
        <v>0</v>
      </c>
      <c r="K13" s="87">
        <v>0</v>
      </c>
      <c r="L13" s="87">
        <v>0</v>
      </c>
      <c r="M13" s="87">
        <v>0</v>
      </c>
      <c r="N13" s="87">
        <v>0</v>
      </c>
      <c r="O13" s="87">
        <v>0</v>
      </c>
      <c r="P13" s="87">
        <v>0</v>
      </c>
      <c r="Q13" s="87">
        <v>0</v>
      </c>
      <c r="R13" s="87">
        <v>0</v>
      </c>
      <c r="S13" s="87">
        <v>0</v>
      </c>
      <c r="T13" s="87">
        <v>0</v>
      </c>
      <c r="U13" s="87">
        <v>0</v>
      </c>
      <c r="V13" s="87">
        <v>0</v>
      </c>
      <c r="W13" s="87">
        <v>0</v>
      </c>
      <c r="X13" s="87">
        <v>0</v>
      </c>
      <c r="Y13" s="87">
        <v>0</v>
      </c>
    </row>
    <row r="14" spans="1:25">
      <c r="A14" s="87">
        <v>0</v>
      </c>
      <c r="B14" s="87">
        <v>0</v>
      </c>
      <c r="C14" s="87">
        <v>0</v>
      </c>
      <c r="D14" s="87">
        <v>0</v>
      </c>
      <c r="E14" s="87">
        <v>0</v>
      </c>
      <c r="F14" s="87">
        <v>0</v>
      </c>
      <c r="G14" s="87">
        <v>0</v>
      </c>
      <c r="H14" s="87">
        <v>0</v>
      </c>
      <c r="I14" s="87">
        <v>0</v>
      </c>
      <c r="J14" s="87">
        <v>0</v>
      </c>
      <c r="K14" s="87">
        <v>0</v>
      </c>
      <c r="L14" s="87">
        <v>0</v>
      </c>
      <c r="M14" s="87">
        <v>0</v>
      </c>
      <c r="N14" s="87">
        <v>0</v>
      </c>
      <c r="O14" s="87">
        <v>0</v>
      </c>
      <c r="P14" s="87">
        <v>0</v>
      </c>
      <c r="Q14" s="87">
        <v>0</v>
      </c>
      <c r="R14" s="87">
        <v>0</v>
      </c>
      <c r="S14" s="87">
        <v>0</v>
      </c>
      <c r="T14" s="87">
        <v>0</v>
      </c>
      <c r="U14" s="87">
        <v>0</v>
      </c>
      <c r="V14" s="87">
        <v>0</v>
      </c>
      <c r="W14" s="87">
        <v>0</v>
      </c>
      <c r="X14" s="87">
        <v>0</v>
      </c>
      <c r="Y14" s="87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K1:Q2"/>
  <sheetViews>
    <sheetView showGridLines="0" workbookViewId="0"/>
  </sheetViews>
  <sheetFormatPr defaultRowHeight="15"/>
  <sheetData>
    <row r="1" spans="11:17">
      <c r="K1" t="s">
        <v>257</v>
      </c>
      <c r="L1" t="s">
        <v>258</v>
      </c>
      <c r="M1" t="s">
        <v>259</v>
      </c>
      <c r="N1" t="s">
        <v>260</v>
      </c>
      <c r="O1" t="s">
        <v>261</v>
      </c>
      <c r="P1" t="s">
        <v>262</v>
      </c>
      <c r="Q1" t="s">
        <v>263</v>
      </c>
    </row>
    <row r="2" spans="11:17">
      <c r="K2" t="s">
        <v>264</v>
      </c>
      <c r="L2" t="s">
        <v>265</v>
      </c>
      <c r="M2" t="s">
        <v>266</v>
      </c>
      <c r="N2" t="s">
        <v>267</v>
      </c>
      <c r="O2" t="s">
        <v>268</v>
      </c>
      <c r="P2" t="s">
        <v>269</v>
      </c>
      <c r="Q2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89</vt:i4>
      </vt:variant>
    </vt:vector>
  </HeadingPairs>
  <TitlesOfParts>
    <vt:vector size="96" baseType="lpstr">
      <vt:lpstr>Preenchimento</vt:lpstr>
      <vt:lpstr>Resumo Dia</vt:lpstr>
      <vt:lpstr>Resumo Noite</vt:lpstr>
      <vt:lpstr>Resultados gerais</vt:lpstr>
      <vt:lpstr>Limites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</vt:lpstr>
      <vt:lpstr>dArea</vt:lpstr>
      <vt:lpstr>dAReal</vt:lpstr>
      <vt:lpstr>dArStatus</vt:lpstr>
      <vt:lpstr>dAtualizado</vt:lpstr>
      <vt:lpstr>dCadinhos</vt:lpstr>
      <vt:lpstr>dCompressor</vt:lpstr>
      <vt:lpstr>dComUS3</vt:lpstr>
      <vt:lpstr>dComUS4</vt:lpstr>
      <vt:lpstr>dCoque04</vt:lpstr>
      <vt:lpstr>dEquip</vt:lpstr>
      <vt:lpstr>dH2Carvao</vt:lpstr>
      <vt:lpstr>dH2Coque</vt:lpstr>
      <vt:lpstr>dHoras</vt:lpstr>
      <vt:lpstr>dLetra</vt:lpstr>
      <vt:lpstr>dNitrogenio</vt:lpstr>
      <vt:lpstr>dObs</vt:lpstr>
      <vt:lpstr>dPadroes</vt:lpstr>
      <vt:lpstr>dPadroesQuais</vt:lpstr>
      <vt:lpstr>dProdUS3</vt:lpstr>
      <vt:lpstr>dProdUS4</vt:lpstr>
      <vt:lpstr>dProg</vt:lpstr>
      <vt:lpstr>dReal</vt:lpstr>
      <vt:lpstr>dRecebe</vt:lpstr>
      <vt:lpstr>dReforma</vt:lpstr>
      <vt:lpstr>dSol</vt:lpstr>
      <vt:lpstr>dTecnico</vt:lpstr>
      <vt:lpstr>gArea</vt:lpstr>
      <vt:lpstr>gAtualizado</vt:lpstr>
      <vt:lpstr>gFim</vt:lpstr>
      <vt:lpstr>gHoras</vt:lpstr>
      <vt:lpstr>gIni</vt:lpstr>
      <vt:lpstr>gProdUS3</vt:lpstr>
      <vt:lpstr>gProdUS4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lstProdutos</vt:lpstr>
      <vt:lpstr>lstSN</vt:lpstr>
      <vt:lpstr>lstTipo</vt:lpstr>
      <vt:lpstr>lstTurma</vt:lpstr>
      <vt:lpstr>lstTurno</vt:lpstr>
      <vt:lpstr>mesFim</vt:lpstr>
      <vt:lpstr>mesInicio</vt:lpstr>
      <vt:lpstr>mesPrefixo</vt:lpstr>
      <vt:lpstr>mesTempo</vt:lpstr>
      <vt:lpstr>nAr</vt:lpstr>
      <vt:lpstr>nArea</vt:lpstr>
      <vt:lpstr>nAReal</vt:lpstr>
      <vt:lpstr>nArStatus</vt:lpstr>
      <vt:lpstr>nAtualizado</vt:lpstr>
      <vt:lpstr>nCadinhos</vt:lpstr>
      <vt:lpstr>nCompressor</vt:lpstr>
      <vt:lpstr>nComUS3</vt:lpstr>
      <vt:lpstr>nComUS4</vt:lpstr>
      <vt:lpstr>nCoque04</vt:lpstr>
      <vt:lpstr>nEquip</vt:lpstr>
      <vt:lpstr>nH2Carvao</vt:lpstr>
      <vt:lpstr>nH2Coque</vt:lpstr>
      <vt:lpstr>nHoras</vt:lpstr>
      <vt:lpstr>nLetra</vt:lpstr>
      <vt:lpstr>nNitrogenio</vt:lpstr>
      <vt:lpstr>nObs</vt:lpstr>
      <vt:lpstr>nPadroes</vt:lpstr>
      <vt:lpstr>nPadroesQuais</vt:lpstr>
      <vt:lpstr>nProdUS3</vt:lpstr>
      <vt:lpstr>nProdUS4</vt:lpstr>
      <vt:lpstr>nProg</vt:lpstr>
      <vt:lpstr>nReal</vt:lpstr>
      <vt:lpstr>nRecebe</vt:lpstr>
      <vt:lpstr>nReforma</vt:lpstr>
      <vt:lpstr>nSol</vt:lpstr>
      <vt:lpstr>nTecnico</vt:lpstr>
      <vt:lpstr>pData</vt:lpstr>
      <vt:lpstr>Configurações!Print_Area</vt:lpstr>
      <vt:lpstr>Limites!Print_Area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Químico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Passagem de Turno - Laboratório Químico - US3/US4</dc:title>
  <dc:creator/>
  <cp:lastModifiedBy/>
  <dcterms:created xsi:type="dcterms:W3CDTF">2026-10-01T14:18:49Z</dcterms:created>
  <dcterms:modified xsi:type="dcterms:W3CDTF">2026-10-01T14:18:49Z</dcterms:modified>
</cp:coreProperties>
</file>