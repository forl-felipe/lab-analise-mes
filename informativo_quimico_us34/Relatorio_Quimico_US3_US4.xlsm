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Embarque" sheetId="5" r:id="rId5"/>
    <sheet name="Limites" sheetId="6" state="hidden" r:id="rId6"/>
    <sheet name="Configurações" sheetId="7" state="hidden" r:id="rId7"/>
    <sheet name="Dados_MES" sheetId="8" state="hidden" r:id="rId8"/>
    <sheet name="_Mapa" sheetId="9" state="veryHidden" r:id="rId9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Dia'!$B$2:$M$91</definedName>
    <definedName name="dAReal">'Preenchimento'!$C$41:$C$48</definedName>
    <definedName name="dArStatus">'Preenchimento'!$H$61</definedName>
    <definedName name="dAtualizado">'Resumo Dia'!$B$68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Dia'!$E$69:$J$69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cebe">'Preenchimento'!$K$11</definedName>
    <definedName name="dReforma">'Preenchimento'!$E$66</definedName>
    <definedName name="dSol">'Preenchimento'!$C$29:$C$32</definedName>
    <definedName name="dTecnico">'Preenchimento'!$F$11</definedName>
    <definedName name="eArea">'Embarque'!$B$2:$S$74</definedName>
    <definedName name="eAtualizado">'Embarque'!$B$10</definedName>
    <definedName name="eFase">'Embarque'!$C$9</definedName>
    <definedName name="eFim">'Embarque'!$I$6</definedName>
    <definedName name="eHoras">'Embarque'!$E$11:$P$11</definedName>
    <definedName name="eIni">'Embarque'!$E$6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'Configurações'!$C$18:$C$87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Noite'!$B$2:$M$91</definedName>
    <definedName name="nAReal">'Preenchimento'!$C$106:$C$113</definedName>
    <definedName name="nArStatus">'Preenchimento'!$H$126</definedName>
    <definedName name="nAtualizado">'Resumo Noite'!$B$68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Noite'!$E$69:$J$69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cebe">'Preenchimento'!$K$76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6">Configurações!$B$2:$P$89</definedName>
    <definedName name="_xlnm.Print_Area" localSheetId="4">Embarque!$B$2:$S$74</definedName>
    <definedName name="_xlnm.Print_Area" localSheetId="5">Limites!$B$2:$S$37</definedName>
    <definedName name="_xlnm.Print_Area" localSheetId="0">Preenchimento!$B$2:$K$138</definedName>
    <definedName name="_xlnm.Print_Area" localSheetId="3">'Resultados gerais'!$B$2:$S$33</definedName>
    <definedName name="_xlnm.Print_Area" localSheetId="1">'Resumo Dia'!$B$2:$M$91</definedName>
    <definedName name="_xlnm.Print_Area" localSheetId="2">'Resumo Noite'!$B$2:$M$91</definedName>
  </definedNames>
  <calcPr calcId="124519" fullCalcOnLoad="1"/>
</workbook>
</file>

<file path=xl/sharedStrings.xml><?xml version="1.0" encoding="utf-8"?>
<sst xmlns="http://schemas.openxmlformats.org/spreadsheetml/2006/main" count="1460" uniqueCount="505">
  <si>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</si>
  <si>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</si>
  <si>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</si>
  <si>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</si>
  <si>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</si>
  <si>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</si>
  <si>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</si>
  <si>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</si>
  <si>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</si>
  <si>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</si>
  <si>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</si>
  <si>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</si>
  <si>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</si>
  <si>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</si>
  <si>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</si>
  <si>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</si>
  <si>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Embarque: amostra única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</si>
  <si>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</si>
  <si>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</si>
  <si>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</si>
  <si>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</si>
  <si>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</si>
  <si>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</si>
  <si>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</si>
  <si>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</si>
  <si>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</si>
  <si>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</si>
  <si>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</si>
  <si>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</si>
  <si>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</si>
  <si>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</si>
  <si>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</si>
  <si>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</si>
  <si>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</si>
  <si>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</si>
  <si>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</si>
  <si>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</si>
  <si>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</si>
  <si>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</si>
  <si>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</si>
  <si>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</si>
  <si>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</si>
  <si>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</si>
  <si>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</si>
  <si>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</si>
  <si>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</si>
  <si>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</si>
  <si>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</si>
  <si>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</si>
  <si>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</si>
  <si>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</si>
  <si>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</si>
  <si>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</si>
  <si>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</si>
  <si>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</si>
  <si>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</si>
  <si>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</si>
  <si>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</si>
  <si>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</si>
  <si>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</si>
  <si>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</si>
  <si>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</si>
  <si>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</si>
  <si>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</si>
  <si>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</si>
  <si>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</si>
  <si>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</si>
  <si>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Embarque - Pelota Queimada (química)</t>
  </si>
  <si>
    <t>Embarque - Pelota Queimada (física)</t>
  </si>
  <si>
    <t>Peneira &gt; 19,0 mm</t>
  </si>
  <si>
    <t>Peneira &gt; 16,0 mm</t>
  </si>
  <si>
    <t>Peneira &gt; 14,0 mm</t>
  </si>
  <si>
    <t>Peneira &gt; 12,5 mm</t>
  </si>
  <si>
    <t>Peneira &gt; 9,0 mm</t>
  </si>
  <si>
    <t>Peneira &gt; 8,0 mm</t>
  </si>
  <si>
    <t>Peneira &gt; 6,3 mm</t>
  </si>
  <si>
    <t>Peneira &gt; 5,0 mm</t>
  </si>
  <si>
    <t>Peneira &gt; 0,5 mm</t>
  </si>
  <si>
    <t>Peneira &lt; 0,5 mm</t>
  </si>
  <si>
    <t>% &gt; 6,3 mm</t>
  </si>
  <si>
    <t>% &lt; 0,5 mm</t>
  </si>
  <si>
    <t>Média (kg/pel)</t>
  </si>
  <si>
    <t>kg/pel</t>
  </si>
  <si>
    <t>% &lt; 200 (kg/pel)</t>
  </si>
  <si>
    <t>% &lt; 150 (kg/pel)</t>
  </si>
  <si>
    <t>% &lt; 100 (kg/pel)</t>
  </si>
  <si>
    <t>DP (kg/pel)</t>
  </si>
  <si>
    <t>Média (kgf/pel)</t>
  </si>
  <si>
    <t>kgf/pel</t>
  </si>
  <si>
    <t>% &lt; 200 (kgf/pel)</t>
  </si>
  <si>
    <t>% &lt; 150 (kgf/pel)</t>
  </si>
  <si>
    <t>% &lt; 100 (kgf/pel)</t>
  </si>
  <si>
    <t>DP (kgf/pel)</t>
  </si>
  <si>
    <t>Embarque - Pellet Feed</t>
  </si>
  <si>
    <t>Umidade (H2O)</t>
  </si>
  <si>
    <t>Superfície específica</t>
  </si>
  <si>
    <t>cm²/g</t>
  </si>
  <si>
    <t>% &gt; 100#</t>
  </si>
  <si>
    <t>% &gt; 200#</t>
  </si>
  <si>
    <t>% &gt; 325#</t>
  </si>
  <si>
    <t>% &lt; 325#</t>
  </si>
  <si>
    <t>Embarque - Pellet Screening</t>
  </si>
  <si>
    <t>Peneira 9,5 mm</t>
  </si>
  <si>
    <t>Peneira 6,3 mm</t>
  </si>
  <si>
    <t>Peneira 3,15 mm</t>
  </si>
  <si>
    <t>Peneira 2,0 mm</t>
  </si>
  <si>
    <t>Peneira 1,0 mm</t>
  </si>
  <si>
    <t>Peneira 0,5 mm</t>
  </si>
  <si>
    <t>Peneira 100#</t>
  </si>
  <si>
    <t>Peneira &lt; 100#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</si>
  <si>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</si>
  <si>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</si>
  <si>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</si>
  <si>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</si>
  <si>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</si>
  <si>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</si>
  <si>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</si>
  <si>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</si>
  <si>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</si>
  <si>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</si>
  <si>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</si>
  <si>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</si>
  <si>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</si>
  <si>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</si>
  <si>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</si>
  <si>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</si>
  <si>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</si>
  <si>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</si>
  <si>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</si>
  <si>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</si>
  <si>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</si>
  <si>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</si>
  <si>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</si>
  <si>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</si>
  <si>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</si>
  <si>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</si>
  <si>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</si>
  <si>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</si>
  <si>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</si>
  <si>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</si>
  <si>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</si>
  <si>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</si>
  <si>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</si>
  <si>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</si>
  <si>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</si>
  <si>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</si>
  <si>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</si>
  <si>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</si>
  <si>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</si>
  <si>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</si>
  <si>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</si>
  <si>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</si>
  <si>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</si>
  <si>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</si>
  <si>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</si>
  <si>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</si>
  <si>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</si>
  <si>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</si>
  <si>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</si>
  <si>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</si>
  <si>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</si>
  <si>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</si>
  <si>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</si>
  <si>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</si>
  <si>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</si>
  <si>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</si>
  <si>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</si>
  <si>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</si>
  <si>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</si>
  <si>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</si>
  <si>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</si>
  <si>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</si>
  <si>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</si>
  <si>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</si>
  <si>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</si>
  <si>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</si>
  <si>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</si>
  <si>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</si>
  <si>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</si>
  <si>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</si>
  <si>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</si>
  <si>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</si>
  <si>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</si>
  <si>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</si>
  <si>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</si>
  <si>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</si>
  <si>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</si>
  <si>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</si>
  <si>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</si>
  <si>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</si>
  <si>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</si>
  <si>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</si>
  <si>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</si>
  <si>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</si>
  <si>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</si>
  <si>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</si>
  <si>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</si>
  <si>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</si>
  <si>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</si>
  <si>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</si>
  <si>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</si>
  <si>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</si>
  <si>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</si>
  <si>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</si>
  <si>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Consulta: Embarque (testes)  (tipo de cálculo "1")</t>
  </si>
  <si>
    <t>P13 US3 · Fe</t>
  </si>
  <si>
    <t>P13 US4 · Fe</t>
  </si>
  <si>
    <t>P14 US3 · SiO2</t>
  </si>
  <si>
    <t>P14 US4 · SiO2</t>
  </si>
  <si>
    <t>P15 US3 · Al2O3</t>
  </si>
  <si>
    <t>P15 US4 · Al2O3</t>
  </si>
  <si>
    <t>P16 US3 · CaO</t>
  </si>
  <si>
    <t>P16 US4 · CaO</t>
  </si>
  <si>
    <t>P17 US3 · MgO</t>
  </si>
  <si>
    <t>P17 US4 · MgO</t>
  </si>
  <si>
    <t>P18 US3 · P</t>
  </si>
  <si>
    <t>P18 US4 · P</t>
  </si>
  <si>
    <t>P19 US3 · Mn</t>
  </si>
  <si>
    <t>P19 US4 · Mn</t>
  </si>
  <si>
    <t>P20 US3 · B2 (CaO/SiO2)</t>
  </si>
  <si>
    <t>P20 US4 · B2 (CaO/SiO2)</t>
  </si>
  <si>
    <t>P21 US3 · PPC</t>
  </si>
  <si>
    <t>P21 US4 · PPC</t>
  </si>
  <si>
    <t>P22 US3 · Peneira &gt; 19,0 mm</t>
  </si>
  <si>
    <t>P22 US4 · Peneira &gt; 19,0 mm</t>
  </si>
  <si>
    <t>P23 US3 · Peneira &gt; 16,0 mm</t>
  </si>
  <si>
    <t>P23 US4 · Peneira &gt; 16,0 mm</t>
  </si>
  <si>
    <t>P24 US3 · Peneira &gt; 14,0 mm</t>
  </si>
  <si>
    <t>P24 US4 · Peneira &gt; 14,0 mm</t>
  </si>
  <si>
    <t>P25 US3 · Peneira &gt; 12,5 mm</t>
  </si>
  <si>
    <t>P25 US4 · Peneira &gt; 12,5 mm</t>
  </si>
  <si>
    <t>P26 US3 · Peneira &gt; 9,0 mm</t>
  </si>
  <si>
    <t>P26 US4 · Peneira &gt; 9,0 mm</t>
  </si>
  <si>
    <t>P27 US3 · Peneira &gt; 8,0 mm</t>
  </si>
  <si>
    <t>P27 US4 · Peneira &gt; 8,0 mm</t>
  </si>
  <si>
    <t>P28 US3 · Peneira &gt; 6,3 mm</t>
  </si>
  <si>
    <t>P28 US4 · Peneira &gt; 6,3 mm</t>
  </si>
  <si>
    <t>P29 US3 · Peneira &gt; 5,0 mm</t>
  </si>
  <si>
    <t>P29 US4 · Peneira &gt; 5,0 mm</t>
  </si>
  <si>
    <t>P30 US3 · Peneira &gt; 0,5 mm</t>
  </si>
  <si>
    <t>P30 US4 · Peneira &gt; 0,5 mm</t>
  </si>
  <si>
    <t>P31 US3 · Peneira &lt; 0,5 mm</t>
  </si>
  <si>
    <t>P31 US4 · Peneira &lt; 0,5 mm</t>
  </si>
  <si>
    <t>P32 US3 · % &gt; 6,3 mm</t>
  </si>
  <si>
    <t>P32 US4 · % &gt; 6,3 mm</t>
  </si>
  <si>
    <t>P33 US3 · % &lt; 0,5 mm</t>
  </si>
  <si>
    <t>P33 US4 · % &lt; 0,5 mm</t>
  </si>
  <si>
    <t>P34 US3 · Média (kg/pel)</t>
  </si>
  <si>
    <t>P34 US4 · Média (kg/pel)</t>
  </si>
  <si>
    <t>P35 US3 · % &lt; 200 (kg/pel)</t>
  </si>
  <si>
    <t>P35 US4 · % &lt; 200 (kg/pel)</t>
  </si>
  <si>
    <t>P36 US3 · % &lt; 150 (kg/pel)</t>
  </si>
  <si>
    <t>P36 US4 · % &lt; 150 (kg/pel)</t>
  </si>
  <si>
    <t>P37 US3 · % &lt; 100 (kg/pel)</t>
  </si>
  <si>
    <t>P37 US4 · % &lt; 100 (kg/pel)</t>
  </si>
  <si>
    <t>P38 US3 · DP (kg/pel)</t>
  </si>
  <si>
    <t>P38 US4 · DP (kg/pel)</t>
  </si>
  <si>
    <t>P39 US3 · Média (kgf/pel)</t>
  </si>
  <si>
    <t>P39 US4 · Média (kgf/pel)</t>
  </si>
  <si>
    <t>P40 US3 · % &lt; 200 (kgf/pel)</t>
  </si>
  <si>
    <t>P40 US4 · % &lt; 200 (kgf/pel)</t>
  </si>
  <si>
    <t>P41 US3 · % &lt; 150 (kgf/pel)</t>
  </si>
  <si>
    <t>P41 US4 · % &lt; 150 (kgf/pel)</t>
  </si>
  <si>
    <t>P42 US3 · % &lt; 100 (kgf/pel)</t>
  </si>
  <si>
    <t>P42 US4 · % &lt; 100 (kgf/pel)</t>
  </si>
  <si>
    <t>P43 US3 · DP (kgf/pel)</t>
  </si>
  <si>
    <t>P43 US4 · DP (kgf/pel)</t>
  </si>
  <si>
    <t>P44 US3 · SiO2</t>
  </si>
  <si>
    <t>P44 US4 · SiO2</t>
  </si>
  <si>
    <t>P45 US3 · Al2O3</t>
  </si>
  <si>
    <t>P45 US4 · Al2O3</t>
  </si>
  <si>
    <t>P46 US3 · P</t>
  </si>
  <si>
    <t>P46 US4 · P</t>
  </si>
  <si>
    <t>P47 US3 · CaO</t>
  </si>
  <si>
    <t>P47 US4 · CaO</t>
  </si>
  <si>
    <t>P48 US3 · MgO</t>
  </si>
  <si>
    <t>P48 US4 · MgO</t>
  </si>
  <si>
    <t>P49 US3 · Umidade (H2O)</t>
  </si>
  <si>
    <t>P49 US4 · Umidade (H2O)</t>
  </si>
  <si>
    <t>P50 US3 · Superfície específica</t>
  </si>
  <si>
    <t>P50 US4 · Superfície específica</t>
  </si>
  <si>
    <t>P51 US3 · % &gt; 100#</t>
  </si>
  <si>
    <t>P51 US4 · % &gt; 100#</t>
  </si>
  <si>
    <t>P52 US3 · % &gt; 200#</t>
  </si>
  <si>
    <t>P52 US4 · % &gt; 200#</t>
  </si>
  <si>
    <t>P53 US3 · % &gt; 325#</t>
  </si>
  <si>
    <t>P53 US4 · % &gt; 325#</t>
  </si>
  <si>
    <t>P54 US3 · % &lt; 325#</t>
  </si>
  <si>
    <t>P54 US4 · % &lt; 325#</t>
  </si>
  <si>
    <t>P55 US3 · Fe</t>
  </si>
  <si>
    <t>P55 US4 · Fe</t>
  </si>
  <si>
    <t>P56 US3 · SiO2</t>
  </si>
  <si>
    <t>P56 US4 · SiO2</t>
  </si>
  <si>
    <t>P57 US3 · Al2O3</t>
  </si>
  <si>
    <t>P57 US4 · Al2O3</t>
  </si>
  <si>
    <t>P58 US3 · P</t>
  </si>
  <si>
    <t>P58 US4 · P</t>
  </si>
  <si>
    <t>P59 US3 · CaO</t>
  </si>
  <si>
    <t>P59 US4 · CaO</t>
  </si>
  <si>
    <t>P60 US3 · MgO</t>
  </si>
  <si>
    <t>P60 US4 · MgO</t>
  </si>
  <si>
    <t>P61 US3 · PPC</t>
  </si>
  <si>
    <t>P61 US4 · PPC</t>
  </si>
  <si>
    <t>P62 US3 · Umidade (H2O)</t>
  </si>
  <si>
    <t>P62 US4 · Umidade (H2O)</t>
  </si>
  <si>
    <t>P63 US3 · Peneira 9,5 mm</t>
  </si>
  <si>
    <t>P63 US4 · Peneira 9,5 mm</t>
  </si>
  <si>
    <t>P64 US3 · Peneira 6,3 mm</t>
  </si>
  <si>
    <t>P64 US4 · Peneira 6,3 mm</t>
  </si>
  <si>
    <t>P65 US3 · Peneira 3,15 mm</t>
  </si>
  <si>
    <t>P65 US4 · Peneira 3,15 mm</t>
  </si>
  <si>
    <t>P66 US3 · Peneira 2,0 mm</t>
  </si>
  <si>
    <t>P66 US4 · Peneira 2,0 mm</t>
  </si>
  <si>
    <t>P67 US3 · Peneira 1,0 mm</t>
  </si>
  <si>
    <t>P67 US4 · Peneira 1,0 mm</t>
  </si>
  <si>
    <t>P68 US3 · Peneira 0,5 mm</t>
  </si>
  <si>
    <t>P68 US4 · Peneira 0,5 mm</t>
  </si>
  <si>
    <t>P69 US3 · Peneira 100#</t>
  </si>
  <si>
    <t>P69 US4 · Peneira 100#</t>
  </si>
  <si>
    <t>P70 US3 · Peneira &lt; 100#</t>
  </si>
  <si>
    <t>P70 US4 · Peneira &lt; 100#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</si>
  <si>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</si>
  <si>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</si>
  <si>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</si>
  <si>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</si>
  <si>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</si>
  <si>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</si>
  <si>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</si>
  <si>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</si>
  <si>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Letra que recebe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</si>
  <si>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</si>
  <si>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</si>
  <si>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</si>
  <si>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</si>
  <si>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</si>
  <si>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</si>
  <si>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</si>
  <si>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</si>
  <si>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</si>
  <si>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</si>
  <si>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</si>
  <si>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</si>
  <si>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</si>
  <si>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</si>
  <si>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</si>
  <si>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</si>
  <si>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</si>
  <si>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</si>
  <si>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</si>
  <si>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</si>
  <si>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</si>
  <si>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</si>
  <si>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</si>
  <si>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</si>
  <si>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</si>
  <si>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</si>
  <si>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</si>
  <si>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</si>
  <si>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Embarque</t>
  </si>
  <si>
    <t>Data</t>
  </si>
  <si>
    <t>Turno</t>
  </si>
  <si>
    <t>OCORRÊNCIAS DO TURNO</t>
  </si>
  <si>
    <t>T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</si>
  <si>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</si>
  <si>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</si>
  <si>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</si>
  <si>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</si>
  <si>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</si>
  <si>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</si>
  <si>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</si>
  <si>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</si>
  <si>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</si>
  <si>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</si>
  <si>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</si>
  <si>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</si>
  <si>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</si>
  <si>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</si>
  <si>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</si>
  <si>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</si>
  <si>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</si>
  <si>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</si>
  <si>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</si>
  <si>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</si>
  <si>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</si>
  <si>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</si>
  <si>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</si>
  <si>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</si>
  <si>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</si>
  <si>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</si>
  <si>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</si>
  <si>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</si>
  <si>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</si>
  <si>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</si>
  <si>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</si>
  <si>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</si>
  <si>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</si>
  <si>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</si>
  <si>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</si>
  <si>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</si>
  <si>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</si>
  <si>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</si>
  <si>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</si>
  <si>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</si>
  <si>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</si>
  <si>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</si>
  <si>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</si>
  <si>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</si>
  <si>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</si>
  <si>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</si>
  <si>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</si>
  <si>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</si>
  <si>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</si>
  <si>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</si>
  <si>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</si>
  <si>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</si>
  <si>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</si>
  <si>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</si>
  <si>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</si>
  <si>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LABORATÓRIO QUÍMICO  |  EMBARQUE (TESTES)</t>
  </si>
  <si>
    <t>Ponto de amostragem</t>
  </si>
  <si>
    <t>U00-09TR002  |  EMB: amostra única do embarque</t>
  </si>
  <si>
    <t>Fase da tag no MES</t>
  </si>
  <si>
    <t>HH</t>
  </si>
  <si>
    <t>Teste: escolha a fase (HH, DD, TN ou CG) e clique em Atualizar. Tags recusadas pelo MES são avisadas.</t>
  </si>
  <si>
    <t>Ponto</t>
  </si>
  <si>
    <t>P13U3</t>
  </si>
  <si>
    <t>EMB</t>
  </si>
  <si>
    <t>P14U3</t>
  </si>
  <si>
    <t>P15U3</t>
  </si>
  <si>
    <t>P16U3</t>
  </si>
  <si>
    <t>P17U3</t>
  </si>
  <si>
    <t>P18U3</t>
  </si>
  <si>
    <t>P19U3</t>
  </si>
  <si>
    <t>P20U3</t>
  </si>
  <si>
    <t>P21U3</t>
  </si>
  <si>
    <t>P22U3</t>
  </si>
  <si>
    <t>P23U3</t>
  </si>
  <si>
    <t>P24U3</t>
  </si>
  <si>
    <t>P25U3</t>
  </si>
  <si>
    <t>P26U3</t>
  </si>
  <si>
    <t>P27U3</t>
  </si>
  <si>
    <t>P28U3</t>
  </si>
  <si>
    <t>P29U3</t>
  </si>
  <si>
    <t>P30U3</t>
  </si>
  <si>
    <t>P31U3</t>
  </si>
  <si>
    <t>P32U3</t>
  </si>
  <si>
    <t>P33U3</t>
  </si>
  <si>
    <t>P34U3</t>
  </si>
  <si>
    <t>P35U3</t>
  </si>
  <si>
    <t>P36U3</t>
  </si>
  <si>
    <t>P37U3</t>
  </si>
  <si>
    <t>P38U3</t>
  </si>
  <si>
    <t>P39U3</t>
  </si>
  <si>
    <t>P40U3</t>
  </si>
  <si>
    <t>P41U3</t>
  </si>
  <si>
    <t>P42U3</t>
  </si>
  <si>
    <t>P43U3</t>
  </si>
  <si>
    <t>G3</t>
  </si>
  <si>
    <t>P44U3</t>
  </si>
  <si>
    <t>P45U3</t>
  </si>
  <si>
    <t>P46U3</t>
  </si>
  <si>
    <t>P47U3</t>
  </si>
  <si>
    <t>P48U3</t>
  </si>
  <si>
    <t>P49U3</t>
  </si>
  <si>
    <t>P50U3</t>
  </si>
  <si>
    <t>P51U3</t>
  </si>
  <si>
    <t>P52U3</t>
  </si>
  <si>
    <t>P53U3</t>
  </si>
  <si>
    <t>P54U3</t>
  </si>
  <si>
    <t>G4</t>
  </si>
  <si>
    <t>P55U3</t>
  </si>
  <si>
    <t>P56U3</t>
  </si>
  <si>
    <t>P57U3</t>
  </si>
  <si>
    <t>P58U3</t>
  </si>
  <si>
    <t>P59U3</t>
  </si>
  <si>
    <t>P60U3</t>
  </si>
  <si>
    <t>P61U3</t>
  </si>
  <si>
    <t>P62U3</t>
  </si>
  <si>
    <t>P63U3</t>
  </si>
  <si>
    <t>P64U3</t>
  </si>
  <si>
    <t>P65U3</t>
  </si>
  <si>
    <t>P66U3</t>
  </si>
  <si>
    <t>P67U3</t>
  </si>
  <si>
    <t>P68U3</t>
  </si>
  <si>
    <t>P69U3</t>
  </si>
  <si>
    <t>P70U3</t>
  </si>
  <si>
    <t>Aba de testes  |  Tags: Plano Amostral rev. 06  |  Sem farol (sem limites cadastrados)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</si>
  <si>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</si>
  <si>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</si>
  <si>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</si>
  <si>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</si>
  <si>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</si>
  <si>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</si>
  <si>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</si>
  <si>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</si>
  <si>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</si>
  <si>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</si>
  <si>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</si>
  <si>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</si>
  <si>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</si>
  <si>
    <t>E</t>
  </si>
  <si>
    <t>Embarque (testes)</t>
  </si>
  <si>
    <t>A22</t>
  </si>
  <si>
    <t>A24</t>
  </si>
  <si>
    <t>13,14,15,16,17,18,19,20,21,22,23,24,25,26,27,28,29,30,31,32,33,34,35,36,37,38,39,40,41,42,43,44,45,46,47,48,49,50,51,52,53,54,55,56,57,58,59,60,61,62,63,64,65,66,67,68,69,70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</si>
</sst>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11"/>
      <color rgb="FFFFFFFF"/>
      <name val="Segoe UI"/>
      <family val="2"/>
    </font>
    <font>
      <sz val="6"/>
      <color rgb="FFFFFFFF"/>
      <name val="Segoe UI"/>
      <family val="2"/>
    </font>
    <font>
      <i/>
      <sz val="10"/>
      <color rgb="FF5B6B77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sz val="8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4" fillId="8" borderId="1" xfId="0" applyNumberFormat="1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3" fillId="9" borderId="1" xfId="0" applyNumberFormat="1" applyFont="1" applyFill="1" applyBorder="1" applyAlignment="1">
      <alignment horizontal="center" vertical="center"/>
    </xf>
    <xf numFmtId="166" fontId="24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4" fillId="10" borderId="1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1"/>
    </xf>
    <xf numFmtId="166" fontId="1" fillId="8" borderId="1" xfId="0" applyNumberFormat="1" applyFont="1" applyFill="1" applyBorder="1" applyAlignment="1">
      <alignment horizontal="center" vertical="center"/>
    </xf>
    <xf numFmtId="166" fontId="24" fillId="8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3" fillId="9" borderId="1" xfId="0" applyNumberFormat="1" applyFont="1" applyFill="1" applyBorder="1" applyAlignment="1">
      <alignment horizontal="center" vertical="center"/>
    </xf>
    <xf numFmtId="1" fontId="24" fillId="10" borderId="1" xfId="0" applyNumberFormat="1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24" fillId="8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top" indent="1" wrapText="1"/>
    </xf>
    <xf numFmtId="0" fontId="30" fillId="7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vertical="top" indent="1" wrapText="1"/>
    </xf>
    <xf numFmtId="0" fontId="31" fillId="11" borderId="0" xfId="0" applyFont="1" applyFill="1" applyAlignment="1">
      <alignment horizontal="left" vertical="center" indent="1"/>
    </xf>
    <xf numFmtId="0" fontId="21" fillId="4" borderId="1" xfId="0" applyFont="1" applyFill="1" applyBorder="1" applyAlignment="1">
      <alignment horizontal="left" vertical="center" indent="1"/>
    </xf>
    <xf numFmtId="0" fontId="32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>
      <alignment horizontal="left" vertical="center" indent="1" wrapText="1"/>
    </xf>
    <xf numFmtId="0" fontId="31" fillId="12" borderId="5" xfId="0" applyFont="1" applyFill="1" applyBorder="1" applyAlignment="1">
      <alignment horizontal="center" vertical="center" wrapText="1"/>
    </xf>
    <xf numFmtId="0" fontId="34" fillId="4" borderId="5" xfId="0" applyFont="1" applyFill="1" applyBorder="1" applyAlignment="1">
      <alignment horizontal="left" vertical="center" indent="1"/>
    </xf>
    <xf numFmtId="0" fontId="21" fillId="4" borderId="5" xfId="0" applyFont="1" applyFill="1" applyBorder="1" applyAlignment="1">
      <alignment horizontal="left" vertical="center" indent="1"/>
    </xf>
    <xf numFmtId="0" fontId="35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6" fillId="4" borderId="1" xfId="0" applyFont="1" applyFill="1" applyBorder="1" applyAlignment="1">
      <alignment vertical="center"/>
    </xf>
    <xf numFmtId="0" fontId="34" fillId="8" borderId="5" xfId="0" applyFont="1" applyFill="1" applyBorder="1" applyAlignment="1">
      <alignment horizontal="left" vertical="center" indent="1"/>
    </xf>
    <xf numFmtId="0" fontId="21" fillId="8" borderId="5" xfId="0" applyFont="1" applyFill="1" applyBorder="1" applyAlignment="1">
      <alignment horizontal="left" vertical="center" indent="1"/>
    </xf>
    <xf numFmtId="0" fontId="37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31" fillId="2" borderId="0" xfId="0" applyFont="1" applyFill="1" applyAlignment="1">
      <alignment vertical="center"/>
    </xf>
    <xf numFmtId="0" fontId="41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Embarque" textlink="">
      <xdr:nvSpPr>
        <xdr:cNvPr id="3" name="TextBox 2" descr="Botão: AtualizarEmbarque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Embarque" textlink="">
      <xdr:nvSpPr>
        <xdr:cNvPr id="4" name="TextBox 3" descr="Botão: CopiarImagemEmbarque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321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322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323</v>
      </c>
      <c r="C6" s="5"/>
      <c r="D6" s="5"/>
      <c r="E6" s="6"/>
      <c r="F6" s="6"/>
      <c r="G6" s="7" t="s">
        <v>324</v>
      </c>
      <c r="H6" s="7"/>
      <c r="I6" s="7"/>
      <c r="J6" s="7"/>
      <c r="K6" s="7"/>
    </row>
    <row r="8" spans="2:13" ht="18" customHeight="1">
      <c r="B8" s="8" t="s">
        <v>355</v>
      </c>
      <c r="C8" s="9" t="s">
        <v>356</v>
      </c>
      <c r="E8" s="9" t="s">
        <v>326</v>
      </c>
      <c r="G8" s="9" t="s">
        <v>354</v>
      </c>
      <c r="I8" s="9" t="s">
        <v>357</v>
      </c>
      <c r="K8" s="9" t="s">
        <v>358</v>
      </c>
    </row>
    <row r="10" spans="2:13" ht="26" customHeight="1">
      <c r="B10" s="10" t="s">
        <v>325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326</v>
      </c>
    </row>
    <row r="11" spans="2:13" ht="22" customHeight="1">
      <c r="B11" s="5" t="s">
        <v>327</v>
      </c>
      <c r="C11" s="5"/>
      <c r="D11" s="12"/>
      <c r="E11" s="5" t="s">
        <v>328</v>
      </c>
      <c r="F11" s="13"/>
      <c r="G11" s="13"/>
      <c r="H11" s="13"/>
      <c r="I11" s="5" t="s">
        <v>329</v>
      </c>
      <c r="J11" s="5"/>
      <c r="K11" s="12"/>
    </row>
    <row r="12" spans="2:13" ht="22" customHeight="1">
      <c r="B12" s="5" t="s">
        <v>330</v>
      </c>
      <c r="C12" s="5"/>
      <c r="D12" s="14"/>
      <c r="E12" s="14"/>
      <c r="F12" s="14"/>
      <c r="G12" s="5" t="s">
        <v>331</v>
      </c>
      <c r="H12" s="5"/>
      <c r="I12" s="14"/>
      <c r="J12" s="14"/>
      <c r="K12" s="14"/>
    </row>
    <row r="14" spans="2:13" ht="20" customHeight="1">
      <c r="B14" s="15" t="s">
        <v>332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333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334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335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336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337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338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339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340</v>
      </c>
      <c r="C59" s="5"/>
      <c r="D59" s="5"/>
      <c r="E59" s="20" t="s">
        <v>341</v>
      </c>
      <c r="F59" s="20"/>
      <c r="G59" s="20"/>
      <c r="H59" s="20"/>
      <c r="I59" s="20"/>
      <c r="J59" s="20"/>
      <c r="K59" s="20"/>
    </row>
    <row r="60" spans="2:11" ht="20" customHeight="1">
      <c r="B60" s="5" t="s">
        <v>342</v>
      </c>
      <c r="C60" s="5"/>
      <c r="D60" s="5"/>
      <c r="E60" s="17" t="s">
        <v>136</v>
      </c>
      <c r="F60" s="17"/>
      <c r="G60" s="5" t="s">
        <v>343</v>
      </c>
      <c r="H60" s="17"/>
      <c r="I60" s="17"/>
      <c r="J60" s="17"/>
      <c r="K60" s="17"/>
    </row>
    <row r="61" spans="2:11" ht="20" customHeight="1">
      <c r="B61" s="5" t="s">
        <v>344</v>
      </c>
      <c r="C61" s="5"/>
      <c r="D61" s="5"/>
      <c r="E61" s="17" t="s">
        <v>121</v>
      </c>
      <c r="F61" s="17"/>
      <c r="G61" s="5" t="s">
        <v>123</v>
      </c>
      <c r="H61" s="17"/>
      <c r="I61" s="17"/>
    </row>
    <row r="62" spans="2:11" ht="20" customHeight="1">
      <c r="B62" s="5" t="s">
        <v>121</v>
      </c>
      <c r="C62" s="5"/>
      <c r="D62" s="5"/>
      <c r="E62" s="17"/>
      <c r="F62" s="17"/>
      <c r="G62" s="5" t="s">
        <v>122</v>
      </c>
      <c r="H62" s="17"/>
      <c r="I62" s="17"/>
    </row>
    <row r="64" spans="2:11" ht="22" customHeight="1">
      <c r="B64" s="15" t="s">
        <v>345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346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347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348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349</v>
      </c>
      <c r="C69" s="5"/>
      <c r="D69" s="5"/>
      <c r="E69" s="17"/>
      <c r="F69" s="17"/>
      <c r="G69" s="5" t="s">
        <v>350</v>
      </c>
      <c r="H69" s="5"/>
      <c r="I69" s="17"/>
      <c r="J69" s="17"/>
      <c r="K69" s="17"/>
    </row>
    <row r="70" spans="2:13" ht="20" customHeight="1">
      <c r="B70" s="5" t="s">
        <v>351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352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353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354</v>
      </c>
    </row>
    <row r="76" spans="2:13" ht="22" customHeight="1">
      <c r="B76" s="5" t="s">
        <v>327</v>
      </c>
      <c r="C76" s="5"/>
      <c r="D76" s="12"/>
      <c r="E76" s="5" t="s">
        <v>328</v>
      </c>
      <c r="F76" s="13"/>
      <c r="G76" s="13"/>
      <c r="H76" s="13"/>
      <c r="I76" s="5" t="s">
        <v>329</v>
      </c>
      <c r="J76" s="5"/>
      <c r="K76" s="12"/>
    </row>
    <row r="77" spans="2:13" ht="22" customHeight="1">
      <c r="B77" s="5" t="s">
        <v>330</v>
      </c>
      <c r="C77" s="5"/>
      <c r="D77" s="14"/>
      <c r="E77" s="14"/>
      <c r="F77" s="14"/>
      <c r="G77" s="5" t="s">
        <v>331</v>
      </c>
      <c r="H77" s="5"/>
      <c r="I77" s="14"/>
      <c r="J77" s="14"/>
      <c r="K77" s="14"/>
    </row>
    <row r="79" spans="2:13" ht="20" customHeight="1">
      <c r="B79" s="15" t="s">
        <v>332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333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334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335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336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337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338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339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340</v>
      </c>
      <c r="C124" s="5"/>
      <c r="D124" s="5"/>
      <c r="E124" s="20" t="s">
        <v>341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342</v>
      </c>
      <c r="C125" s="5"/>
      <c r="D125" s="5"/>
      <c r="E125" s="17" t="s">
        <v>136</v>
      </c>
      <c r="F125" s="17"/>
      <c r="G125" s="5" t="s">
        <v>343</v>
      </c>
      <c r="H125" s="17"/>
      <c r="I125" s="17"/>
      <c r="J125" s="17"/>
      <c r="K125" s="17"/>
    </row>
    <row r="126" spans="2:11" ht="20" customHeight="1">
      <c r="B126" s="5" t="s">
        <v>344</v>
      </c>
      <c r="C126" s="5"/>
      <c r="D126" s="5"/>
      <c r="E126" s="17" t="s">
        <v>121</v>
      </c>
      <c r="F126" s="17"/>
      <c r="G126" s="5" t="s">
        <v>123</v>
      </c>
      <c r="H126" s="17"/>
      <c r="I126" s="17"/>
    </row>
    <row r="127" spans="2:11" ht="20" customHeight="1">
      <c r="B127" s="5" t="s">
        <v>121</v>
      </c>
      <c r="C127" s="5"/>
      <c r="D127" s="5"/>
      <c r="E127" s="17"/>
      <c r="F127" s="17"/>
      <c r="G127" s="5" t="s">
        <v>122</v>
      </c>
      <c r="H127" s="17"/>
      <c r="I127" s="17"/>
    </row>
    <row r="129" spans="2:11" ht="22" customHeight="1">
      <c r="B129" s="15" t="s">
        <v>345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346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347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348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349</v>
      </c>
      <c r="C134" s="5"/>
      <c r="D134" s="5"/>
      <c r="E134" s="17"/>
      <c r="F134" s="17"/>
      <c r="G134" s="5" t="s">
        <v>350</v>
      </c>
      <c r="H134" s="5"/>
      <c r="I134" s="17"/>
      <c r="J134" s="17"/>
      <c r="K134" s="17"/>
    </row>
    <row r="135" spans="2:11" ht="20" customHeight="1">
      <c r="B135" s="5" t="s">
        <v>351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352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7">
    <mergeCell ref="F2:K2"/>
    <mergeCell ref="F3:K3"/>
    <mergeCell ref="B6:D6"/>
    <mergeCell ref="E6:F6"/>
    <mergeCell ref="G6:K6"/>
    <mergeCell ref="B10:K10"/>
    <mergeCell ref="B11:C11"/>
    <mergeCell ref="F11:H11"/>
    <mergeCell ref="I11:J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H76"/>
    <mergeCell ref="I76:J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9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K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sqref="K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K8" location="'Embarque'!A1" display="Embarque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91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321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322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359</v>
      </c>
      <c r="C6" s="21">
        <f>IF(pData="","—",TEXT(DAY(pData),"00")&amp;"/"&amp;TEXT(MONTH(pData),"00")&amp;"/"&amp;YEAR(pData))</f>
        <v>0</v>
      </c>
      <c r="D6" s="21"/>
      <c r="E6" s="18" t="s">
        <v>360</v>
      </c>
      <c r="F6" s="21">
        <f>"Dia  07:00 – 19:00"</f>
        <v>0</v>
      </c>
      <c r="G6" s="21"/>
      <c r="H6" s="21"/>
      <c r="I6" s="18" t="s">
        <v>327</v>
      </c>
      <c r="J6" s="21">
        <f>IF(dLetra="","—",dLetra)</f>
        <v>0</v>
      </c>
      <c r="K6" s="18" t="s">
        <v>329</v>
      </c>
      <c r="L6" s="18"/>
      <c r="M6" s="21">
        <f>IF(dRecebe="","—",dRecebe)</f>
        <v>0</v>
      </c>
    </row>
    <row r="7" spans="1:15" ht="22" customHeight="1">
      <c r="B7" s="18" t="s">
        <v>328</v>
      </c>
      <c r="C7" s="22">
        <f>IF(dTecnico="","—",dTecnico)</f>
        <v>0</v>
      </c>
      <c r="D7" s="22"/>
      <c r="E7" s="22"/>
      <c r="F7" s="22"/>
      <c r="G7" s="22"/>
      <c r="H7" s="18" t="s">
        <v>330</v>
      </c>
      <c r="I7" s="18"/>
      <c r="J7" s="21">
        <f>IF(dProdUS3="","—",dProdUS3)</f>
        <v>0</v>
      </c>
      <c r="K7" s="18" t="s">
        <v>331</v>
      </c>
      <c r="L7" s="18"/>
      <c r="M7" s="21">
        <f>IF(dProdUS4="","—",dProdUS4)</f>
        <v>0</v>
      </c>
    </row>
    <row r="9" spans="1:15" ht="21" customHeight="1">
      <c r="B9" s="23" t="s">
        <v>361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332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407</v>
      </c>
    </row>
    <row r="11" spans="1:15" ht="17" customHeight="1">
      <c r="A11" s="25" t="s">
        <v>362</v>
      </c>
      <c r="B11" s="26">
        <f>IF(C11="","",1)</f>
        <v>0</v>
      </c>
      <c r="C11" s="27">
        <f>IF(TRIM('Preenchimento'!$C$15)="","",TRIM('Preenchimento'!$C$15))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362</v>
      </c>
      <c r="B12" s="26">
        <f>IF(C12="","",2)</f>
        <v>0</v>
      </c>
      <c r="C12" s="27">
        <f>IF(TRIM('Preenchimento'!$C$16)="","",TRIM('Preenchimento'!$C$16))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362</v>
      </c>
      <c r="B13" s="26">
        <f>IF(C13="","",3)</f>
        <v>0</v>
      </c>
      <c r="C13" s="27">
        <f>IF(TRIM('Preenchimento'!$C$17)="","",TRIM('Preenchimento'!$C$17))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362</v>
      </c>
      <c r="B14" s="26">
        <f>IF(C14="","",4)</f>
        <v>0</v>
      </c>
      <c r="C14" s="27">
        <f>IF(TRIM('Preenchimento'!$C$18)="","",TRIM('Preenchimento'!$C$18))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362</v>
      </c>
      <c r="B15" s="26">
        <f>IF(C15="","",5)</f>
        <v>0</v>
      </c>
      <c r="C15" s="27">
        <f>IF(TRIM('Preenchimento'!$C$19)="","",TRIM('Preenchimento'!$C$19))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362</v>
      </c>
      <c r="B16" s="26">
        <f>IF(C16="","",6)</f>
        <v>0</v>
      </c>
      <c r="C16" s="27">
        <f>IF(TRIM('Preenchimento'!$C$20)="","",TRIM('Preenchimento'!$C$20))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362</v>
      </c>
      <c r="B17" s="26">
        <f>IF(C17="","",7)</f>
        <v>0</v>
      </c>
      <c r="C17" s="27">
        <f>IF(TRIM('Preenchimento'!$C$21)="","",TRIM('Preenchimento'!$C$21))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362</v>
      </c>
      <c r="B18" s="26">
        <f>IF(C18="","",8)</f>
        <v>0</v>
      </c>
      <c r="C18" s="27">
        <f>IF(TRIM('Preenchimento'!$C$22)="","",TRIM('Preenchimento'!$C$22))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362</v>
      </c>
      <c r="B19" s="26">
        <f>IF(C19="","",9)</f>
        <v>0</v>
      </c>
      <c r="C19" s="27">
        <f>IF(TRIM('Preenchimento'!$C$23)="","",TRIM('Preenchimento'!$C$23))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362</v>
      </c>
      <c r="B20" s="26">
        <f>IF(C20="","",10)</f>
        <v>0</v>
      </c>
      <c r="C20" s="27">
        <f>IF(TRIM('Preenchimento'!$C$24)="","",TRIM('Preenchimento'!$C$24))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362</v>
      </c>
      <c r="B21" s="26">
        <f>IF(C21="","",11)</f>
        <v>0</v>
      </c>
      <c r="C21" s="27">
        <f>IF(TRIM('Preenchimento'!$C$25)="","",TRIM('Preenchimento'!$C$25))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362</v>
      </c>
      <c r="B22" s="26">
        <f>IF(C22="","",12)</f>
        <v>0</v>
      </c>
      <c r="C22" s="27">
        <f>IF(TRIM('Preenchimento'!$C$26)="","",TRIM('Preenchimento'!$C$26))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362</v>
      </c>
      <c r="B23" s="26"/>
      <c r="C23" s="28">
        <f>IF(COUNTA('Preenchimento'!$C$15:$C$26)=0,"Sem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333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362</v>
      </c>
      <c r="B26" s="26">
        <f>IF(C26="","",1)</f>
        <v>0</v>
      </c>
      <c r="C26" s="27">
        <f>IF(TRIM('Preenchimento'!$C$29)="","",TRIM('Preenchimento'!$C$29))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362</v>
      </c>
      <c r="B27" s="26">
        <f>IF(C27="","",2)</f>
        <v>0</v>
      </c>
      <c r="C27" s="27">
        <f>IF(TRIM('Preenchimento'!$C$30)="","",TRIM('Preenchimento'!$C$30))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362</v>
      </c>
      <c r="B28" s="26">
        <f>IF(C28="","",3)</f>
        <v>0</v>
      </c>
      <c r="C28" s="27">
        <f>IF(TRIM('Preenchimento'!$C$31)="","",TRIM('Preenchimento'!$C$31))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362</v>
      </c>
      <c r="B29" s="26">
        <f>IF(C29="","",4)</f>
        <v>0</v>
      </c>
      <c r="C29" s="27">
        <f>IF(TRIM('Preenchimento'!$C$32)="","",TRIM('Preenchimento'!$C$32))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362</v>
      </c>
      <c r="B30" s="26"/>
      <c r="C30" s="28">
        <f>IF(COUNTA('Preenchimento'!$C$29:$C$32)=0,"Sem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334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362</v>
      </c>
      <c r="B33" s="26">
        <f>IF(C33="","",1)</f>
        <v>0</v>
      </c>
      <c r="C33" s="27">
        <f>IF(TRIM('Preenchimento'!$C$35)="","",TRIM('Preenchimento'!$C$35))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362</v>
      </c>
      <c r="B34" s="26">
        <f>IF(C34="","",2)</f>
        <v>0</v>
      </c>
      <c r="C34" s="27">
        <f>IF(TRIM('Preenchimento'!$C$36)="","",TRIM('Preenchimento'!$C$36))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362</v>
      </c>
      <c r="B35" s="26">
        <f>IF(C35="","",3)</f>
        <v>0</v>
      </c>
      <c r="C35" s="27">
        <f>IF(TRIM('Preenchimento'!$C$37)="","",TRIM('Preenchimento'!$C$37))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362</v>
      </c>
      <c r="B36" s="26">
        <f>IF(C36="","",4)</f>
        <v>0</v>
      </c>
      <c r="C36" s="27">
        <f>IF(TRIM('Preenchimento'!$C$38)="","",TRIM('Preenchimento'!$C$38))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362</v>
      </c>
      <c r="B37" s="26"/>
      <c r="C37" s="28">
        <f>IF(COUNTA('Preenchimento'!$C$35:$C$38)=0,"Sem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335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362</v>
      </c>
      <c r="B40" s="26">
        <f>IF(C40="","",1)</f>
        <v>0</v>
      </c>
      <c r="C40" s="27">
        <f>IF(TRIM('Preenchimento'!$C$41)="","",TRIM('Preenchimento'!$C$41))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362</v>
      </c>
      <c r="B41" s="26">
        <f>IF(C41="","",2)</f>
        <v>0</v>
      </c>
      <c r="C41" s="27">
        <f>IF(TRIM('Preenchimento'!$C$42)="","",TRIM('Preenchimento'!$C$42))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362</v>
      </c>
      <c r="B42" s="26">
        <f>IF(C42="","",3)</f>
        <v>0</v>
      </c>
      <c r="C42" s="27">
        <f>IF(TRIM('Preenchimento'!$C$43)="","",TRIM('Preenchimento'!$C$43))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362</v>
      </c>
      <c r="B43" s="26">
        <f>IF(C43="","",4)</f>
        <v>0</v>
      </c>
      <c r="C43" s="27">
        <f>IF(TRIM('Preenchimento'!$C$44)="","",TRIM('Preenchimento'!$C$44))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362</v>
      </c>
      <c r="B44" s="26">
        <f>IF(C44="","",5)</f>
        <v>0</v>
      </c>
      <c r="C44" s="27">
        <f>IF(TRIM('Preenchimento'!$C$45)="","",TRIM('Preenchimento'!$C$45))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362</v>
      </c>
      <c r="B45" s="26">
        <f>IF(C45="","",6)</f>
        <v>0</v>
      </c>
      <c r="C45" s="27">
        <f>IF(TRIM('Preenchimento'!$C$46)="","",TRIM('Preenchimento'!$C$46))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362</v>
      </c>
      <c r="B46" s="26">
        <f>IF(C46="","",7)</f>
        <v>0</v>
      </c>
      <c r="C46" s="27">
        <f>IF(TRIM('Preenchimento'!$C$47)="","",TRIM('Preenchimento'!$C$47))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362</v>
      </c>
      <c r="B47" s="26">
        <f>IF(C47="","",8)</f>
        <v>0</v>
      </c>
      <c r="C47" s="27">
        <f>IF(TRIM('Preenchimento'!$C$48)="","",TRIM('Preenchimento'!$C$48))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362</v>
      </c>
      <c r="B48" s="26"/>
      <c r="C48" s="28">
        <f>IF(COUNTA('Preenchimento'!$C$41:$C$48)=0,"Sem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336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363</v>
      </c>
      <c r="B51" s="18" t="s">
        <v>337</v>
      </c>
      <c r="C51" s="29">
        <f>IF(dComUS3="","Sem registro",dComUS3)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363</v>
      </c>
      <c r="B52" s="18" t="s">
        <v>338</v>
      </c>
      <c r="C52" s="29">
        <f>IF(dComUS4="","Sem registro",dComUS4)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364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363</v>
      </c>
      <c r="B55" s="18" t="s">
        <v>340</v>
      </c>
      <c r="C55" s="29">
        <f>IF(dProg="","—",dProg)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342</v>
      </c>
      <c r="C56" s="21">
        <f>IF(dPadroes="","—",dPadroes)</f>
        <v>0</v>
      </c>
      <c r="D56" s="21"/>
      <c r="E56" s="18" t="s">
        <v>343</v>
      </c>
      <c r="F56" s="18"/>
      <c r="G56" s="22">
        <f>IF(dPadroesQuais="","—",dPadroesQuais)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344</v>
      </c>
      <c r="C57" s="21">
        <f>IF(dAr="","—",dAr)</f>
        <v>0</v>
      </c>
      <c r="D57" s="21"/>
      <c r="E57" s="18" t="s">
        <v>365</v>
      </c>
      <c r="F57" s="18"/>
      <c r="G57" s="21">
        <f>IF(dArStatus="","—",dArStatus)</f>
        <v>0</v>
      </c>
      <c r="H57" s="21"/>
      <c r="I57" s="18" t="s">
        <v>121</v>
      </c>
      <c r="J57" s="18"/>
      <c r="K57" s="21">
        <f>IF(dCompressor="","—",dCompressor)</f>
        <v>0</v>
      </c>
      <c r="L57" s="18" t="s">
        <v>122</v>
      </c>
      <c r="M57" s="21">
        <f>IF(dNitrogenio="","—",dNitrogenio)</f>
        <v>0</v>
      </c>
    </row>
    <row r="59" spans="1:13" ht="21" customHeight="1">
      <c r="B59" s="23" t="s">
        <v>366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346</v>
      </c>
      <c r="C60" s="22">
        <f>IF(dCadinhos="","—",dCadinhos)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347</v>
      </c>
      <c r="C61" s="22">
        <f>IF(dReforma="","—",dReforma)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367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349</v>
      </c>
      <c r="C64" s="21">
        <f>IF(dH2Carvao="","—",dH2Carvao)</f>
        <v>0</v>
      </c>
      <c r="D64" s="21"/>
      <c r="E64" s="18" t="s">
        <v>350</v>
      </c>
      <c r="F64" s="18"/>
      <c r="G64" s="21">
        <f>IF(dH2Coque="","—",dH2Coque)</f>
        <v>0</v>
      </c>
      <c r="H64" s="21"/>
      <c r="I64" s="18" t="s">
        <v>351</v>
      </c>
      <c r="J64" s="18"/>
      <c r="K64" s="22">
        <f>IF(dCoque04="","—",dCoque04)</f>
        <v>0</v>
      </c>
      <c r="L64" s="22"/>
      <c r="M64" s="22"/>
    </row>
    <row r="65" spans="1:18" ht="34" customHeight="1">
      <c r="A65" s="25" t="s">
        <v>363</v>
      </c>
      <c r="B65" s="18" t="s">
        <v>352</v>
      </c>
      <c r="C65" s="29">
        <f>IF(dObs="","—",dObs)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368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369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370</v>
      </c>
      <c r="C69" s="31" t="s">
        <v>371</v>
      </c>
      <c r="D69" s="31" t="s">
        <v>372</v>
      </c>
      <c r="E69" s="31" t="s">
        <v>373</v>
      </c>
      <c r="F69" s="31" t="s">
        <v>374</v>
      </c>
      <c r="G69" s="31" t="s">
        <v>375</v>
      </c>
      <c r="H69" s="31" t="s">
        <v>376</v>
      </c>
      <c r="I69" s="31" t="s">
        <v>377</v>
      </c>
      <c r="J69" s="31" t="s">
        <v>378</v>
      </c>
      <c r="K69" s="31" t="s">
        <v>379</v>
      </c>
      <c r="L69" s="31" t="s">
        <v>380</v>
      </c>
      <c r="M69" s="31" t="s">
        <v>381</v>
      </c>
    </row>
    <row r="70" spans="1:18" ht="18" customHeight="1">
      <c r="A70" s="25" t="s">
        <v>382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383</v>
      </c>
      <c r="B71" s="32" t="s">
        <v>34</v>
      </c>
      <c r="C71" s="33" t="s">
        <v>35</v>
      </c>
      <c r="D71" s="34" t="s">
        <v>384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IFERROR(IF(INDEX('Limites'!$N:$N,MATCH(IF(dProdUS3="",dProdUS4,dProdUS3),'Limites'!$B:$B,0))="","",INDEX('Limites'!$N:$N,MATCH(IF(dProdUS3="",dProdUS4,dProdUS3),'Limites'!$B:$B,0))),"")</f>
        <v>0</v>
      </c>
      <c r="R71">
        <f>IFERROR(IF(INDEX('Limites'!$O:$O,MATCH(IF(dProdUS3="",dProdUS4,dProdUS3),'Limites'!$B:$B,0))="","",INDEX('Limites'!$O:$O,MATCH(IF(dProdUS3="",dProdUS4,dProdUS3),'Limites'!$B:$B,0))),"")</f>
        <v>0</v>
      </c>
    </row>
    <row r="72" spans="1:18" ht="17" customHeight="1">
      <c r="A72" s="25" t="s">
        <v>385</v>
      </c>
      <c r="B72" s="38" t="s">
        <v>39</v>
      </c>
      <c r="C72" s="39" t="s">
        <v>35</v>
      </c>
      <c r="D72" s="40" t="s">
        <v>384</v>
      </c>
      <c r="E72" s="41"/>
      <c r="F72" s="41"/>
      <c r="G72" s="41"/>
      <c r="H72" s="41"/>
      <c r="I72" s="41"/>
      <c r="J72" s="41"/>
      <c r="K72" s="42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IFERROR(IF(INDEX('Limites'!$P:$P,MATCH(IF(dProdUS3="",dProdUS4,dProdUS3),'Limites'!$B:$B,0))="","",INDEX('Limites'!$P:$P,MATCH(IF(dProdUS3="",dProdUS4,dProdUS3),'Limites'!$B:$B,0))),"")</f>
        <v>0</v>
      </c>
      <c r="R72">
        <f>IFERROR(IF(INDEX('Limites'!$Q:$Q,MATCH(IF(dProdUS3="",dProdUS4,dProdUS3),'Limites'!$B:$B,0))="","",INDEX('Limites'!$Q:$Q,MATCH(IF(dProdUS3="",dProdUS4,dProdUS3),'Limites'!$B:$B,0))),"")</f>
        <v>0</v>
      </c>
    </row>
    <row r="73" spans="1:18" ht="17" customHeight="1">
      <c r="A73" s="25" t="s">
        <v>386</v>
      </c>
      <c r="B73" s="32" t="s">
        <v>41</v>
      </c>
      <c r="C73" s="33" t="s">
        <v>35</v>
      </c>
      <c r="D73" s="34" t="s">
        <v>384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387</v>
      </c>
      <c r="B74" s="38" t="s">
        <v>43</v>
      </c>
      <c r="C74" s="39" t="s">
        <v>35</v>
      </c>
      <c r="D74" s="40" t="s">
        <v>384</v>
      </c>
      <c r="E74" s="44"/>
      <c r="F74" s="44"/>
      <c r="G74" s="44"/>
      <c r="H74" s="44"/>
      <c r="I74" s="44"/>
      <c r="J74" s="44"/>
      <c r="K74" s="36">
        <f>IF(COUNT(E74:J74)=0,"",AVERAGE(E74:J74))</f>
        <v>0</v>
      </c>
      <c r="L74" s="45">
        <f>IF(COUNT(E74:J74)=0,"",MIN(E74:J74))</f>
        <v>0</v>
      </c>
      <c r="M74" s="45">
        <f>IF(COUNT(E74:J74)=0,"",MAX(E74:J74))</f>
        <v>0</v>
      </c>
    </row>
    <row r="75" spans="1:18" ht="17" customHeight="1">
      <c r="A75" s="25" t="s">
        <v>388</v>
      </c>
      <c r="B75" s="32" t="s">
        <v>45</v>
      </c>
      <c r="C75" s="33" t="s">
        <v>35</v>
      </c>
      <c r="D75" s="34" t="s">
        <v>384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  <c r="Q75">
        <f>IFERROR(IF(INDEX('Limites'!$R:$R,MATCH(IF(dProdUS3="",dProdUS4,dProdUS3),'Limites'!$B:$B,0))="","",INDEX('Limites'!$R:$R,MATCH(IF(dProdUS3="",dProdUS4,dProdUS3),'Limites'!$B:$B,0))),"")</f>
        <v>0</v>
      </c>
      <c r="R75">
        <f>IFERROR(IF(INDEX('Limites'!$S:$S,MATCH(IF(dProdUS3="",dProdUS4,dProdUS3),'Limites'!$B:$B,0))="","",INDEX('Limites'!$S:$S,MATCH(IF(dProdUS3="",dProdUS4,dProdUS3),'Limites'!$B:$B,0))),"")</f>
        <v>0</v>
      </c>
    </row>
    <row r="76" spans="1:18" ht="18" customHeight="1">
      <c r="A76" s="25" t="s">
        <v>389</v>
      </c>
      <c r="B76" s="24" t="s">
        <v>47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</row>
    <row r="77" spans="1:18" ht="17" customHeight="1">
      <c r="A77" s="25" t="s">
        <v>390</v>
      </c>
      <c r="B77" s="38" t="s">
        <v>48</v>
      </c>
      <c r="C77" s="39" t="s">
        <v>35</v>
      </c>
      <c r="D77" s="40" t="s">
        <v>391</v>
      </c>
      <c r="E77" s="44"/>
      <c r="F77" s="44"/>
      <c r="G77" s="44"/>
      <c r="H77" s="44"/>
      <c r="I77" s="44"/>
      <c r="J77" s="44"/>
      <c r="K77" s="36">
        <f>IF(COUNT(E77:J77)=0,"",AVERAGE(E77:J77))</f>
        <v>0</v>
      </c>
      <c r="L77" s="45">
        <f>IF(COUNT(E77:J77)=0,"",MIN(E77:J77))</f>
        <v>0</v>
      </c>
      <c r="M77" s="45">
        <f>IF(COUNT(E77:J77)=0,"",MAX(E77:J77))</f>
        <v>0</v>
      </c>
      <c r="Q77">
        <f>IFERROR(IF(INDEX('Limites'!$D:$D,MATCH(dProdUS3,'Limites'!$B:$B,0))="","",INDEX('Limites'!$D:$D,MATCH(dProdUS3,'Limites'!$B:$B,0))),"")</f>
        <v>0</v>
      </c>
      <c r="R77">
        <f>IFERROR(IF(INDEX('Limites'!$E:$E,MATCH(dProdUS3,'Limites'!$B:$B,0))="","",INDEX('Limites'!$E:$E,MATCH(dProdUS3,'Limites'!$B:$B,0))),"")</f>
        <v>0</v>
      </c>
    </row>
    <row r="78" spans="1:18" ht="17" customHeight="1">
      <c r="A78" s="25" t="s">
        <v>392</v>
      </c>
      <c r="B78" s="38"/>
      <c r="C78" s="39"/>
      <c r="D78" s="46" t="s">
        <v>393</v>
      </c>
      <c r="E78" s="44"/>
      <c r="F78" s="44"/>
      <c r="G78" s="44"/>
      <c r="H78" s="44"/>
      <c r="I78" s="44"/>
      <c r="J78" s="44"/>
      <c r="K78" s="36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  <c r="Q78">
        <f>IFERROR(IF(INDEX('Limites'!$D:$D,MATCH(dProdUS4,'Limites'!$B:$B,0))="","",INDEX('Limites'!$D:$D,MATCH(dProdUS4,'Limites'!$B:$B,0))),"")</f>
        <v>0</v>
      </c>
      <c r="R78">
        <f>IFERROR(IF(INDEX('Limites'!$E:$E,MATCH(dProdUS4,'Limites'!$B:$B,0))="","",INDEX('Limites'!$E:$E,MATCH(dProdUS4,'Limites'!$B:$B,0))),"")</f>
        <v>0</v>
      </c>
    </row>
    <row r="79" spans="1:18" ht="17" customHeight="1">
      <c r="A79" s="25" t="s">
        <v>394</v>
      </c>
      <c r="B79" s="32" t="s">
        <v>34</v>
      </c>
      <c r="C79" s="33" t="s">
        <v>35</v>
      </c>
      <c r="D79" s="34" t="s">
        <v>391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IFERROR(IF(INDEX('Limites'!$F:$F,MATCH(dProdUS3,'Limites'!$B:$B,0))="","",INDEX('Limites'!$F:$F,MATCH(dProdUS3,'Limites'!$B:$B,0))),"")</f>
        <v>0</v>
      </c>
      <c r="R79">
        <f>IFERROR(IF(INDEX('Limites'!$G:$G,MATCH(dProdUS3,'Limites'!$B:$B,0))="","",INDEX('Limites'!$G:$G,MATCH(dProdUS3,'Limites'!$B:$B,0))),"")</f>
        <v>0</v>
      </c>
    </row>
    <row r="80" spans="1:18" ht="17" customHeight="1">
      <c r="A80" s="25" t="s">
        <v>395</v>
      </c>
      <c r="B80" s="32"/>
      <c r="C80" s="33"/>
      <c r="D80" s="47" t="s">
        <v>393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IFERROR(IF(INDEX('Limites'!$F:$F,MATCH(dProdUS4,'Limites'!$B:$B,0))="","",INDEX('Limites'!$F:$F,MATCH(dProdUS4,'Limites'!$B:$B,0))),"")</f>
        <v>0</v>
      </c>
      <c r="R80">
        <f>IFERROR(IF(INDEX('Limites'!$G:$G,MATCH(dProdUS4,'Limites'!$B:$B,0))="","",INDEX('Limites'!$G:$G,MATCH(dProdUS4,'Limites'!$B:$B,0))),"")</f>
        <v>0</v>
      </c>
    </row>
    <row r="81" spans="1:18" ht="17" customHeight="1">
      <c r="A81" s="25" t="s">
        <v>396</v>
      </c>
      <c r="B81" s="38" t="s">
        <v>53</v>
      </c>
      <c r="C81" s="39" t="s">
        <v>35</v>
      </c>
      <c r="D81" s="40" t="s">
        <v>391</v>
      </c>
      <c r="E81" s="44"/>
      <c r="F81" s="44"/>
      <c r="G81" s="44"/>
      <c r="H81" s="44"/>
      <c r="I81" s="44"/>
      <c r="J81" s="44"/>
      <c r="K81" s="36">
        <f>IF(COUNT(E81:J81)=0,"",AVERAGE(E81:J81))</f>
        <v>0</v>
      </c>
      <c r="L81" s="45">
        <f>IF(COUNT(E81:J81)=0,"",MIN(E81:J81))</f>
        <v>0</v>
      </c>
      <c r="M81" s="45">
        <f>IF(COUNT(E81:J81)=0,"",MAX(E81:J81))</f>
        <v>0</v>
      </c>
    </row>
    <row r="82" spans="1:18" ht="17" customHeight="1">
      <c r="A82" s="25" t="s">
        <v>397</v>
      </c>
      <c r="B82" s="38"/>
      <c r="C82" s="39"/>
      <c r="D82" s="46" t="s">
        <v>393</v>
      </c>
      <c r="E82" s="44"/>
      <c r="F82" s="44"/>
      <c r="G82" s="44"/>
      <c r="H82" s="44"/>
      <c r="I82" s="44"/>
      <c r="J82" s="44"/>
      <c r="K82" s="36">
        <f>IF(COUNT(E82:J82)=0,"",AVERAGE(E82:J82))</f>
        <v>0</v>
      </c>
      <c r="L82" s="45">
        <f>IF(COUNT(E82:J82)=0,"",MIN(E82:J82))</f>
        <v>0</v>
      </c>
      <c r="M82" s="45">
        <f>IF(COUNT(E82:J82)=0,"",MAX(E82:J82))</f>
        <v>0</v>
      </c>
    </row>
    <row r="83" spans="1:18" ht="17" customHeight="1">
      <c r="A83" s="25" t="s">
        <v>398</v>
      </c>
      <c r="B83" s="32" t="s">
        <v>43</v>
      </c>
      <c r="C83" s="33" t="s">
        <v>35</v>
      </c>
      <c r="D83" s="34" t="s">
        <v>391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IFERROR(IF(INDEX('Limites'!$J:$J,MATCH(dProdUS3,'Limites'!$B:$B,0))="","",INDEX('Limites'!$J:$J,MATCH(dProdUS3,'Limites'!$B:$B,0))),"")</f>
        <v>0</v>
      </c>
      <c r="R83">
        <f>IFERROR(IF(INDEX('Limites'!$K:$K,MATCH(dProdUS3,'Limites'!$B:$B,0))="","",INDEX('Limites'!$K:$K,MATCH(dProdUS3,'Limites'!$B:$B,0))),"")</f>
        <v>0</v>
      </c>
    </row>
    <row r="84" spans="1:18" ht="17" customHeight="1">
      <c r="A84" s="25" t="s">
        <v>399</v>
      </c>
      <c r="B84" s="32"/>
      <c r="C84" s="33"/>
      <c r="D84" s="47" t="s">
        <v>393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IFERROR(IF(INDEX('Limites'!$J:$J,MATCH(dProdUS4,'Limites'!$B:$B,0))="","",INDEX('Limites'!$J:$J,MATCH(dProdUS4,'Limites'!$B:$B,0))),"")</f>
        <v>0</v>
      </c>
      <c r="R84">
        <f>IFERROR(IF(INDEX('Limites'!$K:$K,MATCH(dProdUS4,'Limites'!$B:$B,0))="","",INDEX('Limites'!$K:$K,MATCH(dProdUS4,'Limites'!$B:$B,0))),"")</f>
        <v>0</v>
      </c>
    </row>
    <row r="85" spans="1:18" ht="17" customHeight="1">
      <c r="A85" s="25" t="s">
        <v>400</v>
      </c>
      <c r="B85" s="38" t="s">
        <v>41</v>
      </c>
      <c r="C85" s="39" t="s">
        <v>35</v>
      </c>
      <c r="D85" s="40" t="s">
        <v>391</v>
      </c>
      <c r="E85" s="44"/>
      <c r="F85" s="44"/>
      <c r="G85" s="44"/>
      <c r="H85" s="44"/>
      <c r="I85" s="44"/>
      <c r="J85" s="44"/>
      <c r="K85" s="36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7" customHeight="1">
      <c r="A86" s="25" t="s">
        <v>401</v>
      </c>
      <c r="B86" s="38"/>
      <c r="C86" s="39"/>
      <c r="D86" s="46" t="s">
        <v>393</v>
      </c>
      <c r="E86" s="44"/>
      <c r="F86" s="44"/>
      <c r="G86" s="44"/>
      <c r="H86" s="44"/>
      <c r="I86" s="44"/>
      <c r="J86" s="44"/>
      <c r="K86" s="36">
        <f>IF(COUNT(E86:J86)=0,"",AVERAGE(E86:J86))</f>
        <v>0</v>
      </c>
      <c r="L86" s="45">
        <f>IF(COUNT(E86:J86)=0,"",MIN(E86:J86))</f>
        <v>0</v>
      </c>
      <c r="M86" s="45">
        <f>IF(COUNT(E86:J86)=0,"",MAX(E86:J86))</f>
        <v>0</v>
      </c>
    </row>
    <row r="87" spans="1:18" ht="17" customHeight="1">
      <c r="A87" s="25" t="s">
        <v>402</v>
      </c>
      <c r="B87" s="32" t="s">
        <v>60</v>
      </c>
      <c r="C87" s="33" t="s">
        <v>61</v>
      </c>
      <c r="D87" s="34" t="s">
        <v>391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  <c r="Q87">
        <f>IFERROR(IF(INDEX('Limites'!$L:$L,MATCH(dProdUS3,'Limites'!$B:$B,0))="","",INDEX('Limites'!$L:$L,MATCH(dProdUS3,'Limites'!$B:$B,0))),"")</f>
        <v>0</v>
      </c>
      <c r="R87">
        <f>IFERROR(IF(INDEX('Limites'!$M:$M,MATCH(dProdUS3,'Limites'!$B:$B,0))="","",INDEX('Limites'!$M:$M,MATCH(dProdUS3,'Limites'!$B:$B,0))),"")</f>
        <v>0</v>
      </c>
    </row>
    <row r="88" spans="1:18" ht="17" customHeight="1">
      <c r="A88" s="25" t="s">
        <v>403</v>
      </c>
      <c r="B88" s="32"/>
      <c r="C88" s="33"/>
      <c r="D88" s="47" t="s">
        <v>393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IFERROR(IF(INDEX('Limites'!$L:$L,MATCH(dProdUS4,'Limites'!$B:$B,0))="","",INDEX('Limites'!$L:$L,MATCH(dProdUS4,'Limites'!$B:$B,0))),"")</f>
        <v>0</v>
      </c>
      <c r="R88">
        <f>IFERROR(IF(INDEX('Limites'!$M:$M,MATCH(dProdUS4,'Limites'!$B:$B,0))="","",INDEX('Limites'!$M:$M,MATCH(dProdUS4,'Limites'!$B:$B,0))),"")</f>
        <v>0</v>
      </c>
    </row>
    <row r="89" spans="1:18" ht="17" customHeight="1">
      <c r="A89" s="25" t="s">
        <v>404</v>
      </c>
      <c r="B89" s="38" t="s">
        <v>64</v>
      </c>
      <c r="C89" s="39" t="s">
        <v>35</v>
      </c>
      <c r="D89" s="40" t="s">
        <v>391</v>
      </c>
      <c r="E89" s="41"/>
      <c r="F89" s="41"/>
      <c r="G89" s="41"/>
      <c r="H89" s="41"/>
      <c r="I89" s="41"/>
      <c r="J89" s="41"/>
      <c r="K89" s="42">
        <f>IF(COUNT(E89:J89)=0,"",AVERAGE(E89:J89))</f>
        <v>0</v>
      </c>
      <c r="L89" s="43">
        <f>IF(COUNT(E89:J89)=0,"",MIN(E89:J89))</f>
        <v>0</v>
      </c>
      <c r="M89" s="43">
        <f>IF(COUNT(E89:J89)=0,"",MAX(E89:J89))</f>
        <v>0</v>
      </c>
    </row>
    <row r="90" spans="1:18" ht="17" customHeight="1">
      <c r="A90" s="25" t="s">
        <v>405</v>
      </c>
      <c r="B90" s="38"/>
      <c r="C90" s="39"/>
      <c r="D90" s="46" t="s">
        <v>393</v>
      </c>
      <c r="E90" s="41"/>
      <c r="F90" s="41"/>
      <c r="G90" s="41"/>
      <c r="H90" s="41"/>
      <c r="I90" s="41"/>
      <c r="J90" s="41"/>
      <c r="K90" s="42">
        <f>IF(COUNT(E90:J90)=0,"",AVERAGE(E90:J90))</f>
        <v>0</v>
      </c>
      <c r="L90" s="43">
        <f>IF(COUNT(E90:J90)=0,"",MIN(E90:J90))</f>
        <v>0</v>
      </c>
      <c r="M90" s="43">
        <f>IF(COUNT(E90:J90)=0,"",MAX(E90:J90))</f>
        <v>0</v>
      </c>
    </row>
    <row r="91" spans="1:18" ht="17" customHeight="1">
      <c r="B91" s="48" t="s">
        <v>406</v>
      </c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</sheetData>
  <sheetProtection sheet="1" objects="1" scenarios="1" formatColumns="0" formatRows="0"/>
  <mergeCells count="86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6:M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B88"/>
    <mergeCell ref="C87:C88"/>
    <mergeCell ref="B89:B90"/>
    <mergeCell ref="C89:C90"/>
    <mergeCell ref="B91:M91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AND(ISNUMBER(E72),OR(AND(ISNUMBER($Q72),ROUND(E72,3)&lt;$Q72),AND(ISNUMBER($R72),ROUND(E72,3)&gt;$R72)))</formula>
    </cfRule>
    <cfRule type="expression" dxfId="2" priority="4">
      <formula>AND(ISNUMBER(E72),OR(ISNUMBER($Q72),ISNUMBER($R72)),NOT(OR(AND(ISNUMBER($Q72),ROUND(E72,3)&lt;$Q72),AND(ISNUMBER($R72),ROUND(E72,3)&gt;$R72))))</formula>
    </cfRule>
  </conditionalFormatting>
  <conditionalFormatting sqref="E75:K75">
    <cfRule type="expression" dxfId="1" priority="5">
      <formula>AND(ISNUMBER(E75),OR(AND(ISNUMBER($Q75),ROUND(E75,2)&lt;$Q75),AND(ISNUMBER($R75),ROUND(E75,2)&gt;$R75)))</formula>
    </cfRule>
    <cfRule type="expression" dxfId="2" priority="6">
      <formula>AND(ISNUMBER(E75),OR(ISNUMBER($Q75),ISNUMBER($R75)),NOT(OR(AND(ISNUMBER($Q75),ROUND(E75,2)&lt;$Q75),AND(ISNUMBER($R75),ROUND(E75,2)&gt;$R75))))</formula>
    </cfRule>
  </conditionalFormatting>
  <conditionalFormatting sqref="E77:K77">
    <cfRule type="expression" dxfId="1" priority="7">
      <formula>AND(ISNUMBER(E77),OR(AND(ISNUMBER($Q77),ROUND(E77,2)&lt;$Q77),AND(ISNUMBER($R77),ROUND(E77,2)&gt;$R77)))</formula>
    </cfRule>
    <cfRule type="expression" dxfId="2" priority="8">
      <formula>AND(ISNUMBER(E77),OR(ISNUMBER($Q77),ISNUMBER($R77)),NOT(OR(AND(ISNUMBER($Q77),ROUND(E77,2)&lt;$Q77),AND(ISNUMBER($R77),ROUND(E77,2)&gt;$R77))))</formula>
    </cfRule>
  </conditionalFormatting>
  <conditionalFormatting sqref="E78:K78">
    <cfRule type="expression" dxfId="1" priority="9">
      <formula>AND(ISNUMBER(E78),OR(AND(ISNUMBER($Q78),ROUND(E78,2)&lt;$Q78),AND(ISNUMBER($R78),ROUND(E78,2)&gt;$R78)))</formula>
    </cfRule>
    <cfRule type="expression" dxfId="2" priority="10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11">
      <formula>AND(ISNUMBER(E79),OR(AND(ISNUMBER($Q79),ROUND(E79,2)&lt;$Q79),AND(ISNUMBER($R79),ROUND(E79,2)&gt;$R79)))</formula>
    </cfRule>
    <cfRule type="expression" dxfId="2" priority="12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3">
      <formula>AND(ISNUMBER(E80),OR(AND(ISNUMBER($Q80),ROUND(E80,2)&lt;$Q80),AND(ISNUMBER($R80),ROUND(E80,2)&gt;$R80)))</formula>
    </cfRule>
    <cfRule type="expression" dxfId="2" priority="14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7:K87">
    <cfRule type="expression" dxfId="1" priority="19">
      <formula>AND(ISNUMBER(E87),OR(AND(ISNUMBER($Q87),ROUND(E87,2)&lt;$Q87),AND(ISNUMBER($R87),ROUND(E87,2)&gt;$R87)))</formula>
    </cfRule>
    <cfRule type="expression" dxfId="2" priority="20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91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321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322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359</v>
      </c>
      <c r="C6" s="21">
        <f>IF(pData="","—",TEXT(DAY(pData),"00")&amp;"/"&amp;TEXT(MONTH(pData),"00")&amp;"/"&amp;YEAR(pData))</f>
        <v>0</v>
      </c>
      <c r="D6" s="21"/>
      <c r="E6" s="18" t="s">
        <v>360</v>
      </c>
      <c r="F6" s="21">
        <f>"Noite  19:00 – 07:00"</f>
        <v>0</v>
      </c>
      <c r="G6" s="21"/>
      <c r="H6" s="21"/>
      <c r="I6" s="18" t="s">
        <v>327</v>
      </c>
      <c r="J6" s="21">
        <f>IF(nLetra="","—",nLetra)</f>
        <v>0</v>
      </c>
      <c r="K6" s="18" t="s">
        <v>329</v>
      </c>
      <c r="L6" s="18"/>
      <c r="M6" s="21">
        <f>IF(nRecebe="","—",nRecebe)</f>
        <v>0</v>
      </c>
    </row>
    <row r="7" spans="1:15" ht="22" customHeight="1">
      <c r="B7" s="18" t="s">
        <v>328</v>
      </c>
      <c r="C7" s="22">
        <f>IF(nTecnico="","—",nTecnico)</f>
        <v>0</v>
      </c>
      <c r="D7" s="22"/>
      <c r="E7" s="22"/>
      <c r="F7" s="22"/>
      <c r="G7" s="22"/>
      <c r="H7" s="18" t="s">
        <v>330</v>
      </c>
      <c r="I7" s="18"/>
      <c r="J7" s="21">
        <f>IF(nProdUS3="","—",nProdUS3)</f>
        <v>0</v>
      </c>
      <c r="K7" s="18" t="s">
        <v>331</v>
      </c>
      <c r="L7" s="18"/>
      <c r="M7" s="21">
        <f>IF(nProdUS4="","—",nProdUS4)</f>
        <v>0</v>
      </c>
    </row>
    <row r="9" spans="1:15" ht="21" customHeight="1">
      <c r="B9" s="23" t="s">
        <v>361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332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407</v>
      </c>
    </row>
    <row r="11" spans="1:15" ht="17" customHeight="1">
      <c r="A11" s="25" t="s">
        <v>362</v>
      </c>
      <c r="B11" s="26">
        <f>IF(C11="","",1)</f>
        <v>0</v>
      </c>
      <c r="C11" s="27">
        <f>IF(TRIM('Preenchimento'!$C$80)="","",TRIM('Preenchimento'!$C$80))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362</v>
      </c>
      <c r="B12" s="26">
        <f>IF(C12="","",2)</f>
        <v>0</v>
      </c>
      <c r="C12" s="27">
        <f>IF(TRIM('Preenchimento'!$C$81)="","",TRIM('Preenchimento'!$C$81))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362</v>
      </c>
      <c r="B13" s="26">
        <f>IF(C13="","",3)</f>
        <v>0</v>
      </c>
      <c r="C13" s="27">
        <f>IF(TRIM('Preenchimento'!$C$82)="","",TRIM('Preenchimento'!$C$82))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362</v>
      </c>
      <c r="B14" s="26">
        <f>IF(C14="","",4)</f>
        <v>0</v>
      </c>
      <c r="C14" s="27">
        <f>IF(TRIM('Preenchimento'!$C$83)="","",TRIM('Preenchimento'!$C$83))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362</v>
      </c>
      <c r="B15" s="26">
        <f>IF(C15="","",5)</f>
        <v>0</v>
      </c>
      <c r="C15" s="27">
        <f>IF(TRIM('Preenchimento'!$C$84)="","",TRIM('Preenchimento'!$C$84))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362</v>
      </c>
      <c r="B16" s="26">
        <f>IF(C16="","",6)</f>
        <v>0</v>
      </c>
      <c r="C16" s="27">
        <f>IF(TRIM('Preenchimento'!$C$85)="","",TRIM('Preenchimento'!$C$85))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362</v>
      </c>
      <c r="B17" s="26">
        <f>IF(C17="","",7)</f>
        <v>0</v>
      </c>
      <c r="C17" s="27">
        <f>IF(TRIM('Preenchimento'!$C$86)="","",TRIM('Preenchimento'!$C$86))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362</v>
      </c>
      <c r="B18" s="26">
        <f>IF(C18="","",8)</f>
        <v>0</v>
      </c>
      <c r="C18" s="27">
        <f>IF(TRIM('Preenchimento'!$C$87)="","",TRIM('Preenchimento'!$C$87))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362</v>
      </c>
      <c r="B19" s="26">
        <f>IF(C19="","",9)</f>
        <v>0</v>
      </c>
      <c r="C19" s="27">
        <f>IF(TRIM('Preenchimento'!$C$88)="","",TRIM('Preenchimento'!$C$88))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362</v>
      </c>
      <c r="B20" s="26">
        <f>IF(C20="","",10)</f>
        <v>0</v>
      </c>
      <c r="C20" s="27">
        <f>IF(TRIM('Preenchimento'!$C$89)="","",TRIM('Preenchimento'!$C$89))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362</v>
      </c>
      <c r="B21" s="26">
        <f>IF(C21="","",11)</f>
        <v>0</v>
      </c>
      <c r="C21" s="27">
        <f>IF(TRIM('Preenchimento'!$C$90)="","",TRIM('Preenchimento'!$C$90))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362</v>
      </c>
      <c r="B22" s="26">
        <f>IF(C22="","",12)</f>
        <v>0</v>
      </c>
      <c r="C22" s="27">
        <f>IF(TRIM('Preenchimento'!$C$91)="","",TRIM('Preenchimento'!$C$91))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362</v>
      </c>
      <c r="B23" s="26"/>
      <c r="C23" s="28">
        <f>IF(COUNTA('Preenchimento'!$C$80:$C$91)=0,"Sem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333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362</v>
      </c>
      <c r="B26" s="26">
        <f>IF(C26="","",1)</f>
        <v>0</v>
      </c>
      <c r="C26" s="27">
        <f>IF(TRIM('Preenchimento'!$C$94)="","",TRIM('Preenchimento'!$C$94))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362</v>
      </c>
      <c r="B27" s="26">
        <f>IF(C27="","",2)</f>
        <v>0</v>
      </c>
      <c r="C27" s="27">
        <f>IF(TRIM('Preenchimento'!$C$95)="","",TRIM('Preenchimento'!$C$95))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362</v>
      </c>
      <c r="B28" s="26">
        <f>IF(C28="","",3)</f>
        <v>0</v>
      </c>
      <c r="C28" s="27">
        <f>IF(TRIM('Preenchimento'!$C$96)="","",TRIM('Preenchimento'!$C$96))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362</v>
      </c>
      <c r="B29" s="26">
        <f>IF(C29="","",4)</f>
        <v>0</v>
      </c>
      <c r="C29" s="27">
        <f>IF(TRIM('Preenchimento'!$C$97)="","",TRIM('Preenchimento'!$C$97))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362</v>
      </c>
      <c r="B30" s="26"/>
      <c r="C30" s="28">
        <f>IF(COUNTA('Preenchimento'!$C$94:$C$97)=0,"Sem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334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362</v>
      </c>
      <c r="B33" s="26">
        <f>IF(C33="","",1)</f>
        <v>0</v>
      </c>
      <c r="C33" s="27">
        <f>IF(TRIM('Preenchimento'!$C$100)="","",TRIM('Preenchimento'!$C$100))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362</v>
      </c>
      <c r="B34" s="26">
        <f>IF(C34="","",2)</f>
        <v>0</v>
      </c>
      <c r="C34" s="27">
        <f>IF(TRIM('Preenchimento'!$C$101)="","",TRIM('Preenchimento'!$C$101))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362</v>
      </c>
      <c r="B35" s="26">
        <f>IF(C35="","",3)</f>
        <v>0</v>
      </c>
      <c r="C35" s="27">
        <f>IF(TRIM('Preenchimento'!$C$102)="","",TRIM('Preenchimento'!$C$102))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362</v>
      </c>
      <c r="B36" s="26">
        <f>IF(C36="","",4)</f>
        <v>0</v>
      </c>
      <c r="C36" s="27">
        <f>IF(TRIM('Preenchimento'!$C$103)="","",TRIM('Preenchimento'!$C$103))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362</v>
      </c>
      <c r="B37" s="26"/>
      <c r="C37" s="28">
        <f>IF(COUNTA('Preenchimento'!$C$100:$C$103)=0,"Sem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335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362</v>
      </c>
      <c r="B40" s="26">
        <f>IF(C40="","",1)</f>
        <v>0</v>
      </c>
      <c r="C40" s="27">
        <f>IF(TRIM('Preenchimento'!$C$106)="","",TRIM('Preenchimento'!$C$106))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362</v>
      </c>
      <c r="B41" s="26">
        <f>IF(C41="","",2)</f>
        <v>0</v>
      </c>
      <c r="C41" s="27">
        <f>IF(TRIM('Preenchimento'!$C$107)="","",TRIM('Preenchimento'!$C$107))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362</v>
      </c>
      <c r="B42" s="26">
        <f>IF(C42="","",3)</f>
        <v>0</v>
      </c>
      <c r="C42" s="27">
        <f>IF(TRIM('Preenchimento'!$C$108)="","",TRIM('Preenchimento'!$C$108))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362</v>
      </c>
      <c r="B43" s="26">
        <f>IF(C43="","",4)</f>
        <v>0</v>
      </c>
      <c r="C43" s="27">
        <f>IF(TRIM('Preenchimento'!$C$109)="","",TRIM('Preenchimento'!$C$109))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362</v>
      </c>
      <c r="B44" s="26">
        <f>IF(C44="","",5)</f>
        <v>0</v>
      </c>
      <c r="C44" s="27">
        <f>IF(TRIM('Preenchimento'!$C$110)="","",TRIM('Preenchimento'!$C$110))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362</v>
      </c>
      <c r="B45" s="26">
        <f>IF(C45="","",6)</f>
        <v>0</v>
      </c>
      <c r="C45" s="27">
        <f>IF(TRIM('Preenchimento'!$C$111)="","",TRIM('Preenchimento'!$C$111))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362</v>
      </c>
      <c r="B46" s="26">
        <f>IF(C46="","",7)</f>
        <v>0</v>
      </c>
      <c r="C46" s="27">
        <f>IF(TRIM('Preenchimento'!$C$112)="","",TRIM('Preenchimento'!$C$112))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362</v>
      </c>
      <c r="B47" s="26">
        <f>IF(C47="","",8)</f>
        <v>0</v>
      </c>
      <c r="C47" s="27">
        <f>IF(TRIM('Preenchimento'!$C$113)="","",TRIM('Preenchimento'!$C$113))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362</v>
      </c>
      <c r="B48" s="26"/>
      <c r="C48" s="28">
        <f>IF(COUNTA('Preenchimento'!$C$106:$C$113)=0,"Sem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336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363</v>
      </c>
      <c r="B51" s="18" t="s">
        <v>337</v>
      </c>
      <c r="C51" s="29">
        <f>IF(nComUS3="","Sem registro",nComUS3)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363</v>
      </c>
      <c r="B52" s="18" t="s">
        <v>338</v>
      </c>
      <c r="C52" s="29">
        <f>IF(nComUS4="","Sem registro",nComUS4)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364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363</v>
      </c>
      <c r="B55" s="18" t="s">
        <v>340</v>
      </c>
      <c r="C55" s="29">
        <f>IF(nProg="","—",nProg)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342</v>
      </c>
      <c r="C56" s="21">
        <f>IF(nPadroes="","—",nPadroes)</f>
        <v>0</v>
      </c>
      <c r="D56" s="21"/>
      <c r="E56" s="18" t="s">
        <v>343</v>
      </c>
      <c r="F56" s="18"/>
      <c r="G56" s="22">
        <f>IF(nPadroesQuais="","—",nPadroesQuais)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344</v>
      </c>
      <c r="C57" s="21">
        <f>IF(nAr="","—",nAr)</f>
        <v>0</v>
      </c>
      <c r="D57" s="21"/>
      <c r="E57" s="18" t="s">
        <v>365</v>
      </c>
      <c r="F57" s="18"/>
      <c r="G57" s="21">
        <f>IF(nArStatus="","—",nArStatus)</f>
        <v>0</v>
      </c>
      <c r="H57" s="21"/>
      <c r="I57" s="18" t="s">
        <v>121</v>
      </c>
      <c r="J57" s="18"/>
      <c r="K57" s="21">
        <f>IF(nCompressor="","—",nCompressor)</f>
        <v>0</v>
      </c>
      <c r="L57" s="18" t="s">
        <v>122</v>
      </c>
      <c r="M57" s="21">
        <f>IF(nNitrogenio="","—",nNitrogenio)</f>
        <v>0</v>
      </c>
    </row>
    <row r="59" spans="1:13" ht="21" customHeight="1">
      <c r="B59" s="23" t="s">
        <v>366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346</v>
      </c>
      <c r="C60" s="22">
        <f>IF(nCadinhos="","—",nCadinhos)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347</v>
      </c>
      <c r="C61" s="22">
        <f>IF(nReforma="","—",nReforma)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367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349</v>
      </c>
      <c r="C64" s="21">
        <f>IF(nH2Carvao="","—",nH2Carvao)</f>
        <v>0</v>
      </c>
      <c r="D64" s="21"/>
      <c r="E64" s="18" t="s">
        <v>350</v>
      </c>
      <c r="F64" s="18"/>
      <c r="G64" s="21">
        <f>IF(nH2Coque="","—",nH2Coque)</f>
        <v>0</v>
      </c>
      <c r="H64" s="21"/>
      <c r="I64" s="18" t="s">
        <v>351</v>
      </c>
      <c r="J64" s="18"/>
      <c r="K64" s="22">
        <f>IF(nCoque04="","—",nCoque04)</f>
        <v>0</v>
      </c>
      <c r="L64" s="22"/>
      <c r="M64" s="22"/>
    </row>
    <row r="65" spans="1:18" ht="34" customHeight="1">
      <c r="A65" s="25" t="s">
        <v>363</v>
      </c>
      <c r="B65" s="18" t="s">
        <v>352</v>
      </c>
      <c r="C65" s="29">
        <f>IF(nObs="","—",nObs)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368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369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370</v>
      </c>
      <c r="C69" s="31" t="s">
        <v>371</v>
      </c>
      <c r="D69" s="31" t="s">
        <v>372</v>
      </c>
      <c r="E69" s="31" t="s">
        <v>408</v>
      </c>
      <c r="F69" s="31" t="s">
        <v>409</v>
      </c>
      <c r="G69" s="31" t="s">
        <v>410</v>
      </c>
      <c r="H69" s="31" t="s">
        <v>411</v>
      </c>
      <c r="I69" s="31" t="s">
        <v>412</v>
      </c>
      <c r="J69" s="31" t="s">
        <v>413</v>
      </c>
      <c r="K69" s="31" t="s">
        <v>379</v>
      </c>
      <c r="L69" s="31" t="s">
        <v>380</v>
      </c>
      <c r="M69" s="31" t="s">
        <v>381</v>
      </c>
    </row>
    <row r="70" spans="1:18" ht="18" customHeight="1">
      <c r="A70" s="25" t="s">
        <v>382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383</v>
      </c>
      <c r="B71" s="32" t="s">
        <v>34</v>
      </c>
      <c r="C71" s="33" t="s">
        <v>35</v>
      </c>
      <c r="D71" s="34" t="s">
        <v>384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IFERROR(IF(INDEX('Limites'!$N:$N,MATCH(IF(nProdUS3="",nProdUS4,nProdUS3),'Limites'!$B:$B,0))="","",INDEX('Limites'!$N:$N,MATCH(IF(nProdUS3="",nProdUS4,nProdUS3),'Limites'!$B:$B,0))),"")</f>
        <v>0</v>
      </c>
      <c r="R71">
        <f>IFERROR(IF(INDEX('Limites'!$O:$O,MATCH(IF(nProdUS3="",nProdUS4,nProdUS3),'Limites'!$B:$B,0))="","",INDEX('Limites'!$O:$O,MATCH(IF(nProdUS3="",nProdUS4,nProdUS3),'Limites'!$B:$B,0))),"")</f>
        <v>0</v>
      </c>
    </row>
    <row r="72" spans="1:18" ht="17" customHeight="1">
      <c r="A72" s="25" t="s">
        <v>385</v>
      </c>
      <c r="B72" s="38" t="s">
        <v>39</v>
      </c>
      <c r="C72" s="39" t="s">
        <v>35</v>
      </c>
      <c r="D72" s="40" t="s">
        <v>384</v>
      </c>
      <c r="E72" s="41"/>
      <c r="F72" s="41"/>
      <c r="G72" s="41"/>
      <c r="H72" s="41"/>
      <c r="I72" s="41"/>
      <c r="J72" s="41"/>
      <c r="K72" s="42">
        <f>IF(COUNT(E72:J72)=0,"",AVERAGE(E72:J72))</f>
        <v>0</v>
      </c>
      <c r="L72" s="43">
        <f>IF(COUNT(E72:J72)=0,"",MIN(E72:J72))</f>
        <v>0</v>
      </c>
      <c r="M72" s="43">
        <f>IF(COUNT(E72:J72)=0,"",MAX(E72:J72))</f>
        <v>0</v>
      </c>
      <c r="Q72">
        <f>IFERROR(IF(INDEX('Limites'!$P:$P,MATCH(IF(nProdUS3="",nProdUS4,nProdUS3),'Limites'!$B:$B,0))="","",INDEX('Limites'!$P:$P,MATCH(IF(nProdUS3="",nProdUS4,nProdUS3),'Limites'!$B:$B,0))),"")</f>
        <v>0</v>
      </c>
      <c r="R72">
        <f>IFERROR(IF(INDEX('Limites'!$Q:$Q,MATCH(IF(nProdUS3="",nProdUS4,nProdUS3),'Limites'!$B:$B,0))="","",INDEX('Limites'!$Q:$Q,MATCH(IF(nProdUS3="",nProdUS4,nProdUS3),'Limites'!$B:$B,0))),"")</f>
        <v>0</v>
      </c>
    </row>
    <row r="73" spans="1:18" ht="17" customHeight="1">
      <c r="A73" s="25" t="s">
        <v>386</v>
      </c>
      <c r="B73" s="32" t="s">
        <v>41</v>
      </c>
      <c r="C73" s="33" t="s">
        <v>35</v>
      </c>
      <c r="D73" s="34" t="s">
        <v>384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387</v>
      </c>
      <c r="B74" s="38" t="s">
        <v>43</v>
      </c>
      <c r="C74" s="39" t="s">
        <v>35</v>
      </c>
      <c r="D74" s="40" t="s">
        <v>384</v>
      </c>
      <c r="E74" s="44"/>
      <c r="F74" s="44"/>
      <c r="G74" s="44"/>
      <c r="H74" s="44"/>
      <c r="I74" s="44"/>
      <c r="J74" s="44"/>
      <c r="K74" s="36">
        <f>IF(COUNT(E74:J74)=0,"",AVERAGE(E74:J74))</f>
        <v>0</v>
      </c>
      <c r="L74" s="45">
        <f>IF(COUNT(E74:J74)=0,"",MIN(E74:J74))</f>
        <v>0</v>
      </c>
      <c r="M74" s="45">
        <f>IF(COUNT(E74:J74)=0,"",MAX(E74:J74))</f>
        <v>0</v>
      </c>
    </row>
    <row r="75" spans="1:18" ht="17" customHeight="1">
      <c r="A75" s="25" t="s">
        <v>388</v>
      </c>
      <c r="B75" s="32" t="s">
        <v>45</v>
      </c>
      <c r="C75" s="33" t="s">
        <v>35</v>
      </c>
      <c r="D75" s="34" t="s">
        <v>384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  <c r="Q75">
        <f>IFERROR(IF(INDEX('Limites'!$R:$R,MATCH(IF(nProdUS3="",nProdUS4,nProdUS3),'Limites'!$B:$B,0))="","",INDEX('Limites'!$R:$R,MATCH(IF(nProdUS3="",nProdUS4,nProdUS3),'Limites'!$B:$B,0))),"")</f>
        <v>0</v>
      </c>
      <c r="R75">
        <f>IFERROR(IF(INDEX('Limites'!$S:$S,MATCH(IF(nProdUS3="",nProdUS4,nProdUS3),'Limites'!$B:$B,0))="","",INDEX('Limites'!$S:$S,MATCH(IF(nProdUS3="",nProdUS4,nProdUS3),'Limites'!$B:$B,0))),"")</f>
        <v>0</v>
      </c>
    </row>
    <row r="76" spans="1:18" ht="18" customHeight="1">
      <c r="A76" s="25" t="s">
        <v>389</v>
      </c>
      <c r="B76" s="24" t="s">
        <v>47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</row>
    <row r="77" spans="1:18" ht="17" customHeight="1">
      <c r="A77" s="25" t="s">
        <v>390</v>
      </c>
      <c r="B77" s="38" t="s">
        <v>48</v>
      </c>
      <c r="C77" s="39" t="s">
        <v>35</v>
      </c>
      <c r="D77" s="40" t="s">
        <v>391</v>
      </c>
      <c r="E77" s="44"/>
      <c r="F77" s="44"/>
      <c r="G77" s="44"/>
      <c r="H77" s="44"/>
      <c r="I77" s="44"/>
      <c r="J77" s="44"/>
      <c r="K77" s="36">
        <f>IF(COUNT(E77:J77)=0,"",AVERAGE(E77:J77))</f>
        <v>0</v>
      </c>
      <c r="L77" s="45">
        <f>IF(COUNT(E77:J77)=0,"",MIN(E77:J77))</f>
        <v>0</v>
      </c>
      <c r="M77" s="45">
        <f>IF(COUNT(E77:J77)=0,"",MAX(E77:J77))</f>
        <v>0</v>
      </c>
      <c r="Q77">
        <f>IFERROR(IF(INDEX('Limites'!$D:$D,MATCH(nProdUS3,'Limites'!$B:$B,0))="","",INDEX('Limites'!$D:$D,MATCH(nProdUS3,'Limites'!$B:$B,0))),"")</f>
        <v>0</v>
      </c>
      <c r="R77">
        <f>IFERROR(IF(INDEX('Limites'!$E:$E,MATCH(nProdUS3,'Limites'!$B:$B,0))="","",INDEX('Limites'!$E:$E,MATCH(nProdUS3,'Limites'!$B:$B,0))),"")</f>
        <v>0</v>
      </c>
    </row>
    <row r="78" spans="1:18" ht="17" customHeight="1">
      <c r="A78" s="25" t="s">
        <v>392</v>
      </c>
      <c r="B78" s="38"/>
      <c r="C78" s="39"/>
      <c r="D78" s="46" t="s">
        <v>393</v>
      </c>
      <c r="E78" s="44"/>
      <c r="F78" s="44"/>
      <c r="G78" s="44"/>
      <c r="H78" s="44"/>
      <c r="I78" s="44"/>
      <c r="J78" s="44"/>
      <c r="K78" s="36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  <c r="Q78">
        <f>IFERROR(IF(INDEX('Limites'!$D:$D,MATCH(nProdUS4,'Limites'!$B:$B,0))="","",INDEX('Limites'!$D:$D,MATCH(nProdUS4,'Limites'!$B:$B,0))),"")</f>
        <v>0</v>
      </c>
      <c r="R78">
        <f>IFERROR(IF(INDEX('Limites'!$E:$E,MATCH(nProdUS4,'Limites'!$B:$B,0))="","",INDEX('Limites'!$E:$E,MATCH(nProdUS4,'Limites'!$B:$B,0))),"")</f>
        <v>0</v>
      </c>
    </row>
    <row r="79" spans="1:18" ht="17" customHeight="1">
      <c r="A79" s="25" t="s">
        <v>394</v>
      </c>
      <c r="B79" s="32" t="s">
        <v>34</v>
      </c>
      <c r="C79" s="33" t="s">
        <v>35</v>
      </c>
      <c r="D79" s="34" t="s">
        <v>391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IFERROR(IF(INDEX('Limites'!$F:$F,MATCH(nProdUS3,'Limites'!$B:$B,0))="","",INDEX('Limites'!$F:$F,MATCH(nProdUS3,'Limites'!$B:$B,0))),"")</f>
        <v>0</v>
      </c>
      <c r="R79">
        <f>IFERROR(IF(INDEX('Limites'!$G:$G,MATCH(nProdUS3,'Limites'!$B:$B,0))="","",INDEX('Limites'!$G:$G,MATCH(nProdUS3,'Limites'!$B:$B,0))),"")</f>
        <v>0</v>
      </c>
    </row>
    <row r="80" spans="1:18" ht="17" customHeight="1">
      <c r="A80" s="25" t="s">
        <v>395</v>
      </c>
      <c r="B80" s="32"/>
      <c r="C80" s="33"/>
      <c r="D80" s="47" t="s">
        <v>393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IFERROR(IF(INDEX('Limites'!$F:$F,MATCH(nProdUS4,'Limites'!$B:$B,0))="","",INDEX('Limites'!$F:$F,MATCH(nProdUS4,'Limites'!$B:$B,0))),"")</f>
        <v>0</v>
      </c>
      <c r="R80">
        <f>IFERROR(IF(INDEX('Limites'!$G:$G,MATCH(nProdUS4,'Limites'!$B:$B,0))="","",INDEX('Limites'!$G:$G,MATCH(nProdUS4,'Limites'!$B:$B,0))),"")</f>
        <v>0</v>
      </c>
    </row>
    <row r="81" spans="1:18" ht="17" customHeight="1">
      <c r="A81" s="25" t="s">
        <v>396</v>
      </c>
      <c r="B81" s="38" t="s">
        <v>53</v>
      </c>
      <c r="C81" s="39" t="s">
        <v>35</v>
      </c>
      <c r="D81" s="40" t="s">
        <v>391</v>
      </c>
      <c r="E81" s="44"/>
      <c r="F81" s="44"/>
      <c r="G81" s="44"/>
      <c r="H81" s="44"/>
      <c r="I81" s="44"/>
      <c r="J81" s="44"/>
      <c r="K81" s="36">
        <f>IF(COUNT(E81:J81)=0,"",AVERAGE(E81:J81))</f>
        <v>0</v>
      </c>
      <c r="L81" s="45">
        <f>IF(COUNT(E81:J81)=0,"",MIN(E81:J81))</f>
        <v>0</v>
      </c>
      <c r="M81" s="45">
        <f>IF(COUNT(E81:J81)=0,"",MAX(E81:J81))</f>
        <v>0</v>
      </c>
    </row>
    <row r="82" spans="1:18" ht="17" customHeight="1">
      <c r="A82" s="25" t="s">
        <v>397</v>
      </c>
      <c r="B82" s="38"/>
      <c r="C82" s="39"/>
      <c r="D82" s="46" t="s">
        <v>393</v>
      </c>
      <c r="E82" s="44"/>
      <c r="F82" s="44"/>
      <c r="G82" s="44"/>
      <c r="H82" s="44"/>
      <c r="I82" s="44"/>
      <c r="J82" s="44"/>
      <c r="K82" s="36">
        <f>IF(COUNT(E82:J82)=0,"",AVERAGE(E82:J82))</f>
        <v>0</v>
      </c>
      <c r="L82" s="45">
        <f>IF(COUNT(E82:J82)=0,"",MIN(E82:J82))</f>
        <v>0</v>
      </c>
      <c r="M82" s="45">
        <f>IF(COUNT(E82:J82)=0,"",MAX(E82:J82))</f>
        <v>0</v>
      </c>
    </row>
    <row r="83" spans="1:18" ht="17" customHeight="1">
      <c r="A83" s="25" t="s">
        <v>398</v>
      </c>
      <c r="B83" s="32" t="s">
        <v>43</v>
      </c>
      <c r="C83" s="33" t="s">
        <v>35</v>
      </c>
      <c r="D83" s="34" t="s">
        <v>391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IFERROR(IF(INDEX('Limites'!$J:$J,MATCH(nProdUS3,'Limites'!$B:$B,0))="","",INDEX('Limites'!$J:$J,MATCH(nProdUS3,'Limites'!$B:$B,0))),"")</f>
        <v>0</v>
      </c>
      <c r="R83">
        <f>IFERROR(IF(INDEX('Limites'!$K:$K,MATCH(nProdUS3,'Limites'!$B:$B,0))="","",INDEX('Limites'!$K:$K,MATCH(nProdUS3,'Limites'!$B:$B,0))),"")</f>
        <v>0</v>
      </c>
    </row>
    <row r="84" spans="1:18" ht="17" customHeight="1">
      <c r="A84" s="25" t="s">
        <v>399</v>
      </c>
      <c r="B84" s="32"/>
      <c r="C84" s="33"/>
      <c r="D84" s="47" t="s">
        <v>393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IFERROR(IF(INDEX('Limites'!$J:$J,MATCH(nProdUS4,'Limites'!$B:$B,0))="","",INDEX('Limites'!$J:$J,MATCH(nProdUS4,'Limites'!$B:$B,0))),"")</f>
        <v>0</v>
      </c>
      <c r="R84">
        <f>IFERROR(IF(INDEX('Limites'!$K:$K,MATCH(nProdUS4,'Limites'!$B:$B,0))="","",INDEX('Limites'!$K:$K,MATCH(nProdUS4,'Limites'!$B:$B,0))),"")</f>
        <v>0</v>
      </c>
    </row>
    <row r="85" spans="1:18" ht="17" customHeight="1">
      <c r="A85" s="25" t="s">
        <v>400</v>
      </c>
      <c r="B85" s="38" t="s">
        <v>41</v>
      </c>
      <c r="C85" s="39" t="s">
        <v>35</v>
      </c>
      <c r="D85" s="40" t="s">
        <v>391</v>
      </c>
      <c r="E85" s="44"/>
      <c r="F85" s="44"/>
      <c r="G85" s="44"/>
      <c r="H85" s="44"/>
      <c r="I85" s="44"/>
      <c r="J85" s="44"/>
      <c r="K85" s="36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7" customHeight="1">
      <c r="A86" s="25" t="s">
        <v>401</v>
      </c>
      <c r="B86" s="38"/>
      <c r="C86" s="39"/>
      <c r="D86" s="46" t="s">
        <v>393</v>
      </c>
      <c r="E86" s="44"/>
      <c r="F86" s="44"/>
      <c r="G86" s="44"/>
      <c r="H86" s="44"/>
      <c r="I86" s="44"/>
      <c r="J86" s="44"/>
      <c r="K86" s="36">
        <f>IF(COUNT(E86:J86)=0,"",AVERAGE(E86:J86))</f>
        <v>0</v>
      </c>
      <c r="L86" s="45">
        <f>IF(COUNT(E86:J86)=0,"",MIN(E86:J86))</f>
        <v>0</v>
      </c>
      <c r="M86" s="45">
        <f>IF(COUNT(E86:J86)=0,"",MAX(E86:J86))</f>
        <v>0</v>
      </c>
    </row>
    <row r="87" spans="1:18" ht="17" customHeight="1">
      <c r="A87" s="25" t="s">
        <v>402</v>
      </c>
      <c r="B87" s="32" t="s">
        <v>60</v>
      </c>
      <c r="C87" s="33" t="s">
        <v>61</v>
      </c>
      <c r="D87" s="34" t="s">
        <v>391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  <c r="Q87">
        <f>IFERROR(IF(INDEX('Limites'!$L:$L,MATCH(nProdUS3,'Limites'!$B:$B,0))="","",INDEX('Limites'!$L:$L,MATCH(nProdUS3,'Limites'!$B:$B,0))),"")</f>
        <v>0</v>
      </c>
      <c r="R87">
        <f>IFERROR(IF(INDEX('Limites'!$M:$M,MATCH(nProdUS3,'Limites'!$B:$B,0))="","",INDEX('Limites'!$M:$M,MATCH(nProdUS3,'Limites'!$B:$B,0))),"")</f>
        <v>0</v>
      </c>
    </row>
    <row r="88" spans="1:18" ht="17" customHeight="1">
      <c r="A88" s="25" t="s">
        <v>403</v>
      </c>
      <c r="B88" s="32"/>
      <c r="C88" s="33"/>
      <c r="D88" s="47" t="s">
        <v>393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IFERROR(IF(INDEX('Limites'!$L:$L,MATCH(nProdUS4,'Limites'!$B:$B,0))="","",INDEX('Limites'!$L:$L,MATCH(nProdUS4,'Limites'!$B:$B,0))),"")</f>
        <v>0</v>
      </c>
      <c r="R88">
        <f>IFERROR(IF(INDEX('Limites'!$M:$M,MATCH(nProdUS4,'Limites'!$B:$B,0))="","",INDEX('Limites'!$M:$M,MATCH(nProdUS4,'Limites'!$B:$B,0))),"")</f>
        <v>0</v>
      </c>
    </row>
    <row r="89" spans="1:18" ht="17" customHeight="1">
      <c r="A89" s="25" t="s">
        <v>404</v>
      </c>
      <c r="B89" s="38" t="s">
        <v>64</v>
      </c>
      <c r="C89" s="39" t="s">
        <v>35</v>
      </c>
      <c r="D89" s="40" t="s">
        <v>391</v>
      </c>
      <c r="E89" s="41"/>
      <c r="F89" s="41"/>
      <c r="G89" s="41"/>
      <c r="H89" s="41"/>
      <c r="I89" s="41"/>
      <c r="J89" s="41"/>
      <c r="K89" s="42">
        <f>IF(COUNT(E89:J89)=0,"",AVERAGE(E89:J89))</f>
        <v>0</v>
      </c>
      <c r="L89" s="43">
        <f>IF(COUNT(E89:J89)=0,"",MIN(E89:J89))</f>
        <v>0</v>
      </c>
      <c r="M89" s="43">
        <f>IF(COUNT(E89:J89)=0,"",MAX(E89:J89))</f>
        <v>0</v>
      </c>
    </row>
    <row r="90" spans="1:18" ht="17" customHeight="1">
      <c r="A90" s="25" t="s">
        <v>405</v>
      </c>
      <c r="B90" s="38"/>
      <c r="C90" s="39"/>
      <c r="D90" s="46" t="s">
        <v>393</v>
      </c>
      <c r="E90" s="41"/>
      <c r="F90" s="41"/>
      <c r="G90" s="41"/>
      <c r="H90" s="41"/>
      <c r="I90" s="41"/>
      <c r="J90" s="41"/>
      <c r="K90" s="42">
        <f>IF(COUNT(E90:J90)=0,"",AVERAGE(E90:J90))</f>
        <v>0</v>
      </c>
      <c r="L90" s="43">
        <f>IF(COUNT(E90:J90)=0,"",MIN(E90:J90))</f>
        <v>0</v>
      </c>
      <c r="M90" s="43">
        <f>IF(COUNT(E90:J90)=0,"",MAX(E90:J90))</f>
        <v>0</v>
      </c>
    </row>
    <row r="91" spans="1:18" ht="17" customHeight="1">
      <c r="B91" s="48" t="s">
        <v>406</v>
      </c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</row>
  </sheetData>
  <sheetProtection sheet="1" objects="1" scenarios="1" formatColumns="0" formatRows="0"/>
  <mergeCells count="86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6:M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B88"/>
    <mergeCell ref="C87:C88"/>
    <mergeCell ref="B89:B90"/>
    <mergeCell ref="C89:C90"/>
    <mergeCell ref="B91:M91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AND(ISNUMBER(E72),OR(AND(ISNUMBER($Q72),ROUND(E72,3)&lt;$Q72),AND(ISNUMBER($R72),ROUND(E72,3)&gt;$R72)))</formula>
    </cfRule>
    <cfRule type="expression" dxfId="2" priority="4">
      <formula>AND(ISNUMBER(E72),OR(ISNUMBER($Q72),ISNUMBER($R72)),NOT(OR(AND(ISNUMBER($Q72),ROUND(E72,3)&lt;$Q72),AND(ISNUMBER($R72),ROUND(E72,3)&gt;$R72))))</formula>
    </cfRule>
  </conditionalFormatting>
  <conditionalFormatting sqref="E75:K75">
    <cfRule type="expression" dxfId="1" priority="5">
      <formula>AND(ISNUMBER(E75),OR(AND(ISNUMBER($Q75),ROUND(E75,2)&lt;$Q75),AND(ISNUMBER($R75),ROUND(E75,2)&gt;$R75)))</formula>
    </cfRule>
    <cfRule type="expression" dxfId="2" priority="6">
      <formula>AND(ISNUMBER(E75),OR(ISNUMBER($Q75),ISNUMBER($R75)),NOT(OR(AND(ISNUMBER($Q75),ROUND(E75,2)&lt;$Q75),AND(ISNUMBER($R75),ROUND(E75,2)&gt;$R75))))</formula>
    </cfRule>
  </conditionalFormatting>
  <conditionalFormatting sqref="E77:K77">
    <cfRule type="expression" dxfId="1" priority="7">
      <formula>AND(ISNUMBER(E77),OR(AND(ISNUMBER($Q77),ROUND(E77,2)&lt;$Q77),AND(ISNUMBER($R77),ROUND(E77,2)&gt;$R77)))</formula>
    </cfRule>
    <cfRule type="expression" dxfId="2" priority="8">
      <formula>AND(ISNUMBER(E77),OR(ISNUMBER($Q77),ISNUMBER($R77)),NOT(OR(AND(ISNUMBER($Q77),ROUND(E77,2)&lt;$Q77),AND(ISNUMBER($R77),ROUND(E77,2)&gt;$R77))))</formula>
    </cfRule>
  </conditionalFormatting>
  <conditionalFormatting sqref="E78:K78">
    <cfRule type="expression" dxfId="1" priority="9">
      <formula>AND(ISNUMBER(E78),OR(AND(ISNUMBER($Q78),ROUND(E78,2)&lt;$Q78),AND(ISNUMBER($R78),ROUND(E78,2)&gt;$R78)))</formula>
    </cfRule>
    <cfRule type="expression" dxfId="2" priority="10">
      <formula>AND(ISNUMBER(E78),OR(ISNUMBER($Q78),ISNUMBER($R78)),NOT(OR(AND(ISNUMBER($Q78),ROUND(E78,2)&lt;$Q78),AND(ISNUMBER($R78),ROUND(E78,2)&gt;$R78))))</formula>
    </cfRule>
  </conditionalFormatting>
  <conditionalFormatting sqref="E79:K79">
    <cfRule type="expression" dxfId="1" priority="11">
      <formula>AND(ISNUMBER(E79),OR(AND(ISNUMBER($Q79),ROUND(E79,2)&lt;$Q79),AND(ISNUMBER($R79),ROUND(E79,2)&gt;$R79)))</formula>
    </cfRule>
    <cfRule type="expression" dxfId="2" priority="12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3">
      <formula>AND(ISNUMBER(E80),OR(AND(ISNUMBER($Q80),ROUND(E80,2)&lt;$Q80),AND(ISNUMBER($R80),ROUND(E80,2)&gt;$R80)))</formula>
    </cfRule>
    <cfRule type="expression" dxfId="2" priority="14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7:K87">
    <cfRule type="expression" dxfId="1" priority="19">
      <formula>AND(ISNUMBER(E87),OR(AND(ISNUMBER($Q87),ROUND(E87,2)&lt;$Q87),AND(ISNUMBER($R87),ROUND(E87,2)&gt;$R87)))</formula>
    </cfRule>
    <cfRule type="expression" dxfId="2" priority="20">
      <formula>AND(ISNUMBER(E87),OR(ISNUMBER($Q87),ISNUMBER($R87)),NOT(OR(AND(ISNUMBER($Q87),ROUND(E87,2)&lt;$Q87),AND(ISNUMBER($R87),ROUND(E87,2)&gt;$R87))))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321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322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414</v>
      </c>
      <c r="C6" s="50" t="s">
        <v>174</v>
      </c>
      <c r="D6" s="50"/>
      <c r="E6" s="51"/>
      <c r="F6" s="51"/>
      <c r="G6" s="51"/>
      <c r="H6" s="52" t="s">
        <v>175</v>
      </c>
      <c r="I6" s="51"/>
      <c r="J6" s="51"/>
      <c r="K6" s="51"/>
      <c r="L6" s="53" t="s">
        <v>415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330</v>
      </c>
      <c r="C8" s="54">
        <f>IF(dProdUS3="","",dProdUS3)</f>
        <v>0</v>
      </c>
      <c r="D8" s="54"/>
    </row>
    <row r="9" spans="1:24" ht="20" customHeight="1">
      <c r="B9" s="49" t="s">
        <v>331</v>
      </c>
      <c r="C9" s="54">
        <f>IF(dProdUS4="","",dProdUS4)</f>
        <v>0</v>
      </c>
      <c r="D9" s="54"/>
    </row>
    <row r="10" spans="1:24">
      <c r="B10" s="55" t="s">
        <v>369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407</v>
      </c>
    </row>
    <row r="11" spans="1:24" ht="30" customHeight="1">
      <c r="B11" s="31" t="s">
        <v>370</v>
      </c>
      <c r="C11" s="31" t="s">
        <v>371</v>
      </c>
      <c r="D11" s="31" t="s">
        <v>372</v>
      </c>
      <c r="E11" s="31" t="s">
        <v>416</v>
      </c>
      <c r="F11" s="31" t="s">
        <v>416</v>
      </c>
      <c r="G11" s="31" t="s">
        <v>416</v>
      </c>
      <c r="H11" s="31" t="s">
        <v>416</v>
      </c>
      <c r="I11" s="31" t="s">
        <v>416</v>
      </c>
      <c r="J11" s="31" t="s">
        <v>416</v>
      </c>
      <c r="K11" s="31" t="s">
        <v>416</v>
      </c>
      <c r="L11" s="31" t="s">
        <v>416</v>
      </c>
      <c r="M11" s="31" t="s">
        <v>416</v>
      </c>
      <c r="N11" s="31" t="s">
        <v>416</v>
      </c>
      <c r="O11" s="31" t="s">
        <v>416</v>
      </c>
      <c r="P11" s="31" t="s">
        <v>416</v>
      </c>
      <c r="Q11" s="31" t="s">
        <v>417</v>
      </c>
      <c r="R11" s="31" t="s">
        <v>380</v>
      </c>
      <c r="S11" s="31" t="s">
        <v>381</v>
      </c>
    </row>
    <row r="12" spans="1:24" ht="18" customHeight="1">
      <c r="A12" s="25" t="s">
        <v>382</v>
      </c>
      <c r="B12" s="24" t="s">
        <v>33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4" ht="17" customHeight="1">
      <c r="A13" s="25" t="s">
        <v>383</v>
      </c>
      <c r="B13" s="32" t="s">
        <v>34</v>
      </c>
      <c r="C13" s="33" t="s">
        <v>35</v>
      </c>
      <c r="D13" s="34" t="s">
        <v>384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385</v>
      </c>
      <c r="B14" s="38" t="s">
        <v>39</v>
      </c>
      <c r="C14" s="39" t="s">
        <v>35</v>
      </c>
      <c r="D14" s="40" t="s">
        <v>384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386</v>
      </c>
      <c r="B15" s="32" t="s">
        <v>41</v>
      </c>
      <c r="C15" s="33" t="s">
        <v>35</v>
      </c>
      <c r="D15" s="34" t="s">
        <v>384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387</v>
      </c>
      <c r="B16" s="38" t="s">
        <v>43</v>
      </c>
      <c r="C16" s="39" t="s">
        <v>35</v>
      </c>
      <c r="D16" s="40" t="s">
        <v>384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388</v>
      </c>
      <c r="B17" s="32" t="s">
        <v>45</v>
      </c>
      <c r="C17" s="33" t="s">
        <v>35</v>
      </c>
      <c r="D17" s="34" t="s">
        <v>384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389</v>
      </c>
      <c r="B18" s="24" t="s">
        <v>47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</row>
    <row r="19" spans="1:24" ht="17" customHeight="1">
      <c r="A19" s="25" t="s">
        <v>390</v>
      </c>
      <c r="B19" s="38" t="s">
        <v>48</v>
      </c>
      <c r="C19" s="39" t="s">
        <v>35</v>
      </c>
      <c r="D19" s="40" t="s">
        <v>391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392</v>
      </c>
      <c r="B20" s="38"/>
      <c r="C20" s="39"/>
      <c r="D20" s="46" t="s">
        <v>393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394</v>
      </c>
      <c r="B21" s="32" t="s">
        <v>34</v>
      </c>
      <c r="C21" s="33" t="s">
        <v>35</v>
      </c>
      <c r="D21" s="34" t="s">
        <v>391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395</v>
      </c>
      <c r="B22" s="32"/>
      <c r="C22" s="33"/>
      <c r="D22" s="47" t="s">
        <v>393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396</v>
      </c>
      <c r="B23" s="38" t="s">
        <v>53</v>
      </c>
      <c r="C23" s="39" t="s">
        <v>35</v>
      </c>
      <c r="D23" s="40" t="s">
        <v>391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397</v>
      </c>
      <c r="B24" s="38"/>
      <c r="C24" s="39"/>
      <c r="D24" s="46" t="s">
        <v>393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398</v>
      </c>
      <c r="B25" s="32" t="s">
        <v>43</v>
      </c>
      <c r="C25" s="33" t="s">
        <v>35</v>
      </c>
      <c r="D25" s="34" t="s">
        <v>391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399</v>
      </c>
      <c r="B26" s="32"/>
      <c r="C26" s="33"/>
      <c r="D26" s="47" t="s">
        <v>393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400</v>
      </c>
      <c r="B27" s="38" t="s">
        <v>41</v>
      </c>
      <c r="C27" s="39" t="s">
        <v>35</v>
      </c>
      <c r="D27" s="40" t="s">
        <v>391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401</v>
      </c>
      <c r="B28" s="38"/>
      <c r="C28" s="39"/>
      <c r="D28" s="46" t="s">
        <v>393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402</v>
      </c>
      <c r="B29" s="32" t="s">
        <v>60</v>
      </c>
      <c r="C29" s="33" t="s">
        <v>61</v>
      </c>
      <c r="D29" s="34" t="s">
        <v>391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403</v>
      </c>
      <c r="B30" s="32"/>
      <c r="C30" s="33"/>
      <c r="D30" s="47" t="s">
        <v>393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404</v>
      </c>
      <c r="B31" s="38" t="s">
        <v>64</v>
      </c>
      <c r="C31" s="39" t="s">
        <v>35</v>
      </c>
      <c r="D31" s="40" t="s">
        <v>391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405</v>
      </c>
      <c r="B32" s="38"/>
      <c r="C32" s="39"/>
      <c r="D32" s="46" t="s">
        <v>393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406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mbarque">
    <tabColor rgb="FF61889B"/>
    <pageSetUpPr fitToPage="1"/>
  </sheetPr>
  <dimension ref="A1:X74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321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418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49" t="s">
        <v>414</v>
      </c>
      <c r="C6" s="50" t="s">
        <v>174</v>
      </c>
      <c r="D6" s="50"/>
      <c r="E6" s="51"/>
      <c r="F6" s="51"/>
      <c r="G6" s="51"/>
      <c r="H6" s="52" t="s">
        <v>175</v>
      </c>
      <c r="I6" s="51"/>
      <c r="J6" s="51"/>
      <c r="K6" s="51"/>
      <c r="L6" s="53" t="s">
        <v>415</v>
      </c>
      <c r="M6" s="53"/>
      <c r="N6" s="53"/>
      <c r="O6" s="53"/>
      <c r="P6" s="53"/>
      <c r="Q6" s="53"/>
      <c r="R6" s="53"/>
      <c r="S6" s="53"/>
    </row>
    <row r="7" spans="1:21" ht="6" customHeight="1"/>
    <row r="8" spans="1:21" ht="20" customHeight="1">
      <c r="B8" s="49" t="s">
        <v>419</v>
      </c>
      <c r="C8" s="7" t="s">
        <v>420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21" ht="20" customHeight="1">
      <c r="B9" s="49" t="s">
        <v>421</v>
      </c>
      <c r="C9" s="54" t="s">
        <v>422</v>
      </c>
      <c r="D9" s="54"/>
      <c r="E9" s="57" t="s">
        <v>423</v>
      </c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1">
      <c r="B10" s="55" t="s">
        <v>369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407</v>
      </c>
    </row>
    <row r="11" spans="1:21" ht="30" customHeight="1">
      <c r="B11" s="31" t="s">
        <v>370</v>
      </c>
      <c r="C11" s="31" t="s">
        <v>371</v>
      </c>
      <c r="D11" s="31" t="s">
        <v>424</v>
      </c>
      <c r="E11" s="31" t="s">
        <v>416</v>
      </c>
      <c r="F11" s="31" t="s">
        <v>416</v>
      </c>
      <c r="G11" s="31" t="s">
        <v>416</v>
      </c>
      <c r="H11" s="31" t="s">
        <v>416</v>
      </c>
      <c r="I11" s="31" t="s">
        <v>416</v>
      </c>
      <c r="J11" s="31" t="s">
        <v>416</v>
      </c>
      <c r="K11" s="31" t="s">
        <v>416</v>
      </c>
      <c r="L11" s="31" t="s">
        <v>416</v>
      </c>
      <c r="M11" s="31" t="s">
        <v>416</v>
      </c>
      <c r="N11" s="31" t="s">
        <v>416</v>
      </c>
      <c r="O11" s="31" t="s">
        <v>416</v>
      </c>
      <c r="P11" s="31" t="s">
        <v>416</v>
      </c>
      <c r="Q11" s="31" t="s">
        <v>417</v>
      </c>
      <c r="R11" s="31" t="s">
        <v>380</v>
      </c>
      <c r="S11" s="31" t="s">
        <v>381</v>
      </c>
    </row>
    <row r="12" spans="1:21" ht="18" customHeight="1">
      <c r="A12" s="25" t="s">
        <v>382</v>
      </c>
      <c r="B12" s="24" t="s">
        <v>67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1" ht="17" customHeight="1">
      <c r="A13" s="25" t="s">
        <v>425</v>
      </c>
      <c r="B13" s="32" t="s">
        <v>48</v>
      </c>
      <c r="C13" s="33" t="s">
        <v>35</v>
      </c>
      <c r="D13" s="34" t="s">
        <v>426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1" ht="17" customHeight="1">
      <c r="A14" s="25" t="s">
        <v>427</v>
      </c>
      <c r="B14" s="38" t="s">
        <v>34</v>
      </c>
      <c r="C14" s="39" t="s">
        <v>35</v>
      </c>
      <c r="D14" s="40" t="s">
        <v>426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36">
        <f>IF(COUNT(E14:P14)=0,"",AVERAGE(E14:P14))</f>
        <v>0</v>
      </c>
      <c r="R14" s="45">
        <f>IF(COUNT(E14:P14)=0,"",MIN(E14:P14))</f>
        <v>0</v>
      </c>
      <c r="S14" s="45">
        <f>IF(COUNT(E14:P14)=0,"",MAX(E14:P14))</f>
        <v>0</v>
      </c>
    </row>
    <row r="15" spans="1:21" ht="17" customHeight="1">
      <c r="A15" s="25" t="s">
        <v>428</v>
      </c>
      <c r="B15" s="32" t="s">
        <v>53</v>
      </c>
      <c r="C15" s="33" t="s">
        <v>35</v>
      </c>
      <c r="D15" s="34" t="s">
        <v>426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1" ht="17" customHeight="1">
      <c r="A16" s="25" t="s">
        <v>429</v>
      </c>
      <c r="B16" s="38" t="s">
        <v>43</v>
      </c>
      <c r="C16" s="39" t="s">
        <v>35</v>
      </c>
      <c r="D16" s="40" t="s">
        <v>426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19" ht="17" customHeight="1">
      <c r="A17" s="25" t="s">
        <v>430</v>
      </c>
      <c r="B17" s="32" t="s">
        <v>41</v>
      </c>
      <c r="C17" s="33" t="s">
        <v>35</v>
      </c>
      <c r="D17" s="34" t="s">
        <v>426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</row>
    <row r="18" spans="1:19" ht="17" customHeight="1">
      <c r="A18" s="25" t="s">
        <v>431</v>
      </c>
      <c r="B18" s="38" t="s">
        <v>39</v>
      </c>
      <c r="C18" s="39" t="s">
        <v>35</v>
      </c>
      <c r="D18" s="40" t="s">
        <v>426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2">
        <f>IF(COUNT(E18:P18)=0,"",AVERAGE(E18:P18))</f>
        <v>0</v>
      </c>
      <c r="R18" s="43">
        <f>IF(COUNT(E18:P18)=0,"",MIN(E18:P18))</f>
        <v>0</v>
      </c>
      <c r="S18" s="43">
        <f>IF(COUNT(E18:P18)=0,"",MAX(E18:P18))</f>
        <v>0</v>
      </c>
    </row>
    <row r="19" spans="1:19" ht="17" customHeight="1">
      <c r="A19" s="25" t="s">
        <v>432</v>
      </c>
      <c r="B19" s="32" t="s">
        <v>64</v>
      </c>
      <c r="C19" s="33" t="s">
        <v>35</v>
      </c>
      <c r="D19" s="34" t="s">
        <v>426</v>
      </c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42">
        <f>IF(COUNT(E19:P19)=0,"",AVERAGE(E19:P19))</f>
        <v>0</v>
      </c>
      <c r="R19" s="59">
        <f>IF(COUNT(E19:P19)=0,"",MIN(E19:P19))</f>
        <v>0</v>
      </c>
      <c r="S19" s="59">
        <f>IF(COUNT(E19:P19)=0,"",MAX(E19:P19))</f>
        <v>0</v>
      </c>
    </row>
    <row r="20" spans="1:19" ht="17" customHeight="1">
      <c r="A20" s="25" t="s">
        <v>433</v>
      </c>
      <c r="B20" s="38" t="s">
        <v>60</v>
      </c>
      <c r="C20" s="39" t="s">
        <v>61</v>
      </c>
      <c r="D20" s="40" t="s">
        <v>426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</row>
    <row r="21" spans="1:19" ht="17" customHeight="1">
      <c r="A21" s="25" t="s">
        <v>434</v>
      </c>
      <c r="B21" s="32" t="s">
        <v>45</v>
      </c>
      <c r="C21" s="33" t="s">
        <v>35</v>
      </c>
      <c r="D21" s="34" t="s">
        <v>426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</row>
    <row r="22" spans="1:19" ht="18" customHeight="1">
      <c r="A22" s="25" t="s">
        <v>389</v>
      </c>
      <c r="B22" s="24" t="s">
        <v>68</v>
      </c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7" customHeight="1">
      <c r="A23" s="25" t="s">
        <v>435</v>
      </c>
      <c r="B23" s="38" t="s">
        <v>69</v>
      </c>
      <c r="C23" s="39" t="s">
        <v>35</v>
      </c>
      <c r="D23" s="40" t="s">
        <v>426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19" ht="17" customHeight="1">
      <c r="A24" s="25" t="s">
        <v>436</v>
      </c>
      <c r="B24" s="32" t="s">
        <v>70</v>
      </c>
      <c r="C24" s="33" t="s">
        <v>35</v>
      </c>
      <c r="D24" s="34" t="s">
        <v>426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6">
        <f>IF(COUNT(E24:P24)=0,"",AVERAGE(E24:P24))</f>
        <v>0</v>
      </c>
      <c r="R24" s="37">
        <f>IF(COUNT(E24:P24)=0,"",MIN(E24:P24))</f>
        <v>0</v>
      </c>
      <c r="S24" s="37">
        <f>IF(COUNT(E24:P24)=0,"",MAX(E24:P24))</f>
        <v>0</v>
      </c>
    </row>
    <row r="25" spans="1:19" ht="17" customHeight="1">
      <c r="A25" s="25" t="s">
        <v>437</v>
      </c>
      <c r="B25" s="38" t="s">
        <v>71</v>
      </c>
      <c r="C25" s="39" t="s">
        <v>35</v>
      </c>
      <c r="D25" s="40" t="s">
        <v>426</v>
      </c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36">
        <f>IF(COUNT(E25:P25)=0,"",AVERAGE(E25:P25))</f>
        <v>0</v>
      </c>
      <c r="R25" s="45">
        <f>IF(COUNT(E25:P25)=0,"",MIN(E25:P25))</f>
        <v>0</v>
      </c>
      <c r="S25" s="45">
        <f>IF(COUNT(E25:P25)=0,"",MAX(E25:P25))</f>
        <v>0</v>
      </c>
    </row>
    <row r="26" spans="1:19" ht="17" customHeight="1">
      <c r="A26" s="25" t="s">
        <v>438</v>
      </c>
      <c r="B26" s="32" t="s">
        <v>72</v>
      </c>
      <c r="C26" s="33" t="s">
        <v>35</v>
      </c>
      <c r="D26" s="34" t="s">
        <v>426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</row>
    <row r="27" spans="1:19" ht="17" customHeight="1">
      <c r="A27" s="25" t="s">
        <v>439</v>
      </c>
      <c r="B27" s="38" t="s">
        <v>73</v>
      </c>
      <c r="C27" s="39" t="s">
        <v>35</v>
      </c>
      <c r="D27" s="40" t="s">
        <v>426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19" ht="17" customHeight="1">
      <c r="A28" s="25" t="s">
        <v>440</v>
      </c>
      <c r="B28" s="32" t="s">
        <v>74</v>
      </c>
      <c r="C28" s="33" t="s">
        <v>35</v>
      </c>
      <c r="D28" s="34" t="s">
        <v>426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6">
        <f>IF(COUNT(E28:P28)=0,"",AVERAGE(E28:P28))</f>
        <v>0</v>
      </c>
      <c r="R28" s="37">
        <f>IF(COUNT(E28:P28)=0,"",MIN(E28:P28))</f>
        <v>0</v>
      </c>
      <c r="S28" s="37">
        <f>IF(COUNT(E28:P28)=0,"",MAX(E28:P28))</f>
        <v>0</v>
      </c>
    </row>
    <row r="29" spans="1:19" ht="17" customHeight="1">
      <c r="A29" s="25" t="s">
        <v>441</v>
      </c>
      <c r="B29" s="38" t="s">
        <v>75</v>
      </c>
      <c r="C29" s="39" t="s">
        <v>35</v>
      </c>
      <c r="D29" s="40" t="s">
        <v>426</v>
      </c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36">
        <f>IF(COUNT(E29:P29)=0,"",AVERAGE(E29:P29))</f>
        <v>0</v>
      </c>
      <c r="R29" s="45">
        <f>IF(COUNT(E29:P29)=0,"",MIN(E29:P29))</f>
        <v>0</v>
      </c>
      <c r="S29" s="45">
        <f>IF(COUNT(E29:P29)=0,"",MAX(E29:P29))</f>
        <v>0</v>
      </c>
    </row>
    <row r="30" spans="1:19" ht="17" customHeight="1">
      <c r="A30" s="25" t="s">
        <v>442</v>
      </c>
      <c r="B30" s="32" t="s">
        <v>76</v>
      </c>
      <c r="C30" s="33" t="s">
        <v>35</v>
      </c>
      <c r="D30" s="34" t="s">
        <v>426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</row>
    <row r="31" spans="1:19" ht="17" customHeight="1">
      <c r="A31" s="25" t="s">
        <v>443</v>
      </c>
      <c r="B31" s="38" t="s">
        <v>77</v>
      </c>
      <c r="C31" s="39" t="s">
        <v>35</v>
      </c>
      <c r="D31" s="40" t="s">
        <v>426</v>
      </c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36">
        <f>IF(COUNT(E31:P31)=0,"",AVERAGE(E31:P31))</f>
        <v>0</v>
      </c>
      <c r="R31" s="45">
        <f>IF(COUNT(E31:P31)=0,"",MIN(E31:P31))</f>
        <v>0</v>
      </c>
      <c r="S31" s="45">
        <f>IF(COUNT(E31:P31)=0,"",MAX(E31:P31))</f>
        <v>0</v>
      </c>
    </row>
    <row r="32" spans="1:19" ht="17" customHeight="1">
      <c r="A32" s="25" t="s">
        <v>444</v>
      </c>
      <c r="B32" s="32" t="s">
        <v>78</v>
      </c>
      <c r="C32" s="33" t="s">
        <v>35</v>
      </c>
      <c r="D32" s="34" t="s">
        <v>426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6">
        <f>IF(COUNT(E32:P32)=0,"",AVERAGE(E32:P32))</f>
        <v>0</v>
      </c>
      <c r="R32" s="37">
        <f>IF(COUNT(E32:P32)=0,"",MIN(E32:P32))</f>
        <v>0</v>
      </c>
      <c r="S32" s="37">
        <f>IF(COUNT(E32:P32)=0,"",MAX(E32:P32))</f>
        <v>0</v>
      </c>
    </row>
    <row r="33" spans="1:19" ht="17" customHeight="1">
      <c r="A33" s="25" t="s">
        <v>445</v>
      </c>
      <c r="B33" s="38" t="s">
        <v>79</v>
      </c>
      <c r="C33" s="39" t="s">
        <v>35</v>
      </c>
      <c r="D33" s="40" t="s">
        <v>426</v>
      </c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36">
        <f>IF(COUNT(E33:P33)=0,"",AVERAGE(E33:P33))</f>
        <v>0</v>
      </c>
      <c r="R33" s="45">
        <f>IF(COUNT(E33:P33)=0,"",MIN(E33:P33))</f>
        <v>0</v>
      </c>
      <c r="S33" s="45">
        <f>IF(COUNT(E33:P33)=0,"",MAX(E33:P33))</f>
        <v>0</v>
      </c>
    </row>
    <row r="34" spans="1:19" ht="17" customHeight="1">
      <c r="A34" s="25" t="s">
        <v>446</v>
      </c>
      <c r="B34" s="32" t="s">
        <v>80</v>
      </c>
      <c r="C34" s="33" t="s">
        <v>35</v>
      </c>
      <c r="D34" s="34" t="s">
        <v>426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6">
        <f>IF(COUNT(E34:P34)=0,"",AVERAGE(E34:P34))</f>
        <v>0</v>
      </c>
      <c r="R34" s="37">
        <f>IF(COUNT(E34:P34)=0,"",MIN(E34:P34))</f>
        <v>0</v>
      </c>
      <c r="S34" s="37">
        <f>IF(COUNT(E34:P34)=0,"",MAX(E34:P34))</f>
        <v>0</v>
      </c>
    </row>
    <row r="35" spans="1:19" ht="17" customHeight="1">
      <c r="A35" s="25" t="s">
        <v>447</v>
      </c>
      <c r="B35" s="38" t="s">
        <v>81</v>
      </c>
      <c r="C35" s="39" t="s">
        <v>82</v>
      </c>
      <c r="D35" s="40" t="s">
        <v>426</v>
      </c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1">
        <f>IF(COUNT(E35:P35)=0,"",AVERAGE(E35:P35))</f>
        <v>0</v>
      </c>
      <c r="R35" s="62">
        <f>IF(COUNT(E35:P35)=0,"",MIN(E35:P35))</f>
        <v>0</v>
      </c>
      <c r="S35" s="62">
        <f>IF(COUNT(E35:P35)=0,"",MAX(E35:P35))</f>
        <v>0</v>
      </c>
    </row>
    <row r="36" spans="1:19" ht="17" customHeight="1">
      <c r="A36" s="25" t="s">
        <v>448</v>
      </c>
      <c r="B36" s="32" t="s">
        <v>83</v>
      </c>
      <c r="C36" s="33" t="s">
        <v>35</v>
      </c>
      <c r="D36" s="34" t="s">
        <v>426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6">
        <f>IF(COUNT(E36:P36)=0,"",AVERAGE(E36:P36))</f>
        <v>0</v>
      </c>
      <c r="R36" s="37">
        <f>IF(COUNT(E36:P36)=0,"",MIN(E36:P36))</f>
        <v>0</v>
      </c>
      <c r="S36" s="37">
        <f>IF(COUNT(E36:P36)=0,"",MAX(E36:P36))</f>
        <v>0</v>
      </c>
    </row>
    <row r="37" spans="1:19" ht="17" customHeight="1">
      <c r="A37" s="25" t="s">
        <v>449</v>
      </c>
      <c r="B37" s="38" t="s">
        <v>84</v>
      </c>
      <c r="C37" s="39" t="s">
        <v>35</v>
      </c>
      <c r="D37" s="40" t="s">
        <v>426</v>
      </c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36">
        <f>IF(COUNT(E37:P37)=0,"",AVERAGE(E37:P37))</f>
        <v>0</v>
      </c>
      <c r="R37" s="45">
        <f>IF(COUNT(E37:P37)=0,"",MIN(E37:P37))</f>
        <v>0</v>
      </c>
      <c r="S37" s="45">
        <f>IF(COUNT(E37:P37)=0,"",MAX(E37:P37))</f>
        <v>0</v>
      </c>
    </row>
    <row r="38" spans="1:19" ht="17" customHeight="1">
      <c r="A38" s="25" t="s">
        <v>450</v>
      </c>
      <c r="B38" s="32" t="s">
        <v>85</v>
      </c>
      <c r="C38" s="33" t="s">
        <v>35</v>
      </c>
      <c r="D38" s="34" t="s">
        <v>426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6">
        <f>IF(COUNT(E38:P38)=0,"",AVERAGE(E38:P38))</f>
        <v>0</v>
      </c>
      <c r="R38" s="37">
        <f>IF(COUNT(E38:P38)=0,"",MIN(E38:P38))</f>
        <v>0</v>
      </c>
      <c r="S38" s="37">
        <f>IF(COUNT(E38:P38)=0,"",MAX(E38:P38))</f>
        <v>0</v>
      </c>
    </row>
    <row r="39" spans="1:19" ht="17" customHeight="1">
      <c r="A39" s="25" t="s">
        <v>451</v>
      </c>
      <c r="B39" s="38" t="s">
        <v>86</v>
      </c>
      <c r="C39" s="39" t="s">
        <v>82</v>
      </c>
      <c r="D39" s="40" t="s">
        <v>426</v>
      </c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1">
        <f>IF(COUNT(E39:P39)=0,"",AVERAGE(E39:P39))</f>
        <v>0</v>
      </c>
      <c r="R39" s="62">
        <f>IF(COUNT(E39:P39)=0,"",MIN(E39:P39))</f>
        <v>0</v>
      </c>
      <c r="S39" s="62">
        <f>IF(COUNT(E39:P39)=0,"",MAX(E39:P39))</f>
        <v>0</v>
      </c>
    </row>
    <row r="40" spans="1:19" ht="17" customHeight="1">
      <c r="A40" s="25" t="s">
        <v>452</v>
      </c>
      <c r="B40" s="32" t="s">
        <v>87</v>
      </c>
      <c r="C40" s="33" t="s">
        <v>88</v>
      </c>
      <c r="D40" s="34" t="s">
        <v>426</v>
      </c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1">
        <f>IF(COUNT(E40:P40)=0,"",AVERAGE(E40:P40))</f>
        <v>0</v>
      </c>
      <c r="R40" s="64">
        <f>IF(COUNT(E40:P40)=0,"",MIN(E40:P40))</f>
        <v>0</v>
      </c>
      <c r="S40" s="64">
        <f>IF(COUNT(E40:P40)=0,"",MAX(E40:P40))</f>
        <v>0</v>
      </c>
    </row>
    <row r="41" spans="1:19" ht="17" customHeight="1">
      <c r="A41" s="25" t="s">
        <v>453</v>
      </c>
      <c r="B41" s="38" t="s">
        <v>89</v>
      </c>
      <c r="C41" s="39" t="s">
        <v>35</v>
      </c>
      <c r="D41" s="40" t="s">
        <v>426</v>
      </c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36">
        <f>IF(COUNT(E41:P41)=0,"",AVERAGE(E41:P41))</f>
        <v>0</v>
      </c>
      <c r="R41" s="45">
        <f>IF(COUNT(E41:P41)=0,"",MIN(E41:P41))</f>
        <v>0</v>
      </c>
      <c r="S41" s="45">
        <f>IF(COUNT(E41:P41)=0,"",MAX(E41:P41))</f>
        <v>0</v>
      </c>
    </row>
    <row r="42" spans="1:19" ht="17" customHeight="1">
      <c r="A42" s="25" t="s">
        <v>454</v>
      </c>
      <c r="B42" s="32" t="s">
        <v>90</v>
      </c>
      <c r="C42" s="33" t="s">
        <v>35</v>
      </c>
      <c r="D42" s="34" t="s">
        <v>426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6">
        <f>IF(COUNT(E42:P42)=0,"",AVERAGE(E42:P42))</f>
        <v>0</v>
      </c>
      <c r="R42" s="37">
        <f>IF(COUNT(E42:P42)=0,"",MIN(E42:P42))</f>
        <v>0</v>
      </c>
      <c r="S42" s="37">
        <f>IF(COUNT(E42:P42)=0,"",MAX(E42:P42))</f>
        <v>0</v>
      </c>
    </row>
    <row r="43" spans="1:19" ht="17" customHeight="1">
      <c r="A43" s="25" t="s">
        <v>455</v>
      </c>
      <c r="B43" s="38" t="s">
        <v>91</v>
      </c>
      <c r="C43" s="39" t="s">
        <v>35</v>
      </c>
      <c r="D43" s="40" t="s">
        <v>426</v>
      </c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36">
        <f>IF(COUNT(E43:P43)=0,"",AVERAGE(E43:P43))</f>
        <v>0</v>
      </c>
      <c r="R43" s="45">
        <f>IF(COUNT(E43:P43)=0,"",MIN(E43:P43))</f>
        <v>0</v>
      </c>
      <c r="S43" s="45">
        <f>IF(COUNT(E43:P43)=0,"",MAX(E43:P43))</f>
        <v>0</v>
      </c>
    </row>
    <row r="44" spans="1:19" ht="17" customHeight="1">
      <c r="A44" s="25" t="s">
        <v>456</v>
      </c>
      <c r="B44" s="32" t="s">
        <v>92</v>
      </c>
      <c r="C44" s="33" t="s">
        <v>88</v>
      </c>
      <c r="D44" s="34" t="s">
        <v>426</v>
      </c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1">
        <f>IF(COUNT(E44:P44)=0,"",AVERAGE(E44:P44))</f>
        <v>0</v>
      </c>
      <c r="R44" s="64">
        <f>IF(COUNT(E44:P44)=0,"",MIN(E44:P44))</f>
        <v>0</v>
      </c>
      <c r="S44" s="64">
        <f>IF(COUNT(E44:P44)=0,"",MAX(E44:P44))</f>
        <v>0</v>
      </c>
    </row>
    <row r="45" spans="1:19" ht="18" customHeight="1">
      <c r="A45" s="25" t="s">
        <v>457</v>
      </c>
      <c r="B45" s="24" t="s">
        <v>93</v>
      </c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19" ht="17" customHeight="1">
      <c r="A46" s="25" t="s">
        <v>458</v>
      </c>
      <c r="B46" s="38" t="s">
        <v>34</v>
      </c>
      <c r="C46" s="39" t="s">
        <v>35</v>
      </c>
      <c r="D46" s="40" t="s">
        <v>426</v>
      </c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36">
        <f>IF(COUNT(E46:P46)=0,"",AVERAGE(E46:P46))</f>
        <v>0</v>
      </c>
      <c r="R46" s="45">
        <f>IF(COUNT(E46:P46)=0,"",MIN(E46:P46))</f>
        <v>0</v>
      </c>
      <c r="S46" s="45">
        <f>IF(COUNT(E46:P46)=0,"",MAX(E46:P46))</f>
        <v>0</v>
      </c>
    </row>
    <row r="47" spans="1:19" ht="17" customHeight="1">
      <c r="A47" s="25" t="s">
        <v>459</v>
      </c>
      <c r="B47" s="32" t="s">
        <v>53</v>
      </c>
      <c r="C47" s="33" t="s">
        <v>35</v>
      </c>
      <c r="D47" s="34" t="s">
        <v>426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6">
        <f>IF(COUNT(E47:P47)=0,"",AVERAGE(E47:P47))</f>
        <v>0</v>
      </c>
      <c r="R47" s="37">
        <f>IF(COUNT(E47:P47)=0,"",MIN(E47:P47))</f>
        <v>0</v>
      </c>
      <c r="S47" s="37">
        <f>IF(COUNT(E47:P47)=0,"",MAX(E47:P47))</f>
        <v>0</v>
      </c>
    </row>
    <row r="48" spans="1:19" ht="17" customHeight="1">
      <c r="A48" s="25" t="s">
        <v>460</v>
      </c>
      <c r="B48" s="38" t="s">
        <v>39</v>
      </c>
      <c r="C48" s="39" t="s">
        <v>35</v>
      </c>
      <c r="D48" s="40" t="s">
        <v>426</v>
      </c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2">
        <f>IF(COUNT(E48:P48)=0,"",AVERAGE(E48:P48))</f>
        <v>0</v>
      </c>
      <c r="R48" s="43">
        <f>IF(COUNT(E48:P48)=0,"",MIN(E48:P48))</f>
        <v>0</v>
      </c>
      <c r="S48" s="43">
        <f>IF(COUNT(E48:P48)=0,"",MAX(E48:P48))</f>
        <v>0</v>
      </c>
    </row>
    <row r="49" spans="1:19" ht="17" customHeight="1">
      <c r="A49" s="25" t="s">
        <v>461</v>
      </c>
      <c r="B49" s="32" t="s">
        <v>43</v>
      </c>
      <c r="C49" s="33" t="s">
        <v>35</v>
      </c>
      <c r="D49" s="34" t="s">
        <v>426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6">
        <f>IF(COUNT(E49:P49)=0,"",AVERAGE(E49:P49))</f>
        <v>0</v>
      </c>
      <c r="R49" s="37">
        <f>IF(COUNT(E49:P49)=0,"",MIN(E49:P49))</f>
        <v>0</v>
      </c>
      <c r="S49" s="37">
        <f>IF(COUNT(E49:P49)=0,"",MAX(E49:P49))</f>
        <v>0</v>
      </c>
    </row>
    <row r="50" spans="1:19" ht="17" customHeight="1">
      <c r="A50" s="25" t="s">
        <v>462</v>
      </c>
      <c r="B50" s="38" t="s">
        <v>41</v>
      </c>
      <c r="C50" s="39" t="s">
        <v>35</v>
      </c>
      <c r="D50" s="40" t="s">
        <v>426</v>
      </c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36">
        <f>IF(COUNT(E50:P50)=0,"",AVERAGE(E50:P50))</f>
        <v>0</v>
      </c>
      <c r="R50" s="45">
        <f>IF(COUNT(E50:P50)=0,"",MIN(E50:P50))</f>
        <v>0</v>
      </c>
      <c r="S50" s="45">
        <f>IF(COUNT(E50:P50)=0,"",MAX(E50:P50))</f>
        <v>0</v>
      </c>
    </row>
    <row r="51" spans="1:19" ht="17" customHeight="1">
      <c r="A51" s="25" t="s">
        <v>463</v>
      </c>
      <c r="B51" s="32" t="s">
        <v>94</v>
      </c>
      <c r="C51" s="33" t="s">
        <v>35</v>
      </c>
      <c r="D51" s="34" t="s">
        <v>426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6">
        <f>IF(COUNT(E51:P51)=0,"",AVERAGE(E51:P51))</f>
        <v>0</v>
      </c>
      <c r="R51" s="37">
        <f>IF(COUNT(E51:P51)=0,"",MIN(E51:P51))</f>
        <v>0</v>
      </c>
      <c r="S51" s="37">
        <f>IF(COUNT(E51:P51)=0,"",MAX(E51:P51))</f>
        <v>0</v>
      </c>
    </row>
    <row r="52" spans="1:19" ht="17" customHeight="1">
      <c r="A52" s="25" t="s">
        <v>464</v>
      </c>
      <c r="B52" s="38" t="s">
        <v>95</v>
      </c>
      <c r="C52" s="39" t="s">
        <v>96</v>
      </c>
      <c r="D52" s="40" t="s">
        <v>426</v>
      </c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1">
        <f>IF(COUNT(E52:P52)=0,"",AVERAGE(E52:P52))</f>
        <v>0</v>
      </c>
      <c r="R52" s="62">
        <f>IF(COUNT(E52:P52)=0,"",MIN(E52:P52))</f>
        <v>0</v>
      </c>
      <c r="S52" s="62">
        <f>IF(COUNT(E52:P52)=0,"",MAX(E52:P52))</f>
        <v>0</v>
      </c>
    </row>
    <row r="53" spans="1:19" ht="17" customHeight="1">
      <c r="A53" s="25" t="s">
        <v>465</v>
      </c>
      <c r="B53" s="32" t="s">
        <v>97</v>
      </c>
      <c r="C53" s="33" t="s">
        <v>35</v>
      </c>
      <c r="D53" s="34" t="s">
        <v>426</v>
      </c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6">
        <f>IF(COUNT(E53:P53)=0,"",AVERAGE(E53:P53))</f>
        <v>0</v>
      </c>
      <c r="R53" s="37">
        <f>IF(COUNT(E53:P53)=0,"",MIN(E53:P53))</f>
        <v>0</v>
      </c>
      <c r="S53" s="37">
        <f>IF(COUNT(E53:P53)=0,"",MAX(E53:P53))</f>
        <v>0</v>
      </c>
    </row>
    <row r="54" spans="1:19" ht="17" customHeight="1">
      <c r="A54" s="25" t="s">
        <v>466</v>
      </c>
      <c r="B54" s="38" t="s">
        <v>98</v>
      </c>
      <c r="C54" s="39" t="s">
        <v>35</v>
      </c>
      <c r="D54" s="40" t="s">
        <v>426</v>
      </c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36">
        <f>IF(COUNT(E54:P54)=0,"",AVERAGE(E54:P54))</f>
        <v>0</v>
      </c>
      <c r="R54" s="45">
        <f>IF(COUNT(E54:P54)=0,"",MIN(E54:P54))</f>
        <v>0</v>
      </c>
      <c r="S54" s="45">
        <f>IF(COUNT(E54:P54)=0,"",MAX(E54:P54))</f>
        <v>0</v>
      </c>
    </row>
    <row r="55" spans="1:19" ht="17" customHeight="1">
      <c r="A55" s="25" t="s">
        <v>467</v>
      </c>
      <c r="B55" s="32" t="s">
        <v>99</v>
      </c>
      <c r="C55" s="33" t="s">
        <v>35</v>
      </c>
      <c r="D55" s="34" t="s">
        <v>426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6">
        <f>IF(COUNT(E55:P55)=0,"",AVERAGE(E55:P55))</f>
        <v>0</v>
      </c>
      <c r="R55" s="37">
        <f>IF(COUNT(E55:P55)=0,"",MIN(E55:P55))</f>
        <v>0</v>
      </c>
      <c r="S55" s="37">
        <f>IF(COUNT(E55:P55)=0,"",MAX(E55:P55))</f>
        <v>0</v>
      </c>
    </row>
    <row r="56" spans="1:19" ht="17" customHeight="1">
      <c r="A56" s="25" t="s">
        <v>468</v>
      </c>
      <c r="B56" s="38" t="s">
        <v>100</v>
      </c>
      <c r="C56" s="39" t="s">
        <v>35</v>
      </c>
      <c r="D56" s="40" t="s">
        <v>426</v>
      </c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36">
        <f>IF(COUNT(E56:P56)=0,"",AVERAGE(E56:P56))</f>
        <v>0</v>
      </c>
      <c r="R56" s="45">
        <f>IF(COUNT(E56:P56)=0,"",MIN(E56:P56))</f>
        <v>0</v>
      </c>
      <c r="S56" s="45">
        <f>IF(COUNT(E56:P56)=0,"",MAX(E56:P56))</f>
        <v>0</v>
      </c>
    </row>
    <row r="57" spans="1:19" ht="18" customHeight="1">
      <c r="A57" s="25" t="s">
        <v>469</v>
      </c>
      <c r="B57" s="24" t="s">
        <v>101</v>
      </c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</row>
    <row r="58" spans="1:19" ht="17" customHeight="1">
      <c r="A58" s="25" t="s">
        <v>470</v>
      </c>
      <c r="B58" s="32" t="s">
        <v>48</v>
      </c>
      <c r="C58" s="33" t="s">
        <v>35</v>
      </c>
      <c r="D58" s="34" t="s">
        <v>426</v>
      </c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6">
        <f>IF(COUNT(E58:P58)=0,"",AVERAGE(E58:P58))</f>
        <v>0</v>
      </c>
      <c r="R58" s="37">
        <f>IF(COUNT(E58:P58)=0,"",MIN(E58:P58))</f>
        <v>0</v>
      </c>
      <c r="S58" s="37">
        <f>IF(COUNT(E58:P58)=0,"",MAX(E58:P58))</f>
        <v>0</v>
      </c>
    </row>
    <row r="59" spans="1:19" ht="17" customHeight="1">
      <c r="A59" s="25" t="s">
        <v>471</v>
      </c>
      <c r="B59" s="38" t="s">
        <v>34</v>
      </c>
      <c r="C59" s="39" t="s">
        <v>35</v>
      </c>
      <c r="D59" s="40" t="s">
        <v>426</v>
      </c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36">
        <f>IF(COUNT(E59:P59)=0,"",AVERAGE(E59:P59))</f>
        <v>0</v>
      </c>
      <c r="R59" s="45">
        <f>IF(COUNT(E59:P59)=0,"",MIN(E59:P59))</f>
        <v>0</v>
      </c>
      <c r="S59" s="45">
        <f>IF(COUNT(E59:P59)=0,"",MAX(E59:P59))</f>
        <v>0</v>
      </c>
    </row>
    <row r="60" spans="1:19" ht="17" customHeight="1">
      <c r="A60" s="25" t="s">
        <v>472</v>
      </c>
      <c r="B60" s="32" t="s">
        <v>53</v>
      </c>
      <c r="C60" s="33" t="s">
        <v>35</v>
      </c>
      <c r="D60" s="34" t="s">
        <v>426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IF(COUNT(E60:P60)=0,"",AVERAGE(E60:P60))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19" ht="17" customHeight="1">
      <c r="A61" s="25" t="s">
        <v>473</v>
      </c>
      <c r="B61" s="38" t="s">
        <v>39</v>
      </c>
      <c r="C61" s="39" t="s">
        <v>35</v>
      </c>
      <c r="D61" s="40" t="s">
        <v>426</v>
      </c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2">
        <f>IF(COUNT(E61:P61)=0,"",AVERAGE(E61:P61))</f>
        <v>0</v>
      </c>
      <c r="R61" s="43">
        <f>IF(COUNT(E61:P61)=0,"",MIN(E61:P61))</f>
        <v>0</v>
      </c>
      <c r="S61" s="43">
        <f>IF(COUNT(E61:P61)=0,"",MAX(E61:P61))</f>
        <v>0</v>
      </c>
    </row>
    <row r="62" spans="1:19" ht="17" customHeight="1">
      <c r="A62" s="25" t="s">
        <v>474</v>
      </c>
      <c r="B62" s="32" t="s">
        <v>43</v>
      </c>
      <c r="C62" s="33" t="s">
        <v>35</v>
      </c>
      <c r="D62" s="34" t="s">
        <v>426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6">
        <f>IF(COUNT(E62:P62)=0,"",AVERAGE(E62:P62))</f>
        <v>0</v>
      </c>
      <c r="R62" s="37">
        <f>IF(COUNT(E62:P62)=0,"",MIN(E62:P62))</f>
        <v>0</v>
      </c>
      <c r="S62" s="37">
        <f>IF(COUNT(E62:P62)=0,"",MAX(E62:P62))</f>
        <v>0</v>
      </c>
    </row>
    <row r="63" spans="1:19" ht="17" customHeight="1">
      <c r="A63" s="25" t="s">
        <v>475</v>
      </c>
      <c r="B63" s="38" t="s">
        <v>41</v>
      </c>
      <c r="C63" s="39" t="s">
        <v>35</v>
      </c>
      <c r="D63" s="40" t="s">
        <v>426</v>
      </c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36">
        <f>IF(COUNT(E63:P63)=0,"",AVERAGE(E63:P63))</f>
        <v>0</v>
      </c>
      <c r="R63" s="45">
        <f>IF(COUNT(E63:P63)=0,"",MIN(E63:P63))</f>
        <v>0</v>
      </c>
      <c r="S63" s="45">
        <f>IF(COUNT(E63:P63)=0,"",MAX(E63:P63))</f>
        <v>0</v>
      </c>
    </row>
    <row r="64" spans="1:19" ht="17" customHeight="1">
      <c r="A64" s="25" t="s">
        <v>476</v>
      </c>
      <c r="B64" s="32" t="s">
        <v>45</v>
      </c>
      <c r="C64" s="33" t="s">
        <v>35</v>
      </c>
      <c r="D64" s="34" t="s">
        <v>426</v>
      </c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6">
        <f>IF(COUNT(E64:P64)=0,"",AVERAGE(E64:P64))</f>
        <v>0</v>
      </c>
      <c r="R64" s="37">
        <f>IF(COUNT(E64:P64)=0,"",MIN(E64:P64))</f>
        <v>0</v>
      </c>
      <c r="S64" s="37">
        <f>IF(COUNT(E64:P64)=0,"",MAX(E64:P64))</f>
        <v>0</v>
      </c>
    </row>
    <row r="65" spans="1:19" ht="17" customHeight="1">
      <c r="A65" s="25" t="s">
        <v>477</v>
      </c>
      <c r="B65" s="38" t="s">
        <v>94</v>
      </c>
      <c r="C65" s="39" t="s">
        <v>35</v>
      </c>
      <c r="D65" s="40" t="s">
        <v>426</v>
      </c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36">
        <f>IF(COUNT(E65:P65)=0,"",AVERAGE(E65:P65))</f>
        <v>0</v>
      </c>
      <c r="R65" s="45">
        <f>IF(COUNT(E65:P65)=0,"",MIN(E65:P65))</f>
        <v>0</v>
      </c>
      <c r="S65" s="45">
        <f>IF(COUNT(E65:P65)=0,"",MAX(E65:P65))</f>
        <v>0</v>
      </c>
    </row>
    <row r="66" spans="1:19" ht="17" customHeight="1">
      <c r="A66" s="25" t="s">
        <v>478</v>
      </c>
      <c r="B66" s="32" t="s">
        <v>102</v>
      </c>
      <c r="C66" s="33" t="s">
        <v>35</v>
      </c>
      <c r="D66" s="34" t="s">
        <v>426</v>
      </c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6">
        <f>IF(COUNT(E66:P66)=0,"",AVERAGE(E66:P66))</f>
        <v>0</v>
      </c>
      <c r="R66" s="37">
        <f>IF(COUNT(E66:P66)=0,"",MIN(E66:P66))</f>
        <v>0</v>
      </c>
      <c r="S66" s="37">
        <f>IF(COUNT(E66:P66)=0,"",MAX(E66:P66))</f>
        <v>0</v>
      </c>
    </row>
    <row r="67" spans="1:19" ht="17" customHeight="1">
      <c r="A67" s="25" t="s">
        <v>479</v>
      </c>
      <c r="B67" s="38" t="s">
        <v>103</v>
      </c>
      <c r="C67" s="39" t="s">
        <v>35</v>
      </c>
      <c r="D67" s="40" t="s">
        <v>426</v>
      </c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36">
        <f>IF(COUNT(E67:P67)=0,"",AVERAGE(E67:P67))</f>
        <v>0</v>
      </c>
      <c r="R67" s="45">
        <f>IF(COUNT(E67:P67)=0,"",MIN(E67:P67))</f>
        <v>0</v>
      </c>
      <c r="S67" s="45">
        <f>IF(COUNT(E67:P67)=0,"",MAX(E67:P67))</f>
        <v>0</v>
      </c>
    </row>
    <row r="68" spans="1:19" ht="17" customHeight="1">
      <c r="A68" s="25" t="s">
        <v>480</v>
      </c>
      <c r="B68" s="32" t="s">
        <v>104</v>
      </c>
      <c r="C68" s="33" t="s">
        <v>35</v>
      </c>
      <c r="D68" s="34" t="s">
        <v>426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6">
        <f>IF(COUNT(E68:P68)=0,"",AVERAGE(E68:P68))</f>
        <v>0</v>
      </c>
      <c r="R68" s="37">
        <f>IF(COUNT(E68:P68)=0,"",MIN(E68:P68))</f>
        <v>0</v>
      </c>
      <c r="S68" s="37">
        <f>IF(COUNT(E68:P68)=0,"",MAX(E68:P68))</f>
        <v>0</v>
      </c>
    </row>
    <row r="69" spans="1:19" ht="17" customHeight="1">
      <c r="A69" s="25" t="s">
        <v>481</v>
      </c>
      <c r="B69" s="38" t="s">
        <v>105</v>
      </c>
      <c r="C69" s="39" t="s">
        <v>35</v>
      </c>
      <c r="D69" s="40" t="s">
        <v>426</v>
      </c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36">
        <f>IF(COUNT(E69:P69)=0,"",AVERAGE(E69:P69))</f>
        <v>0</v>
      </c>
      <c r="R69" s="45">
        <f>IF(COUNT(E69:P69)=0,"",MIN(E69:P69))</f>
        <v>0</v>
      </c>
      <c r="S69" s="45">
        <f>IF(COUNT(E69:P69)=0,"",MAX(E69:P69))</f>
        <v>0</v>
      </c>
    </row>
    <row r="70" spans="1:19" ht="17" customHeight="1">
      <c r="A70" s="25" t="s">
        <v>482</v>
      </c>
      <c r="B70" s="32" t="s">
        <v>106</v>
      </c>
      <c r="C70" s="33" t="s">
        <v>35</v>
      </c>
      <c r="D70" s="34" t="s">
        <v>426</v>
      </c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6">
        <f>IF(COUNT(E70:P70)=0,"",AVERAGE(E70:P70))</f>
        <v>0</v>
      </c>
      <c r="R70" s="37">
        <f>IF(COUNT(E70:P70)=0,"",MIN(E70:P70))</f>
        <v>0</v>
      </c>
      <c r="S70" s="37">
        <f>IF(COUNT(E70:P70)=0,"",MAX(E70:P70))</f>
        <v>0</v>
      </c>
    </row>
    <row r="71" spans="1:19" ht="17" customHeight="1">
      <c r="A71" s="25" t="s">
        <v>483</v>
      </c>
      <c r="B71" s="38" t="s">
        <v>107</v>
      </c>
      <c r="C71" s="39" t="s">
        <v>35</v>
      </c>
      <c r="D71" s="40" t="s">
        <v>426</v>
      </c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36">
        <f>IF(COUNT(E71:P71)=0,"",AVERAGE(E71:P71))</f>
        <v>0</v>
      </c>
      <c r="R71" s="45">
        <f>IF(COUNT(E71:P71)=0,"",MIN(E71:P71))</f>
        <v>0</v>
      </c>
      <c r="S71" s="45">
        <f>IF(COUNT(E71:P71)=0,"",MAX(E71:P71))</f>
        <v>0</v>
      </c>
    </row>
    <row r="72" spans="1:19" ht="17" customHeight="1">
      <c r="A72" s="25" t="s">
        <v>484</v>
      </c>
      <c r="B72" s="32" t="s">
        <v>108</v>
      </c>
      <c r="C72" s="33" t="s">
        <v>35</v>
      </c>
      <c r="D72" s="34" t="s">
        <v>426</v>
      </c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6">
        <f>IF(COUNT(E72:P72)=0,"",AVERAGE(E72:P72))</f>
        <v>0</v>
      </c>
      <c r="R72" s="37">
        <f>IF(COUNT(E72:P72)=0,"",MIN(E72:P72))</f>
        <v>0</v>
      </c>
      <c r="S72" s="37">
        <f>IF(COUNT(E72:P72)=0,"",MAX(E72:P72))</f>
        <v>0</v>
      </c>
    </row>
    <row r="73" spans="1:19" ht="17" customHeight="1">
      <c r="A73" s="25" t="s">
        <v>485</v>
      </c>
      <c r="B73" s="38" t="s">
        <v>109</v>
      </c>
      <c r="C73" s="39" t="s">
        <v>35</v>
      </c>
      <c r="D73" s="40" t="s">
        <v>426</v>
      </c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36">
        <f>IF(COUNT(E73:P73)=0,"",AVERAGE(E73:P73))</f>
        <v>0</v>
      </c>
      <c r="R73" s="45">
        <f>IF(COUNT(E73:P73)=0,"",MIN(E73:P73))</f>
        <v>0</v>
      </c>
      <c r="S73" s="45">
        <f>IF(COUNT(E73:P73)=0,"",MAX(E73:P73))</f>
        <v>0</v>
      </c>
    </row>
    <row r="74" spans="1:19" ht="16" customHeight="1">
      <c r="B74" s="56" t="s">
        <v>486</v>
      </c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</row>
  </sheetData>
  <sheetProtection sheet="1" objects="1" scenarios="1" formatColumns="0" formatRows="0"/>
  <mergeCells count="15">
    <mergeCell ref="E2:S2"/>
    <mergeCell ref="E3:S3"/>
    <mergeCell ref="C6:D6"/>
    <mergeCell ref="E6:G6"/>
    <mergeCell ref="I6:K6"/>
    <mergeCell ref="L6:S6"/>
    <mergeCell ref="C8:S8"/>
    <mergeCell ref="C9:D9"/>
    <mergeCell ref="E9:S9"/>
    <mergeCell ref="B10:S10"/>
    <mergeCell ref="B12:S12"/>
    <mergeCell ref="B22:S22"/>
    <mergeCell ref="B45:S45"/>
    <mergeCell ref="B57:S57"/>
    <mergeCell ref="B74:S74"/>
  </mergeCells>
  <dataValidations count="3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9">
      <formula1>"HH,DD,TN,CG"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142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143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5" t="s">
        <v>144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</row>
    <row r="7" spans="2:19" ht="30" customHeight="1">
      <c r="B7" s="31" t="s">
        <v>145</v>
      </c>
      <c r="C7" s="31" t="s">
        <v>146</v>
      </c>
      <c r="D7" s="31" t="s">
        <v>147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148</v>
      </c>
      <c r="O7" s="31"/>
      <c r="P7" s="31"/>
      <c r="Q7" s="31"/>
      <c r="R7" s="31"/>
      <c r="S7" s="31"/>
    </row>
    <row r="8" spans="2:19">
      <c r="B8" s="31"/>
      <c r="C8" s="31"/>
      <c r="D8" s="66" t="s">
        <v>149</v>
      </c>
      <c r="E8" s="66" t="s">
        <v>150</v>
      </c>
      <c r="F8" s="66" t="s">
        <v>151</v>
      </c>
      <c r="G8" s="66" t="s">
        <v>152</v>
      </c>
      <c r="H8" s="66" t="s">
        <v>153</v>
      </c>
      <c r="I8" s="66" t="s">
        <v>154</v>
      </c>
      <c r="J8" s="66" t="s">
        <v>155</v>
      </c>
      <c r="K8" s="66" t="s">
        <v>156</v>
      </c>
      <c r="L8" s="66" t="s">
        <v>157</v>
      </c>
      <c r="M8" s="66" t="s">
        <v>158</v>
      </c>
      <c r="N8" s="66" t="s">
        <v>151</v>
      </c>
      <c r="O8" s="66" t="s">
        <v>152</v>
      </c>
      <c r="P8" s="66" t="s">
        <v>153</v>
      </c>
      <c r="Q8" s="66" t="s">
        <v>154</v>
      </c>
      <c r="R8" s="66" t="s">
        <v>159</v>
      </c>
      <c r="S8" s="66" t="s">
        <v>160</v>
      </c>
    </row>
    <row r="9" spans="2:19" ht="17" customHeight="1">
      <c r="B9" s="67" t="s">
        <v>161</v>
      </c>
      <c r="C9" s="68" t="s">
        <v>162</v>
      </c>
      <c r="D9" s="69">
        <v>67.39</v>
      </c>
      <c r="E9" s="69"/>
      <c r="F9" s="69"/>
      <c r="G9" s="69">
        <v>1.54</v>
      </c>
      <c r="H9" s="70"/>
      <c r="I9" s="70">
        <v>0.05</v>
      </c>
      <c r="J9" s="69">
        <v>0.7</v>
      </c>
      <c r="K9" s="69"/>
      <c r="L9" s="69"/>
      <c r="M9" s="69"/>
      <c r="N9" s="69"/>
      <c r="O9" s="69">
        <v>1.36</v>
      </c>
      <c r="P9" s="70"/>
      <c r="Q9" s="70">
        <v>0.05</v>
      </c>
      <c r="R9" s="69"/>
      <c r="S9" s="69">
        <v>4.3</v>
      </c>
    </row>
    <row r="10" spans="2:19" ht="17" customHeight="1">
      <c r="B10" s="67" t="s">
        <v>163</v>
      </c>
      <c r="C10" s="68" t="s">
        <v>164</v>
      </c>
      <c r="D10" s="69">
        <v>67.19</v>
      </c>
      <c r="E10" s="69"/>
      <c r="F10" s="69"/>
      <c r="G10" s="69">
        <v>2.05</v>
      </c>
      <c r="H10" s="70"/>
      <c r="I10" s="70">
        <v>0.074</v>
      </c>
      <c r="J10" s="69">
        <v>0.65</v>
      </c>
      <c r="K10" s="69"/>
      <c r="L10" s="69"/>
      <c r="M10" s="69"/>
      <c r="N10" s="69"/>
      <c r="O10" s="69">
        <v>1.99</v>
      </c>
      <c r="P10" s="70"/>
      <c r="Q10" s="70">
        <v>0.075</v>
      </c>
      <c r="R10" s="69"/>
      <c r="S10" s="69">
        <v>4.3</v>
      </c>
    </row>
    <row r="11" spans="2:19" ht="17" customHeight="1">
      <c r="B11" s="67" t="s">
        <v>165</v>
      </c>
      <c r="C11" s="68" t="s">
        <v>166</v>
      </c>
      <c r="D11" s="69">
        <v>65.3</v>
      </c>
      <c r="E11" s="69"/>
      <c r="F11" s="69"/>
      <c r="G11" s="69">
        <v>3.45</v>
      </c>
      <c r="H11" s="70"/>
      <c r="I11" s="70">
        <v>0.074</v>
      </c>
      <c r="J11" s="69"/>
      <c r="K11" s="69"/>
      <c r="L11" s="69"/>
      <c r="M11" s="69">
        <v>0.55</v>
      </c>
      <c r="N11" s="69"/>
      <c r="O11" s="69">
        <v>2.5</v>
      </c>
      <c r="P11" s="70"/>
      <c r="Q11" s="70">
        <v>0.075</v>
      </c>
      <c r="R11" s="69"/>
      <c r="S11" s="69">
        <v>4.3</v>
      </c>
    </row>
    <row r="12" spans="2:19" ht="17" customHeight="1">
      <c r="B12" s="67" t="s">
        <v>167</v>
      </c>
      <c r="C12" s="68" t="s">
        <v>166</v>
      </c>
      <c r="D12" s="69">
        <v>65.09999999999999</v>
      </c>
      <c r="E12" s="69"/>
      <c r="F12" s="69"/>
      <c r="G12" s="69">
        <v>3.2</v>
      </c>
      <c r="H12" s="70"/>
      <c r="I12" s="70">
        <v>0.074</v>
      </c>
      <c r="J12" s="69"/>
      <c r="K12" s="69"/>
      <c r="L12" s="69">
        <v>0.75</v>
      </c>
      <c r="M12" s="69"/>
      <c r="N12" s="69"/>
      <c r="O12" s="69">
        <v>2.5</v>
      </c>
      <c r="P12" s="70"/>
      <c r="Q12" s="70">
        <v>0.075</v>
      </c>
      <c r="R12" s="69"/>
      <c r="S12" s="69">
        <v>4.3</v>
      </c>
    </row>
    <row r="13" spans="2:19" ht="17" customHeight="1">
      <c r="B13" s="67" t="s">
        <v>168</v>
      </c>
      <c r="C13" s="68" t="s">
        <v>164</v>
      </c>
      <c r="D13" s="69">
        <v>65.3</v>
      </c>
      <c r="E13" s="69"/>
      <c r="F13" s="69"/>
      <c r="G13" s="69">
        <v>2.8</v>
      </c>
      <c r="H13" s="70"/>
      <c r="I13" s="70">
        <v>0.074</v>
      </c>
      <c r="J13" s="69"/>
      <c r="K13" s="69"/>
      <c r="L13" s="69">
        <v>0.95</v>
      </c>
      <c r="M13" s="69"/>
      <c r="N13" s="69"/>
      <c r="O13" s="69">
        <v>1.99</v>
      </c>
      <c r="P13" s="70"/>
      <c r="Q13" s="70">
        <v>0.075</v>
      </c>
      <c r="R13" s="69"/>
      <c r="S13" s="69">
        <v>4.3</v>
      </c>
    </row>
    <row r="14" spans="2:19" ht="17" customHeight="1">
      <c r="B14" s="67" t="s">
        <v>169</v>
      </c>
      <c r="C14" s="68" t="s">
        <v>164</v>
      </c>
      <c r="D14" s="69">
        <v>65</v>
      </c>
      <c r="E14" s="69"/>
      <c r="F14" s="69"/>
      <c r="G14" s="69">
        <v>3</v>
      </c>
      <c r="H14" s="70"/>
      <c r="I14" s="70">
        <v>0.07199999999999999</v>
      </c>
      <c r="J14" s="69"/>
      <c r="K14" s="69"/>
      <c r="L14" s="69">
        <v>1.1</v>
      </c>
      <c r="M14" s="69"/>
      <c r="N14" s="69"/>
      <c r="O14" s="69">
        <v>1.99</v>
      </c>
      <c r="P14" s="70"/>
      <c r="Q14" s="70">
        <v>0.075</v>
      </c>
      <c r="R14" s="69"/>
      <c r="S14" s="69">
        <v>4.3</v>
      </c>
    </row>
    <row r="15" spans="2:19" ht="17" customHeight="1">
      <c r="B15" s="67" t="s">
        <v>170</v>
      </c>
      <c r="C15" s="68" t="s">
        <v>171</v>
      </c>
      <c r="D15" s="69">
        <v>63.5</v>
      </c>
      <c r="E15" s="69"/>
      <c r="F15" s="69"/>
      <c r="G15" s="69">
        <v>5.3</v>
      </c>
      <c r="H15" s="70"/>
      <c r="I15" s="70">
        <v>0.1</v>
      </c>
      <c r="J15" s="69"/>
      <c r="K15" s="69"/>
      <c r="L15" s="69">
        <v>0.4</v>
      </c>
      <c r="M15" s="69"/>
      <c r="N15" s="69"/>
      <c r="O15" s="69">
        <v>5.3</v>
      </c>
      <c r="P15" s="70"/>
      <c r="Q15" s="70">
        <v>0.11</v>
      </c>
      <c r="R15" s="69"/>
      <c r="S15" s="69">
        <v>4.3</v>
      </c>
    </row>
    <row r="16" spans="2:19" ht="17" customHeight="1">
      <c r="B16" s="67"/>
      <c r="C16" s="68"/>
      <c r="D16" s="69"/>
      <c r="E16" s="69"/>
      <c r="F16" s="69"/>
      <c r="G16" s="69"/>
      <c r="H16" s="70"/>
      <c r="I16" s="70"/>
      <c r="J16" s="69"/>
      <c r="K16" s="69"/>
      <c r="L16" s="69"/>
      <c r="M16" s="69"/>
      <c r="N16" s="69"/>
      <c r="O16" s="69"/>
      <c r="P16" s="70"/>
      <c r="Q16" s="70"/>
      <c r="R16" s="69"/>
      <c r="S16" s="69"/>
    </row>
    <row r="17" spans="2:19" ht="17" customHeight="1">
      <c r="B17" s="67"/>
      <c r="C17" s="68"/>
      <c r="D17" s="69"/>
      <c r="E17" s="69"/>
      <c r="F17" s="69"/>
      <c r="G17" s="69"/>
      <c r="H17" s="70"/>
      <c r="I17" s="70"/>
      <c r="J17" s="69"/>
      <c r="K17" s="69"/>
      <c r="L17" s="69"/>
      <c r="M17" s="69"/>
      <c r="N17" s="69"/>
      <c r="O17" s="69"/>
      <c r="P17" s="70"/>
      <c r="Q17" s="70"/>
      <c r="R17" s="69"/>
      <c r="S17" s="69"/>
    </row>
    <row r="18" spans="2:19" ht="17" customHeight="1">
      <c r="B18" s="67"/>
      <c r="C18" s="68"/>
      <c r="D18" s="69"/>
      <c r="E18" s="69"/>
      <c r="F18" s="69"/>
      <c r="G18" s="69"/>
      <c r="H18" s="70"/>
      <c r="I18" s="70"/>
      <c r="J18" s="69"/>
      <c r="K18" s="69"/>
      <c r="L18" s="69"/>
      <c r="M18" s="69"/>
      <c r="N18" s="69"/>
      <c r="O18" s="69"/>
      <c r="P18" s="70"/>
      <c r="Q18" s="70"/>
      <c r="R18" s="69"/>
      <c r="S18" s="69"/>
    </row>
    <row r="19" spans="2:19" ht="17" customHeight="1">
      <c r="B19" s="67"/>
      <c r="C19" s="68"/>
      <c r="D19" s="69"/>
      <c r="E19" s="69"/>
      <c r="F19" s="69"/>
      <c r="G19" s="69"/>
      <c r="H19" s="70"/>
      <c r="I19" s="70"/>
      <c r="J19" s="69"/>
      <c r="K19" s="69"/>
      <c r="L19" s="69"/>
      <c r="M19" s="69"/>
      <c r="N19" s="69"/>
      <c r="O19" s="69"/>
      <c r="P19" s="70"/>
      <c r="Q19" s="70"/>
      <c r="R19" s="69"/>
      <c r="S19" s="69"/>
    </row>
    <row r="20" spans="2:19" ht="17" customHeight="1">
      <c r="B20" s="67"/>
      <c r="C20" s="68"/>
      <c r="D20" s="69"/>
      <c r="E20" s="69"/>
      <c r="F20" s="69"/>
      <c r="G20" s="69"/>
      <c r="H20" s="70"/>
      <c r="I20" s="70"/>
      <c r="J20" s="69"/>
      <c r="K20" s="69"/>
      <c r="L20" s="69"/>
      <c r="M20" s="69"/>
      <c r="N20" s="69"/>
      <c r="O20" s="69"/>
      <c r="P20" s="70"/>
      <c r="Q20" s="70"/>
      <c r="R20" s="69"/>
      <c r="S20" s="69"/>
    </row>
    <row r="21" spans="2:19" ht="17" customHeight="1">
      <c r="B21" s="67"/>
      <c r="C21" s="68"/>
      <c r="D21" s="69"/>
      <c r="E21" s="69"/>
      <c r="F21" s="69"/>
      <c r="G21" s="69"/>
      <c r="H21" s="70"/>
      <c r="I21" s="70"/>
      <c r="J21" s="69"/>
      <c r="K21" s="69"/>
      <c r="L21" s="69"/>
      <c r="M21" s="69"/>
      <c r="N21" s="69"/>
      <c r="O21" s="69"/>
      <c r="P21" s="70"/>
      <c r="Q21" s="70"/>
      <c r="R21" s="69"/>
      <c r="S21" s="69"/>
    </row>
    <row r="22" spans="2:19" ht="17" customHeight="1">
      <c r="B22" s="67"/>
      <c r="C22" s="68"/>
      <c r="D22" s="69"/>
      <c r="E22" s="69"/>
      <c r="F22" s="69"/>
      <c r="G22" s="69"/>
      <c r="H22" s="70"/>
      <c r="I22" s="70"/>
      <c r="J22" s="69"/>
      <c r="K22" s="69"/>
      <c r="L22" s="69"/>
      <c r="M22" s="69"/>
      <c r="N22" s="69"/>
      <c r="O22" s="69"/>
      <c r="P22" s="70"/>
      <c r="Q22" s="70"/>
      <c r="R22" s="69"/>
      <c r="S22" s="69"/>
    </row>
    <row r="23" spans="2:19" ht="17" customHeight="1">
      <c r="B23" s="67"/>
      <c r="C23" s="68"/>
      <c r="D23" s="69"/>
      <c r="E23" s="69"/>
      <c r="F23" s="69"/>
      <c r="G23" s="69"/>
      <c r="H23" s="70"/>
      <c r="I23" s="70"/>
      <c r="J23" s="69"/>
      <c r="K23" s="69"/>
      <c r="L23" s="69"/>
      <c r="M23" s="69"/>
      <c r="N23" s="69"/>
      <c r="O23" s="69"/>
      <c r="P23" s="70"/>
      <c r="Q23" s="70"/>
      <c r="R23" s="69"/>
      <c r="S23" s="69"/>
    </row>
    <row r="24" spans="2:19" ht="17" customHeight="1">
      <c r="B24" s="67"/>
      <c r="C24" s="68"/>
      <c r="D24" s="69"/>
      <c r="E24" s="69"/>
      <c r="F24" s="69"/>
      <c r="G24" s="69"/>
      <c r="H24" s="70"/>
      <c r="I24" s="70"/>
      <c r="J24" s="69"/>
      <c r="K24" s="69"/>
      <c r="L24" s="69"/>
      <c r="M24" s="69"/>
      <c r="N24" s="69"/>
      <c r="O24" s="69"/>
      <c r="P24" s="70"/>
      <c r="Q24" s="70"/>
      <c r="R24" s="69"/>
      <c r="S24" s="69"/>
    </row>
    <row r="25" spans="2:19" ht="17" customHeight="1">
      <c r="B25" s="67"/>
      <c r="C25" s="68"/>
      <c r="D25" s="69"/>
      <c r="E25" s="69"/>
      <c r="F25" s="69"/>
      <c r="G25" s="69"/>
      <c r="H25" s="70"/>
      <c r="I25" s="70"/>
      <c r="J25" s="69"/>
      <c r="K25" s="69"/>
      <c r="L25" s="69"/>
      <c r="M25" s="69"/>
      <c r="N25" s="69"/>
      <c r="O25" s="69"/>
      <c r="P25" s="70"/>
      <c r="Q25" s="70"/>
      <c r="R25" s="69"/>
      <c r="S25" s="69"/>
    </row>
    <row r="26" spans="2:19" ht="17" customHeight="1">
      <c r="B26" s="67"/>
      <c r="C26" s="68"/>
      <c r="D26" s="69"/>
      <c r="E26" s="69"/>
      <c r="F26" s="69"/>
      <c r="G26" s="69"/>
      <c r="H26" s="70"/>
      <c r="I26" s="70"/>
      <c r="J26" s="69"/>
      <c r="K26" s="69"/>
      <c r="L26" s="69"/>
      <c r="M26" s="69"/>
      <c r="N26" s="69"/>
      <c r="O26" s="69"/>
      <c r="P26" s="70"/>
      <c r="Q26" s="70"/>
      <c r="R26" s="69"/>
      <c r="S26" s="69"/>
    </row>
    <row r="27" spans="2:19" ht="17" customHeight="1">
      <c r="B27" s="67"/>
      <c r="C27" s="68"/>
      <c r="D27" s="69"/>
      <c r="E27" s="69"/>
      <c r="F27" s="69"/>
      <c r="G27" s="69"/>
      <c r="H27" s="70"/>
      <c r="I27" s="70"/>
      <c r="J27" s="69"/>
      <c r="K27" s="69"/>
      <c r="L27" s="69"/>
      <c r="M27" s="69"/>
      <c r="N27" s="69"/>
      <c r="O27" s="69"/>
      <c r="P27" s="70"/>
      <c r="Q27" s="70"/>
      <c r="R27" s="69"/>
      <c r="S27" s="69"/>
    </row>
    <row r="28" spans="2:19" ht="17" customHeight="1">
      <c r="B28" s="67"/>
      <c r="C28" s="68"/>
      <c r="D28" s="69"/>
      <c r="E28" s="69"/>
      <c r="F28" s="69"/>
      <c r="G28" s="69"/>
      <c r="H28" s="70"/>
      <c r="I28" s="70"/>
      <c r="J28" s="69"/>
      <c r="K28" s="69"/>
      <c r="L28" s="69"/>
      <c r="M28" s="69"/>
      <c r="N28" s="69"/>
      <c r="O28" s="69"/>
      <c r="P28" s="70"/>
      <c r="Q28" s="70"/>
      <c r="R28" s="69"/>
      <c r="S28" s="69"/>
    </row>
    <row r="29" spans="2:19" ht="17" customHeight="1">
      <c r="B29" s="67"/>
      <c r="C29" s="68"/>
      <c r="D29" s="69"/>
      <c r="E29" s="69"/>
      <c r="F29" s="69"/>
      <c r="G29" s="69"/>
      <c r="H29" s="70"/>
      <c r="I29" s="70"/>
      <c r="J29" s="69"/>
      <c r="K29" s="69"/>
      <c r="L29" s="69"/>
      <c r="M29" s="69"/>
      <c r="N29" s="69"/>
      <c r="O29" s="69"/>
      <c r="P29" s="70"/>
      <c r="Q29" s="70"/>
      <c r="R29" s="69"/>
      <c r="S29" s="69"/>
    </row>
    <row r="30" spans="2:19" ht="17" customHeight="1">
      <c r="B30" s="67"/>
      <c r="C30" s="68"/>
      <c r="D30" s="69"/>
      <c r="E30" s="69"/>
      <c r="F30" s="69"/>
      <c r="G30" s="69"/>
      <c r="H30" s="70"/>
      <c r="I30" s="70"/>
      <c r="J30" s="69"/>
      <c r="K30" s="69"/>
      <c r="L30" s="69"/>
      <c r="M30" s="69"/>
      <c r="N30" s="69"/>
      <c r="O30" s="69"/>
      <c r="P30" s="70"/>
      <c r="Q30" s="70"/>
      <c r="R30" s="69"/>
      <c r="S30" s="69"/>
    </row>
    <row r="31" spans="2:19" ht="17" customHeight="1">
      <c r="B31" s="67"/>
      <c r="C31" s="68"/>
      <c r="D31" s="69"/>
      <c r="E31" s="69"/>
      <c r="F31" s="69"/>
      <c r="G31" s="69"/>
      <c r="H31" s="70"/>
      <c r="I31" s="70"/>
      <c r="J31" s="69"/>
      <c r="K31" s="69"/>
      <c r="L31" s="69"/>
      <c r="M31" s="69"/>
      <c r="N31" s="69"/>
      <c r="O31" s="69"/>
      <c r="P31" s="70"/>
      <c r="Q31" s="70"/>
      <c r="R31" s="69"/>
      <c r="S31" s="69"/>
    </row>
    <row r="32" spans="2:19" ht="17" customHeight="1">
      <c r="B32" s="67"/>
      <c r="C32" s="68"/>
      <c r="D32" s="69"/>
      <c r="E32" s="69"/>
      <c r="F32" s="69"/>
      <c r="G32" s="69"/>
      <c r="H32" s="70"/>
      <c r="I32" s="70"/>
      <c r="J32" s="69"/>
      <c r="K32" s="69"/>
      <c r="L32" s="69"/>
      <c r="M32" s="69"/>
      <c r="N32" s="69"/>
      <c r="O32" s="69"/>
      <c r="P32" s="70"/>
      <c r="Q32" s="70"/>
      <c r="R32" s="69"/>
      <c r="S32" s="69"/>
    </row>
    <row r="33" spans="2:19" ht="17" customHeight="1">
      <c r="B33" s="67"/>
      <c r="C33" s="68"/>
      <c r="D33" s="69"/>
      <c r="E33" s="69"/>
      <c r="F33" s="69"/>
      <c r="G33" s="69"/>
      <c r="H33" s="70"/>
      <c r="I33" s="70"/>
      <c r="J33" s="69"/>
      <c r="K33" s="69"/>
      <c r="L33" s="69"/>
      <c r="M33" s="69"/>
      <c r="N33" s="69"/>
      <c r="O33" s="69"/>
      <c r="P33" s="70"/>
      <c r="Q33" s="70"/>
      <c r="R33" s="69"/>
      <c r="S33" s="69"/>
    </row>
    <row r="35" spans="2:19">
      <c r="B35" s="71" t="s">
        <v>172</v>
      </c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</row>
    <row r="36" spans="2:19"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</row>
    <row r="37" spans="2:19"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89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2" t="s">
        <v>111</v>
      </c>
      <c r="T5" s="72"/>
      <c r="U5" s="72"/>
      <c r="V5" s="72"/>
      <c r="W5" s="72"/>
      <c r="X5" s="72"/>
      <c r="Y5" s="72"/>
      <c r="Z5" s="72"/>
      <c r="AA5" s="72"/>
      <c r="AB5" s="72"/>
    </row>
    <row r="6" spans="2:28" ht="20" customHeight="1">
      <c r="B6" s="73" t="s">
        <v>3</v>
      </c>
      <c r="C6" s="73"/>
      <c r="D6" s="68" t="s">
        <v>4</v>
      </c>
      <c r="E6" s="68"/>
      <c r="F6" s="68"/>
      <c r="G6" s="7" t="s">
        <v>5</v>
      </c>
      <c r="H6" s="7"/>
      <c r="I6" s="7"/>
      <c r="J6" s="7"/>
      <c r="S6" s="74" t="s">
        <v>112</v>
      </c>
      <c r="T6" s="74" t="s">
        <v>115</v>
      </c>
      <c r="U6" s="74" t="s">
        <v>120</v>
      </c>
      <c r="V6" s="74" t="s">
        <v>123</v>
      </c>
      <c r="W6" s="74" t="s">
        <v>126</v>
      </c>
      <c r="X6" s="74" t="s">
        <v>22</v>
      </c>
      <c r="Y6" s="74" t="s">
        <v>132</v>
      </c>
      <c r="Z6" s="74" t="s">
        <v>134</v>
      </c>
      <c r="AA6" s="74" t="s">
        <v>137</v>
      </c>
      <c r="AB6" s="74" t="s">
        <v>139</v>
      </c>
    </row>
    <row r="7" spans="2:28" ht="20" customHeight="1">
      <c r="B7" s="73" t="s">
        <v>6</v>
      </c>
      <c r="C7" s="73"/>
      <c r="D7" s="68" t="s">
        <v>7</v>
      </c>
      <c r="E7" s="68"/>
      <c r="F7" s="68"/>
      <c r="G7" s="7" t="s">
        <v>8</v>
      </c>
      <c r="H7" s="7"/>
      <c r="I7" s="7"/>
      <c r="J7" s="7"/>
      <c r="S7" s="75" t="s">
        <v>113</v>
      </c>
      <c r="T7" s="75" t="s">
        <v>116</v>
      </c>
      <c r="U7" s="75" t="s">
        <v>121</v>
      </c>
      <c r="V7" s="75" t="s">
        <v>124</v>
      </c>
      <c r="W7" s="75" t="s">
        <v>127</v>
      </c>
      <c r="X7" s="75" t="s">
        <v>36</v>
      </c>
      <c r="Y7" s="75" t="s">
        <v>4</v>
      </c>
      <c r="Z7" s="75" t="s">
        <v>135</v>
      </c>
      <c r="AA7" s="75" t="s">
        <v>38</v>
      </c>
      <c r="AB7" s="75" t="s">
        <v>140</v>
      </c>
    </row>
    <row r="8" spans="2:28" ht="20" customHeight="1">
      <c r="B8" s="73" t="s">
        <v>9</v>
      </c>
      <c r="C8" s="73"/>
      <c r="D8" s="76">
        <v>0.2916666666666667</v>
      </c>
      <c r="E8" s="76"/>
      <c r="F8" s="76"/>
      <c r="G8" s="7" t="s">
        <v>10</v>
      </c>
      <c r="H8" s="7"/>
      <c r="I8" s="7"/>
      <c r="J8" s="7"/>
      <c r="S8" s="75" t="s">
        <v>114</v>
      </c>
      <c r="T8" s="75" t="s">
        <v>117</v>
      </c>
      <c r="U8" s="75" t="s">
        <v>122</v>
      </c>
      <c r="V8" s="75" t="s">
        <v>125</v>
      </c>
      <c r="W8" s="75" t="s">
        <v>128</v>
      </c>
      <c r="X8" s="75" t="s">
        <v>130</v>
      </c>
      <c r="Y8" s="75" t="s">
        <v>133</v>
      </c>
      <c r="Z8" s="75" t="s">
        <v>136</v>
      </c>
      <c r="AA8" s="75" t="s">
        <v>138</v>
      </c>
      <c r="AB8" s="75" t="s">
        <v>14</v>
      </c>
    </row>
    <row r="9" spans="2:28" ht="20" customHeight="1">
      <c r="B9" s="73" t="s">
        <v>11</v>
      </c>
      <c r="C9" s="73"/>
      <c r="D9" s="68">
        <v>60</v>
      </c>
      <c r="E9" s="68"/>
      <c r="F9" s="68"/>
      <c r="G9" s="7" t="s">
        <v>12</v>
      </c>
      <c r="H9" s="7"/>
      <c r="I9" s="7"/>
      <c r="J9" s="7"/>
      <c r="T9" s="75" t="s">
        <v>118</v>
      </c>
      <c r="W9" s="75" t="s">
        <v>129</v>
      </c>
      <c r="X9" s="75" t="s">
        <v>131</v>
      </c>
      <c r="AB9" s="75" t="s">
        <v>141</v>
      </c>
    </row>
    <row r="10" spans="2:28" ht="20" customHeight="1">
      <c r="B10" s="73" t="s">
        <v>13</v>
      </c>
      <c r="C10" s="73"/>
      <c r="D10" s="68" t="s">
        <v>14</v>
      </c>
      <c r="E10" s="68"/>
      <c r="F10" s="68"/>
      <c r="G10" s="7" t="s">
        <v>15</v>
      </c>
      <c r="H10" s="7"/>
      <c r="I10" s="7"/>
      <c r="J10" s="7"/>
      <c r="T10" s="75" t="s">
        <v>119</v>
      </c>
    </row>
    <row r="15" spans="2:28" ht="28" customHeight="1">
      <c r="B15" s="77" t="s">
        <v>16</v>
      </c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8" t="s">
        <v>18</v>
      </c>
      <c r="C17" s="78" t="s">
        <v>19</v>
      </c>
      <c r="D17" s="78" t="s">
        <v>20</v>
      </c>
      <c r="E17" s="78" t="s">
        <v>21</v>
      </c>
      <c r="F17" s="78" t="s">
        <v>22</v>
      </c>
      <c r="G17" s="78" t="s">
        <v>23</v>
      </c>
      <c r="H17" s="78" t="s">
        <v>24</v>
      </c>
      <c r="I17" s="78" t="s">
        <v>25</v>
      </c>
      <c r="J17" s="78" t="s">
        <v>26</v>
      </c>
      <c r="K17" s="78" t="s">
        <v>27</v>
      </c>
      <c r="L17" s="78" t="s">
        <v>28</v>
      </c>
      <c r="M17" s="78" t="s">
        <v>29</v>
      </c>
      <c r="N17" s="78" t="s">
        <v>30</v>
      </c>
      <c r="O17" s="78" t="s">
        <v>31</v>
      </c>
      <c r="P17" s="78" t="s">
        <v>32</v>
      </c>
    </row>
    <row r="18" spans="2:16">
      <c r="B18" s="79" t="s">
        <v>33</v>
      </c>
      <c r="C18" s="80" t="s">
        <v>34</v>
      </c>
      <c r="D18" s="68" t="s">
        <v>35</v>
      </c>
      <c r="E18" s="68">
        <v>2</v>
      </c>
      <c r="F18" s="68" t="s">
        <v>36</v>
      </c>
      <c r="G18" s="81" t="s">
        <v>37</v>
      </c>
      <c r="H18" s="82" t="s">
        <v>38</v>
      </c>
      <c r="I18" s="83" t="str">
        <f>IF(G18="","",G18)</f>
        <v>M650030010-0004-HHLQU</v>
      </c>
      <c r="J18" s="82" t="s">
        <v>38</v>
      </c>
      <c r="K18" s="68"/>
      <c r="L18" s="68"/>
      <c r="M18" s="68">
        <v>0</v>
      </c>
      <c r="N18" s="68">
        <v>50000</v>
      </c>
      <c r="O18" s="68">
        <v>1.29</v>
      </c>
      <c r="P18" s="68">
        <v>1.29</v>
      </c>
    </row>
    <row r="19" spans="2:16">
      <c r="B19" s="84" t="s">
        <v>33</v>
      </c>
      <c r="C19" s="85" t="s">
        <v>39</v>
      </c>
      <c r="D19" s="68" t="s">
        <v>35</v>
      </c>
      <c r="E19" s="68">
        <v>3</v>
      </c>
      <c r="F19" s="68" t="s">
        <v>36</v>
      </c>
      <c r="G19" s="81" t="s">
        <v>40</v>
      </c>
      <c r="H19" s="82" t="s">
        <v>38</v>
      </c>
      <c r="I19" s="83" t="str">
        <f>IF(G19="","",G19)</f>
        <v>M650030010-0008-HHLQU</v>
      </c>
      <c r="J19" s="82" t="s">
        <v>38</v>
      </c>
      <c r="K19" s="68"/>
      <c r="L19" s="68"/>
      <c r="M19" s="68">
        <v>0</v>
      </c>
      <c r="N19" s="68">
        <v>50000</v>
      </c>
      <c r="O19" s="68">
        <v>0.04</v>
      </c>
      <c r="P19" s="68">
        <v>0.04</v>
      </c>
    </row>
    <row r="20" spans="2:16">
      <c r="B20" s="79" t="s">
        <v>33</v>
      </c>
      <c r="C20" s="80" t="s">
        <v>41</v>
      </c>
      <c r="D20" s="68" t="s">
        <v>35</v>
      </c>
      <c r="E20" s="68">
        <v>2</v>
      </c>
      <c r="F20" s="68" t="s">
        <v>36</v>
      </c>
      <c r="G20" s="81" t="s">
        <v>42</v>
      </c>
      <c r="H20" s="82" t="s">
        <v>38</v>
      </c>
      <c r="I20" s="83" t="str">
        <f>IF(G20="","",G20)</f>
        <v>M650030010-0007-HHLQU</v>
      </c>
      <c r="J20" s="82" t="s">
        <v>38</v>
      </c>
      <c r="K20" s="68"/>
      <c r="L20" s="68"/>
      <c r="M20" s="68">
        <v>0</v>
      </c>
      <c r="N20" s="68">
        <v>50000</v>
      </c>
      <c r="O20" s="68">
        <v>0.05</v>
      </c>
      <c r="P20" s="68">
        <v>0.05</v>
      </c>
    </row>
    <row r="21" spans="2:16">
      <c r="B21" s="84" t="s">
        <v>33</v>
      </c>
      <c r="C21" s="85" t="s">
        <v>43</v>
      </c>
      <c r="D21" s="68" t="s">
        <v>35</v>
      </c>
      <c r="E21" s="68">
        <v>2</v>
      </c>
      <c r="F21" s="68" t="s">
        <v>36</v>
      </c>
      <c r="G21" s="81" t="s">
        <v>44</v>
      </c>
      <c r="H21" s="82" t="s">
        <v>38</v>
      </c>
      <c r="I21" s="83" t="str">
        <f>IF(G21="","",G21)</f>
        <v>M650030010-0006-HHLQU</v>
      </c>
      <c r="J21" s="82" t="s">
        <v>38</v>
      </c>
      <c r="K21" s="68"/>
      <c r="L21" s="68"/>
      <c r="M21" s="68">
        <v>0</v>
      </c>
      <c r="N21" s="68">
        <v>50000</v>
      </c>
      <c r="O21" s="68">
        <v>0.09</v>
      </c>
      <c r="P21" s="68">
        <v>0.09</v>
      </c>
    </row>
    <row r="22" spans="2:16">
      <c r="B22" s="79" t="s">
        <v>33</v>
      </c>
      <c r="C22" s="80" t="s">
        <v>45</v>
      </c>
      <c r="D22" s="68" t="s">
        <v>35</v>
      </c>
      <c r="E22" s="68">
        <v>2</v>
      </c>
      <c r="F22" s="68" t="s">
        <v>36</v>
      </c>
      <c r="G22" s="81" t="s">
        <v>46</v>
      </c>
      <c r="H22" s="82" t="s">
        <v>38</v>
      </c>
      <c r="I22" s="83" t="str">
        <f>IF(G22="","",G22)</f>
        <v>M650030010-0013-HHLQU</v>
      </c>
      <c r="J22" s="82" t="s">
        <v>38</v>
      </c>
      <c r="K22" s="68"/>
      <c r="L22" s="68"/>
      <c r="M22" s="68">
        <v>0</v>
      </c>
      <c r="N22" s="68">
        <v>50000</v>
      </c>
      <c r="O22" s="68">
        <v>3.66</v>
      </c>
      <c r="P22" s="68">
        <v>3.66</v>
      </c>
    </row>
    <row r="23" spans="2:16">
      <c r="B23" s="84" t="s">
        <v>47</v>
      </c>
      <c r="C23" s="85" t="s">
        <v>48</v>
      </c>
      <c r="D23" s="68" t="s">
        <v>35</v>
      </c>
      <c r="E23" s="68">
        <v>2</v>
      </c>
      <c r="F23" s="68" t="s">
        <v>36</v>
      </c>
      <c r="G23" s="81" t="s">
        <v>49</v>
      </c>
      <c r="H23" s="82" t="s">
        <v>38</v>
      </c>
      <c r="I23" s="81" t="s">
        <v>50</v>
      </c>
      <c r="J23" s="82" t="s">
        <v>38</v>
      </c>
      <c r="K23" s="68"/>
      <c r="L23" s="68"/>
      <c r="M23" s="68">
        <v>0</v>
      </c>
      <c r="N23" s="68">
        <v>50000</v>
      </c>
      <c r="O23" s="68">
        <v>67.3</v>
      </c>
      <c r="P23" s="68">
        <v>65.59999999999999</v>
      </c>
    </row>
    <row r="24" spans="2:16">
      <c r="B24" s="79" t="s">
        <v>47</v>
      </c>
      <c r="C24" s="80" t="s">
        <v>34</v>
      </c>
      <c r="D24" s="68" t="s">
        <v>35</v>
      </c>
      <c r="E24" s="68">
        <v>2</v>
      </c>
      <c r="F24" s="68" t="s">
        <v>36</v>
      </c>
      <c r="G24" s="81" t="s">
        <v>51</v>
      </c>
      <c r="H24" s="82" t="s">
        <v>38</v>
      </c>
      <c r="I24" s="81" t="s">
        <v>52</v>
      </c>
      <c r="J24" s="82" t="s">
        <v>38</v>
      </c>
      <c r="K24" s="68"/>
      <c r="L24" s="68"/>
      <c r="M24" s="68">
        <v>0</v>
      </c>
      <c r="N24" s="68">
        <v>50000</v>
      </c>
      <c r="O24" s="68">
        <v>1.82</v>
      </c>
      <c r="P24" s="68">
        <v>2.9</v>
      </c>
    </row>
    <row r="25" spans="2:16">
      <c r="B25" s="84" t="s">
        <v>47</v>
      </c>
      <c r="C25" s="85" t="s">
        <v>53</v>
      </c>
      <c r="D25" s="68" t="s">
        <v>35</v>
      </c>
      <c r="E25" s="68">
        <v>2</v>
      </c>
      <c r="F25" s="68" t="s">
        <v>36</v>
      </c>
      <c r="G25" s="81" t="s">
        <v>54</v>
      </c>
      <c r="H25" s="82" t="s">
        <v>38</v>
      </c>
      <c r="I25" s="81" t="s">
        <v>55</v>
      </c>
      <c r="J25" s="82" t="s">
        <v>38</v>
      </c>
      <c r="K25" s="68"/>
      <c r="L25" s="68"/>
      <c r="M25" s="68">
        <v>0</v>
      </c>
      <c r="N25" s="68">
        <v>50000</v>
      </c>
      <c r="O25" s="68">
        <v>0.42</v>
      </c>
      <c r="P25" s="68">
        <v>0.44</v>
      </c>
    </row>
    <row r="26" spans="2:16">
      <c r="B26" s="79" t="s">
        <v>47</v>
      </c>
      <c r="C26" s="80" t="s">
        <v>43</v>
      </c>
      <c r="D26" s="68" t="s">
        <v>35</v>
      </c>
      <c r="E26" s="68">
        <v>2</v>
      </c>
      <c r="F26" s="68" t="s">
        <v>36</v>
      </c>
      <c r="G26" s="81" t="s">
        <v>56</v>
      </c>
      <c r="H26" s="82" t="s">
        <v>38</v>
      </c>
      <c r="I26" s="81" t="s">
        <v>57</v>
      </c>
      <c r="J26" s="82" t="s">
        <v>38</v>
      </c>
      <c r="K26" s="68"/>
      <c r="L26" s="68"/>
      <c r="M26" s="68">
        <v>0</v>
      </c>
      <c r="N26" s="68">
        <v>50000</v>
      </c>
      <c r="O26" s="68">
        <v>0.82</v>
      </c>
      <c r="P26" s="68">
        <v>1.4</v>
      </c>
    </row>
    <row r="27" spans="2:16">
      <c r="B27" s="84" t="s">
        <v>47</v>
      </c>
      <c r="C27" s="85" t="s">
        <v>41</v>
      </c>
      <c r="D27" s="68" t="s">
        <v>35</v>
      </c>
      <c r="E27" s="68">
        <v>2</v>
      </c>
      <c r="F27" s="68" t="s">
        <v>36</v>
      </c>
      <c r="G27" s="81" t="s">
        <v>58</v>
      </c>
      <c r="H27" s="82" t="s">
        <v>38</v>
      </c>
      <c r="I27" s="81" t="s">
        <v>59</v>
      </c>
      <c r="J27" s="82" t="s">
        <v>38</v>
      </c>
      <c r="K27" s="68"/>
      <c r="L27" s="68"/>
      <c r="M27" s="68">
        <v>0</v>
      </c>
      <c r="N27" s="68">
        <v>50000</v>
      </c>
      <c r="O27" s="68">
        <v>0.1</v>
      </c>
      <c r="P27" s="68">
        <v>0.11</v>
      </c>
    </row>
    <row r="28" spans="2:16">
      <c r="B28" s="79" t="s">
        <v>47</v>
      </c>
      <c r="C28" s="80" t="s">
        <v>60</v>
      </c>
      <c r="D28" s="68" t="s">
        <v>61</v>
      </c>
      <c r="E28" s="68">
        <v>2</v>
      </c>
      <c r="F28" s="68" t="s">
        <v>36</v>
      </c>
      <c r="G28" s="81" t="s">
        <v>62</v>
      </c>
      <c r="H28" s="82" t="s">
        <v>38</v>
      </c>
      <c r="I28" s="81" t="s">
        <v>63</v>
      </c>
      <c r="J28" s="82" t="s">
        <v>38</v>
      </c>
      <c r="K28" s="68"/>
      <c r="L28" s="68"/>
      <c r="M28" s="68">
        <v>0</v>
      </c>
      <c r="N28" s="68">
        <v>50000</v>
      </c>
      <c r="O28" s="68">
        <v>0.45</v>
      </c>
      <c r="P28" s="68">
        <v>0.48</v>
      </c>
    </row>
    <row r="29" spans="2:16">
      <c r="B29" s="84" t="s">
        <v>47</v>
      </c>
      <c r="C29" s="85" t="s">
        <v>64</v>
      </c>
      <c r="D29" s="68" t="s">
        <v>35</v>
      </c>
      <c r="E29" s="68">
        <v>3</v>
      </c>
      <c r="F29" s="68" t="s">
        <v>36</v>
      </c>
      <c r="G29" s="81" t="s">
        <v>65</v>
      </c>
      <c r="H29" s="82" t="s">
        <v>38</v>
      </c>
      <c r="I29" s="81" t="s">
        <v>66</v>
      </c>
      <c r="J29" s="82" t="s">
        <v>38</v>
      </c>
      <c r="K29" s="68"/>
      <c r="L29" s="68"/>
      <c r="M29" s="68">
        <v>0</v>
      </c>
      <c r="N29" s="68">
        <v>50000</v>
      </c>
      <c r="O29" s="68">
        <v>0.07000000000000001</v>
      </c>
      <c r="P29" s="68">
        <v>0.07099999999999999</v>
      </c>
    </row>
    <row r="30" spans="2:16">
      <c r="B30" s="79" t="s">
        <v>67</v>
      </c>
      <c r="C30" s="80" t="s">
        <v>48</v>
      </c>
      <c r="D30" s="68" t="s">
        <v>35</v>
      </c>
      <c r="E30" s="68">
        <v>2</v>
      </c>
      <c r="F30" s="68" t="s">
        <v>36</v>
      </c>
      <c r="G30" s="81" t="str">
        <f>"M620010000-0002-"&amp;eFase&amp;"LQU"</f>
        <v>M620010000-0002-HHLQU</v>
      </c>
      <c r="H30" s="82" t="s">
        <v>38</v>
      </c>
      <c r="I30" s="83" t="str">
        <f>IF(G30="","",G30)</f>
        <v>M620010000-0002-HHLQU</v>
      </c>
      <c r="J30" s="82" t="s">
        <v>38</v>
      </c>
      <c r="K30" s="68"/>
      <c r="L30" s="68"/>
      <c r="M30" s="68">
        <v>0</v>
      </c>
      <c r="N30" s="68">
        <v>50000</v>
      </c>
      <c r="O30" s="68">
        <v>65.59999999999999</v>
      </c>
      <c r="P30" s="68">
        <v>65.59999999999999</v>
      </c>
    </row>
    <row r="31" spans="2:16">
      <c r="B31" s="84" t="s">
        <v>67</v>
      </c>
      <c r="C31" s="85" t="s">
        <v>34</v>
      </c>
      <c r="D31" s="68" t="s">
        <v>35</v>
      </c>
      <c r="E31" s="68">
        <v>2</v>
      </c>
      <c r="F31" s="68" t="s">
        <v>36</v>
      </c>
      <c r="G31" s="81" t="str">
        <f>"M620010000-0004-"&amp;eFase&amp;"LQU"</f>
        <v>M620010000-0004-HHLQU</v>
      </c>
      <c r="H31" s="82" t="s">
        <v>38</v>
      </c>
      <c r="I31" s="83" t="str">
        <f>IF(G31="","",G31)</f>
        <v>M620010000-0004-HHLQU</v>
      </c>
      <c r="J31" s="82" t="s">
        <v>38</v>
      </c>
      <c r="K31" s="68"/>
      <c r="L31" s="68"/>
      <c r="M31" s="68">
        <v>0</v>
      </c>
      <c r="N31" s="68">
        <v>50000</v>
      </c>
      <c r="O31" s="68">
        <v>2.9</v>
      </c>
      <c r="P31" s="68">
        <v>2.9</v>
      </c>
    </row>
    <row r="32" spans="2:16">
      <c r="B32" s="79" t="s">
        <v>67</v>
      </c>
      <c r="C32" s="80" t="s">
        <v>53</v>
      </c>
      <c r="D32" s="68" t="s">
        <v>35</v>
      </c>
      <c r="E32" s="68">
        <v>2</v>
      </c>
      <c r="F32" s="68" t="s">
        <v>36</v>
      </c>
      <c r="G32" s="81" t="str">
        <f>"M620010000-0005-"&amp;eFase&amp;"LQU"</f>
        <v>M620010000-0005-HHLQU</v>
      </c>
      <c r="H32" s="82" t="s">
        <v>38</v>
      </c>
      <c r="I32" s="83" t="str">
        <f>IF(G32="","",G32)</f>
        <v>M620010000-0005-HHLQU</v>
      </c>
      <c r="J32" s="82" t="s">
        <v>38</v>
      </c>
      <c r="K32" s="68"/>
      <c r="L32" s="68"/>
      <c r="M32" s="68">
        <v>0</v>
      </c>
      <c r="N32" s="68">
        <v>50000</v>
      </c>
      <c r="O32" s="68">
        <v>0.44</v>
      </c>
      <c r="P32" s="68">
        <v>0.44</v>
      </c>
    </row>
    <row r="33" spans="2:16">
      <c r="B33" s="84" t="s">
        <v>67</v>
      </c>
      <c r="C33" s="85" t="s">
        <v>43</v>
      </c>
      <c r="D33" s="68" t="s">
        <v>35</v>
      </c>
      <c r="E33" s="68">
        <v>2</v>
      </c>
      <c r="F33" s="68" t="s">
        <v>36</v>
      </c>
      <c r="G33" s="81" t="str">
        <f>"M620010000-0006-"&amp;eFase&amp;"LQU"</f>
        <v>M620010000-0006-HHLQU</v>
      </c>
      <c r="H33" s="82" t="s">
        <v>38</v>
      </c>
      <c r="I33" s="83" t="str">
        <f>IF(G33="","",G33)</f>
        <v>M620010000-0006-HHLQU</v>
      </c>
      <c r="J33" s="82" t="s">
        <v>38</v>
      </c>
      <c r="K33" s="68"/>
      <c r="L33" s="68"/>
      <c r="M33" s="68">
        <v>0</v>
      </c>
      <c r="N33" s="68">
        <v>50000</v>
      </c>
      <c r="O33" s="68">
        <v>1.4</v>
      </c>
      <c r="P33" s="68">
        <v>1.4</v>
      </c>
    </row>
    <row r="34" spans="2:16">
      <c r="B34" s="79" t="s">
        <v>67</v>
      </c>
      <c r="C34" s="80" t="s">
        <v>41</v>
      </c>
      <c r="D34" s="68" t="s">
        <v>35</v>
      </c>
      <c r="E34" s="68">
        <v>2</v>
      </c>
      <c r="F34" s="68" t="s">
        <v>36</v>
      </c>
      <c r="G34" s="81" t="str">
        <f>"M620010000-0007-"&amp;eFase&amp;"LQU"</f>
        <v>M620010000-0007-HHLQU</v>
      </c>
      <c r="H34" s="82" t="s">
        <v>38</v>
      </c>
      <c r="I34" s="83" t="str">
        <f>IF(G34="","",G34)</f>
        <v>M620010000-0007-HHLQU</v>
      </c>
      <c r="J34" s="82" t="s">
        <v>38</v>
      </c>
      <c r="K34" s="68"/>
      <c r="L34" s="68"/>
      <c r="M34" s="68">
        <v>0</v>
      </c>
      <c r="N34" s="68">
        <v>50000</v>
      </c>
      <c r="O34" s="68">
        <v>0.11</v>
      </c>
      <c r="P34" s="68">
        <v>0.11</v>
      </c>
    </row>
    <row r="35" spans="2:16">
      <c r="B35" s="84" t="s">
        <v>67</v>
      </c>
      <c r="C35" s="85" t="s">
        <v>39</v>
      </c>
      <c r="D35" s="68" t="s">
        <v>35</v>
      </c>
      <c r="E35" s="68">
        <v>3</v>
      </c>
      <c r="F35" s="68" t="s">
        <v>36</v>
      </c>
      <c r="G35" s="81" t="str">
        <f>"M620010000-0008-"&amp;eFase&amp;"LQU"</f>
        <v>M620010000-0008-HHLQU</v>
      </c>
      <c r="H35" s="82" t="s">
        <v>38</v>
      </c>
      <c r="I35" s="83" t="str">
        <f>IF(G35="","",G35)</f>
        <v>M620010000-0008-HHLQU</v>
      </c>
      <c r="J35" s="82" t="s">
        <v>38</v>
      </c>
      <c r="K35" s="68"/>
      <c r="L35" s="68"/>
      <c r="M35" s="68">
        <v>0</v>
      </c>
      <c r="N35" s="68">
        <v>50000</v>
      </c>
      <c r="O35" s="68">
        <v>0.05</v>
      </c>
      <c r="P35" s="68">
        <v>0.05</v>
      </c>
    </row>
    <row r="36" spans="2:16">
      <c r="B36" s="79" t="s">
        <v>67</v>
      </c>
      <c r="C36" s="80" t="s">
        <v>64</v>
      </c>
      <c r="D36" s="68" t="s">
        <v>35</v>
      </c>
      <c r="E36" s="68">
        <v>3</v>
      </c>
      <c r="F36" s="68" t="s">
        <v>36</v>
      </c>
      <c r="G36" s="81" t="str">
        <f>"M620010000-0115-"&amp;eFase&amp;"LQU"</f>
        <v>M620010000-0115-HHLQU</v>
      </c>
      <c r="H36" s="82" t="s">
        <v>38</v>
      </c>
      <c r="I36" s="83" t="str">
        <f>IF(G36="","",G36)</f>
        <v>M620010000-0115-HHLQU</v>
      </c>
      <c r="J36" s="82" t="s">
        <v>38</v>
      </c>
      <c r="K36" s="68"/>
      <c r="L36" s="68"/>
      <c r="M36" s="68">
        <v>0</v>
      </c>
      <c r="N36" s="68">
        <v>50000</v>
      </c>
      <c r="O36" s="68">
        <v>0.07099999999999999</v>
      </c>
      <c r="P36" s="68">
        <v>0.07099999999999999</v>
      </c>
    </row>
    <row r="37" spans="2:16">
      <c r="B37" s="84" t="s">
        <v>67</v>
      </c>
      <c r="C37" s="85" t="s">
        <v>60</v>
      </c>
      <c r="D37" s="68" t="s">
        <v>61</v>
      </c>
      <c r="E37" s="68">
        <v>2</v>
      </c>
      <c r="F37" s="68" t="s">
        <v>36</v>
      </c>
      <c r="G37" s="81" t="str">
        <f>"M620010000-0018-"&amp;eFase&amp;"LQU"</f>
        <v>M620010000-0018-HHLQU</v>
      </c>
      <c r="H37" s="82" t="s">
        <v>38</v>
      </c>
      <c r="I37" s="83" t="str">
        <f>IF(G37="","",G37)</f>
        <v>M620010000-0018-HHLQU</v>
      </c>
      <c r="J37" s="82" t="s">
        <v>38</v>
      </c>
      <c r="K37" s="68"/>
      <c r="L37" s="68"/>
      <c r="M37" s="68">
        <v>0</v>
      </c>
      <c r="N37" s="68">
        <v>50000</v>
      </c>
      <c r="O37" s="68">
        <v>0.48</v>
      </c>
      <c r="P37" s="68">
        <v>0.48</v>
      </c>
    </row>
    <row r="38" spans="2:16">
      <c r="B38" s="79" t="s">
        <v>67</v>
      </c>
      <c r="C38" s="80" t="s">
        <v>45</v>
      </c>
      <c r="D38" s="68" t="s">
        <v>35</v>
      </c>
      <c r="E38" s="68">
        <v>2</v>
      </c>
      <c r="F38" s="68" t="s">
        <v>36</v>
      </c>
      <c r="G38" s="81" t="str">
        <f>"M620010000-0013-"&amp;eFase&amp;"LQU"</f>
        <v>M620010000-0013-HHLQU</v>
      </c>
      <c r="H38" s="82" t="s">
        <v>38</v>
      </c>
      <c r="I38" s="83" t="str">
        <f>IF(G38="","",G38)</f>
        <v>M620010000-0013-HHLQU</v>
      </c>
      <c r="J38" s="82" t="s">
        <v>38</v>
      </c>
      <c r="K38" s="68"/>
      <c r="L38" s="68"/>
      <c r="M38" s="68">
        <v>0</v>
      </c>
      <c r="N38" s="68">
        <v>50000</v>
      </c>
      <c r="O38" s="68">
        <v>0.12</v>
      </c>
      <c r="P38" s="68">
        <v>0.12</v>
      </c>
    </row>
    <row r="39" spans="2:16">
      <c r="B39" s="84" t="s">
        <v>68</v>
      </c>
      <c r="C39" s="85" t="s">
        <v>69</v>
      </c>
      <c r="D39" s="68" t="s">
        <v>35</v>
      </c>
      <c r="E39" s="68">
        <v>2</v>
      </c>
      <c r="F39" s="68" t="s">
        <v>36</v>
      </c>
      <c r="G39" s="81" t="str">
        <f>"M620010000-0020-"&amp;eFase&amp;"LFU"</f>
        <v>M620010000-0020-HHLFU</v>
      </c>
      <c r="H39" s="82" t="s">
        <v>38</v>
      </c>
      <c r="I39" s="83" t="str">
        <f>IF(G39="","",G39)</f>
        <v>M620010000-0020-HHLFU</v>
      </c>
      <c r="J39" s="82" t="s">
        <v>38</v>
      </c>
      <c r="K39" s="68"/>
      <c r="L39" s="68"/>
      <c r="M39" s="68">
        <v>0</v>
      </c>
      <c r="N39" s="68">
        <v>50000</v>
      </c>
      <c r="O39" s="68">
        <v>0.5</v>
      </c>
      <c r="P39" s="68">
        <v>0.5</v>
      </c>
    </row>
    <row r="40" spans="2:16">
      <c r="B40" s="79" t="s">
        <v>68</v>
      </c>
      <c r="C40" s="80" t="s">
        <v>70</v>
      </c>
      <c r="D40" s="68" t="s">
        <v>35</v>
      </c>
      <c r="E40" s="68">
        <v>2</v>
      </c>
      <c r="F40" s="68" t="s">
        <v>36</v>
      </c>
      <c r="G40" s="81" t="str">
        <f>"M620010000-0021-"&amp;eFase&amp;"LFU"</f>
        <v>M620010000-0021-HHLFU</v>
      </c>
      <c r="H40" s="82" t="s">
        <v>38</v>
      </c>
      <c r="I40" s="83" t="str">
        <f>IF(G40="","",G40)</f>
        <v>M620010000-0021-HHLFU</v>
      </c>
      <c r="J40" s="82" t="s">
        <v>38</v>
      </c>
      <c r="K40" s="68"/>
      <c r="L40" s="68"/>
      <c r="M40" s="68">
        <v>0</v>
      </c>
      <c r="N40" s="68">
        <v>50000</v>
      </c>
      <c r="O40" s="68">
        <v>12</v>
      </c>
      <c r="P40" s="68">
        <v>12</v>
      </c>
    </row>
    <row r="41" spans="2:16">
      <c r="B41" s="84" t="s">
        <v>68</v>
      </c>
      <c r="C41" s="85" t="s">
        <v>71</v>
      </c>
      <c r="D41" s="68" t="s">
        <v>35</v>
      </c>
      <c r="E41" s="68">
        <v>2</v>
      </c>
      <c r="F41" s="68" t="s">
        <v>36</v>
      </c>
      <c r="G41" s="81" t="str">
        <f>"M620010000-0496-"&amp;eFase&amp;"LFU"</f>
        <v>M620010000-0496-HHLFU</v>
      </c>
      <c r="H41" s="82" t="s">
        <v>38</v>
      </c>
      <c r="I41" s="83" t="str">
        <f>IF(G41="","",G41)</f>
        <v>M620010000-0496-HHLFU</v>
      </c>
      <c r="J41" s="82" t="s">
        <v>38</v>
      </c>
      <c r="K41" s="68"/>
      <c r="L41" s="68"/>
      <c r="M41" s="68">
        <v>0</v>
      </c>
      <c r="N41" s="68">
        <v>50000</v>
      </c>
      <c r="O41" s="68">
        <v>35</v>
      </c>
      <c r="P41" s="68">
        <v>35</v>
      </c>
    </row>
    <row r="42" spans="2:16">
      <c r="B42" s="79" t="s">
        <v>68</v>
      </c>
      <c r="C42" s="80" t="s">
        <v>72</v>
      </c>
      <c r="D42" s="68" t="s">
        <v>35</v>
      </c>
      <c r="E42" s="68">
        <v>2</v>
      </c>
      <c r="F42" s="68" t="s">
        <v>36</v>
      </c>
      <c r="G42" s="81" t="str">
        <f>"M620010000-0022-"&amp;eFase&amp;"LFU"</f>
        <v>M620010000-0022-HHLFU</v>
      </c>
      <c r="H42" s="82" t="s">
        <v>38</v>
      </c>
      <c r="I42" s="83" t="str">
        <f>IF(G42="","",G42)</f>
        <v>M620010000-0022-HHLFU</v>
      </c>
      <c r="J42" s="82" t="s">
        <v>38</v>
      </c>
      <c r="K42" s="68"/>
      <c r="L42" s="68"/>
      <c r="M42" s="68">
        <v>0</v>
      </c>
      <c r="N42" s="68">
        <v>50000</v>
      </c>
      <c r="O42" s="68">
        <v>60</v>
      </c>
      <c r="P42" s="68">
        <v>60</v>
      </c>
    </row>
    <row r="43" spans="2:16">
      <c r="B43" s="84" t="s">
        <v>68</v>
      </c>
      <c r="C43" s="85" t="s">
        <v>73</v>
      </c>
      <c r="D43" s="68" t="s">
        <v>35</v>
      </c>
      <c r="E43" s="68">
        <v>2</v>
      </c>
      <c r="F43" s="68" t="s">
        <v>36</v>
      </c>
      <c r="G43" s="81" t="str">
        <f>"M620010000-0023-"&amp;eFase&amp;"LFU"</f>
        <v>M620010000-0023-HHLFU</v>
      </c>
      <c r="H43" s="82" t="s">
        <v>38</v>
      </c>
      <c r="I43" s="83" t="str">
        <f>IF(G43="","",G43)</f>
        <v>M620010000-0023-HHLFU</v>
      </c>
      <c r="J43" s="82" t="s">
        <v>38</v>
      </c>
      <c r="K43" s="68"/>
      <c r="L43" s="68"/>
      <c r="M43" s="68">
        <v>0</v>
      </c>
      <c r="N43" s="68">
        <v>50000</v>
      </c>
      <c r="O43" s="68">
        <v>95</v>
      </c>
      <c r="P43" s="68">
        <v>95</v>
      </c>
    </row>
    <row r="44" spans="2:16">
      <c r="B44" s="79" t="s">
        <v>68</v>
      </c>
      <c r="C44" s="80" t="s">
        <v>74</v>
      </c>
      <c r="D44" s="68" t="s">
        <v>35</v>
      </c>
      <c r="E44" s="68">
        <v>2</v>
      </c>
      <c r="F44" s="68" t="s">
        <v>36</v>
      </c>
      <c r="G44" s="81" t="str">
        <f>"M620010000-0024-"&amp;eFase&amp;"LFU"</f>
        <v>M620010000-0024-HHLFU</v>
      </c>
      <c r="H44" s="82" t="s">
        <v>38</v>
      </c>
      <c r="I44" s="83" t="str">
        <f>IF(G44="","",G44)</f>
        <v>M620010000-0024-HHLFU</v>
      </c>
      <c r="J44" s="82" t="s">
        <v>38</v>
      </c>
      <c r="K44" s="68"/>
      <c r="L44" s="68"/>
      <c r="M44" s="68">
        <v>0</v>
      </c>
      <c r="N44" s="68">
        <v>50000</v>
      </c>
      <c r="O44" s="68">
        <v>97</v>
      </c>
      <c r="P44" s="68">
        <v>97</v>
      </c>
    </row>
    <row r="45" spans="2:16">
      <c r="B45" s="84" t="s">
        <v>68</v>
      </c>
      <c r="C45" s="85" t="s">
        <v>75</v>
      </c>
      <c r="D45" s="68" t="s">
        <v>35</v>
      </c>
      <c r="E45" s="68">
        <v>2</v>
      </c>
      <c r="F45" s="68" t="s">
        <v>36</v>
      </c>
      <c r="G45" s="81" t="str">
        <f>"M620010000-0025-"&amp;eFase&amp;"LFU"</f>
        <v>M620010000-0025-HHLFU</v>
      </c>
      <c r="H45" s="82" t="s">
        <v>38</v>
      </c>
      <c r="I45" s="83" t="str">
        <f>IF(G45="","",G45)</f>
        <v>M620010000-0025-HHLFU</v>
      </c>
      <c r="J45" s="82" t="s">
        <v>38</v>
      </c>
      <c r="K45" s="68"/>
      <c r="L45" s="68"/>
      <c r="M45" s="68">
        <v>0</v>
      </c>
      <c r="N45" s="68">
        <v>50000</v>
      </c>
      <c r="O45" s="68">
        <v>98</v>
      </c>
      <c r="P45" s="68">
        <v>98</v>
      </c>
    </row>
    <row r="46" spans="2:16">
      <c r="B46" s="79" t="s">
        <v>68</v>
      </c>
      <c r="C46" s="80" t="s">
        <v>76</v>
      </c>
      <c r="D46" s="68" t="s">
        <v>35</v>
      </c>
      <c r="E46" s="68">
        <v>2</v>
      </c>
      <c r="F46" s="68" t="s">
        <v>36</v>
      </c>
      <c r="G46" s="81" t="str">
        <f>"M620010000-0544-"&amp;eFase&amp;"LFU"</f>
        <v>M620010000-0544-HHLFU</v>
      </c>
      <c r="H46" s="82" t="s">
        <v>38</v>
      </c>
      <c r="I46" s="83" t="str">
        <f>IF(G46="","",G46)</f>
        <v>M620010000-0544-HHLFU</v>
      </c>
      <c r="J46" s="82" t="s">
        <v>38</v>
      </c>
      <c r="K46" s="68"/>
      <c r="L46" s="68"/>
      <c r="M46" s="68">
        <v>0</v>
      </c>
      <c r="N46" s="68">
        <v>50000</v>
      </c>
      <c r="O46" s="68">
        <v>98.5</v>
      </c>
      <c r="P46" s="68">
        <v>98.5</v>
      </c>
    </row>
    <row r="47" spans="2:16">
      <c r="B47" s="84" t="s">
        <v>68</v>
      </c>
      <c r="C47" s="85" t="s">
        <v>77</v>
      </c>
      <c r="D47" s="68" t="s">
        <v>35</v>
      </c>
      <c r="E47" s="68">
        <v>2</v>
      </c>
      <c r="F47" s="68" t="s">
        <v>36</v>
      </c>
      <c r="G47" s="81" t="str">
        <f>"M620010000-0086-"&amp;eFase&amp;"LFU"</f>
        <v>M620010000-0086-HHLFU</v>
      </c>
      <c r="H47" s="82" t="s">
        <v>38</v>
      </c>
      <c r="I47" s="83" t="str">
        <f>IF(G47="","",G47)</f>
        <v>M620010000-0086-HHLFU</v>
      </c>
      <c r="J47" s="82" t="s">
        <v>38</v>
      </c>
      <c r="K47" s="68"/>
      <c r="L47" s="68"/>
      <c r="M47" s="68">
        <v>0</v>
      </c>
      <c r="N47" s="68">
        <v>50000</v>
      </c>
      <c r="O47" s="68">
        <v>99</v>
      </c>
      <c r="P47" s="68">
        <v>99</v>
      </c>
    </row>
    <row r="48" spans="2:16">
      <c r="B48" s="79" t="s">
        <v>68</v>
      </c>
      <c r="C48" s="80" t="s">
        <v>78</v>
      </c>
      <c r="D48" s="68" t="s">
        <v>35</v>
      </c>
      <c r="E48" s="68">
        <v>2</v>
      </c>
      <c r="F48" s="68" t="s">
        <v>36</v>
      </c>
      <c r="G48" s="81" t="str">
        <f>"M620010000-0087-"&amp;eFase&amp;"LFU"</f>
        <v>M620010000-0087-HHLFU</v>
      </c>
      <c r="H48" s="82" t="s">
        <v>38</v>
      </c>
      <c r="I48" s="83" t="str">
        <f>IF(G48="","",G48)</f>
        <v>M620010000-0087-HHLFU</v>
      </c>
      <c r="J48" s="82" t="s">
        <v>38</v>
      </c>
      <c r="K48" s="68"/>
      <c r="L48" s="68"/>
      <c r="M48" s="68">
        <v>0</v>
      </c>
      <c r="N48" s="68">
        <v>50000</v>
      </c>
      <c r="O48" s="68">
        <v>1</v>
      </c>
      <c r="P48" s="68">
        <v>1</v>
      </c>
    </row>
    <row r="49" spans="2:16">
      <c r="B49" s="84" t="s">
        <v>68</v>
      </c>
      <c r="C49" s="85" t="s">
        <v>79</v>
      </c>
      <c r="D49" s="68" t="s">
        <v>35</v>
      </c>
      <c r="E49" s="68">
        <v>2</v>
      </c>
      <c r="F49" s="68" t="s">
        <v>36</v>
      </c>
      <c r="G49" s="81" t="str">
        <f>"M620010000-2612-"&amp;eFase&amp;"LFU"</f>
        <v>M620010000-2612-HHLFU</v>
      </c>
      <c r="H49" s="82" t="s">
        <v>38</v>
      </c>
      <c r="I49" s="83" t="str">
        <f>IF(G49="","",G49)</f>
        <v>M620010000-2612-HHLFU</v>
      </c>
      <c r="J49" s="82" t="s">
        <v>38</v>
      </c>
      <c r="K49" s="68"/>
      <c r="L49" s="68"/>
      <c r="M49" s="68">
        <v>0</v>
      </c>
      <c r="N49" s="68">
        <v>50000</v>
      </c>
      <c r="O49" s="68">
        <v>98</v>
      </c>
      <c r="P49" s="68">
        <v>98</v>
      </c>
    </row>
    <row r="50" spans="2:16">
      <c r="B50" s="79" t="s">
        <v>68</v>
      </c>
      <c r="C50" s="80" t="s">
        <v>80</v>
      </c>
      <c r="D50" s="68" t="s">
        <v>35</v>
      </c>
      <c r="E50" s="68">
        <v>2</v>
      </c>
      <c r="F50" s="68" t="s">
        <v>36</v>
      </c>
      <c r="G50" s="81" t="str">
        <f>"M620010000-2615-"&amp;eFase&amp;"LFU"</f>
        <v>M620010000-2615-HHLFU</v>
      </c>
      <c r="H50" s="82" t="s">
        <v>38</v>
      </c>
      <c r="I50" s="83" t="str">
        <f>IF(G50="","",G50)</f>
        <v>M620010000-2615-HHLFU</v>
      </c>
      <c r="J50" s="82" t="s">
        <v>38</v>
      </c>
      <c r="K50" s="68"/>
      <c r="L50" s="68"/>
      <c r="M50" s="68">
        <v>0</v>
      </c>
      <c r="N50" s="68">
        <v>50000</v>
      </c>
      <c r="O50" s="68">
        <v>1</v>
      </c>
      <c r="P50" s="68">
        <v>1</v>
      </c>
    </row>
    <row r="51" spans="2:16">
      <c r="B51" s="84" t="s">
        <v>68</v>
      </c>
      <c r="C51" s="85" t="s">
        <v>81</v>
      </c>
      <c r="D51" s="68" t="s">
        <v>82</v>
      </c>
      <c r="E51" s="68">
        <v>0</v>
      </c>
      <c r="F51" s="68" t="s">
        <v>36</v>
      </c>
      <c r="G51" s="81" t="str">
        <f>"M620010000-0031-"&amp;eFase&amp;"LFU"</f>
        <v>M620010000-0031-HHLFU</v>
      </c>
      <c r="H51" s="82" t="s">
        <v>38</v>
      </c>
      <c r="I51" s="83" t="str">
        <f>IF(G51="","",G51)</f>
        <v>M620010000-0031-HHLFU</v>
      </c>
      <c r="J51" s="82" t="s">
        <v>38</v>
      </c>
      <c r="K51" s="68"/>
      <c r="L51" s="68"/>
      <c r="M51" s="68">
        <v>0</v>
      </c>
      <c r="N51" s="68">
        <v>50000</v>
      </c>
      <c r="O51" s="68">
        <v>330</v>
      </c>
      <c r="P51" s="68">
        <v>330</v>
      </c>
    </row>
    <row r="52" spans="2:16">
      <c r="B52" s="79" t="s">
        <v>68</v>
      </c>
      <c r="C52" s="80" t="s">
        <v>83</v>
      </c>
      <c r="D52" s="68" t="s">
        <v>35</v>
      </c>
      <c r="E52" s="68">
        <v>2</v>
      </c>
      <c r="F52" s="68" t="s">
        <v>36</v>
      </c>
      <c r="G52" s="81" t="str">
        <f>"M620010000-0032-"&amp;eFase&amp;"LFU"</f>
        <v>M620010000-0032-HHLFU</v>
      </c>
      <c r="H52" s="82" t="s">
        <v>38</v>
      </c>
      <c r="I52" s="83" t="str">
        <f>IF(G52="","",G52)</f>
        <v>M620010000-0032-HHLFU</v>
      </c>
      <c r="J52" s="82" t="s">
        <v>38</v>
      </c>
      <c r="K52" s="68"/>
      <c r="L52" s="68"/>
      <c r="M52" s="68">
        <v>0</v>
      </c>
      <c r="N52" s="68">
        <v>50000</v>
      </c>
      <c r="O52" s="68">
        <v>5</v>
      </c>
      <c r="P52" s="68">
        <v>5</v>
      </c>
    </row>
    <row r="53" spans="2:16">
      <c r="B53" s="84" t="s">
        <v>68</v>
      </c>
      <c r="C53" s="85" t="s">
        <v>84</v>
      </c>
      <c r="D53" s="68" t="s">
        <v>35</v>
      </c>
      <c r="E53" s="68">
        <v>2</v>
      </c>
      <c r="F53" s="68" t="s">
        <v>36</v>
      </c>
      <c r="G53" s="81" t="str">
        <f>"M620010000-0033-"&amp;eFase&amp;"LFU"</f>
        <v>M620010000-0033-HHLFU</v>
      </c>
      <c r="H53" s="82" t="s">
        <v>38</v>
      </c>
      <c r="I53" s="83" t="str">
        <f>IF(G53="","",G53)</f>
        <v>M620010000-0033-HHLFU</v>
      </c>
      <c r="J53" s="82" t="s">
        <v>38</v>
      </c>
      <c r="K53" s="68"/>
      <c r="L53" s="68"/>
      <c r="M53" s="68">
        <v>0</v>
      </c>
      <c r="N53" s="68">
        <v>50000</v>
      </c>
      <c r="O53" s="68">
        <v>2</v>
      </c>
      <c r="P53" s="68">
        <v>2</v>
      </c>
    </row>
    <row r="54" spans="2:16">
      <c r="B54" s="79" t="s">
        <v>68</v>
      </c>
      <c r="C54" s="80" t="s">
        <v>85</v>
      </c>
      <c r="D54" s="68" t="s">
        <v>35</v>
      </c>
      <c r="E54" s="68">
        <v>2</v>
      </c>
      <c r="F54" s="68" t="s">
        <v>36</v>
      </c>
      <c r="G54" s="81" t="str">
        <f>"M620010000-0257-"&amp;eFase&amp;"LFU"</f>
        <v>M620010000-0257-HHLFU</v>
      </c>
      <c r="H54" s="82" t="s">
        <v>38</v>
      </c>
      <c r="I54" s="83" t="str">
        <f>IF(G54="","",G54)</f>
        <v>M620010000-0257-HHLFU</v>
      </c>
      <c r="J54" s="82" t="s">
        <v>38</v>
      </c>
      <c r="K54" s="68"/>
      <c r="L54" s="68"/>
      <c r="M54" s="68">
        <v>0</v>
      </c>
      <c r="N54" s="68">
        <v>50000</v>
      </c>
      <c r="O54" s="68">
        <v>1</v>
      </c>
      <c r="P54" s="68">
        <v>1</v>
      </c>
    </row>
    <row r="55" spans="2:16">
      <c r="B55" s="84" t="s">
        <v>68</v>
      </c>
      <c r="C55" s="85" t="s">
        <v>86</v>
      </c>
      <c r="D55" s="68" t="s">
        <v>82</v>
      </c>
      <c r="E55" s="68">
        <v>0</v>
      </c>
      <c r="F55" s="68" t="s">
        <v>36</v>
      </c>
      <c r="G55" s="81" t="str">
        <f>"M620010000-2822-"&amp;eFase&amp;"LFU"</f>
        <v>M620010000-2822-HHLFU</v>
      </c>
      <c r="H55" s="82" t="s">
        <v>38</v>
      </c>
      <c r="I55" s="83" t="str">
        <f>IF(G55="","",G55)</f>
        <v>M620010000-2822-HHLFU</v>
      </c>
      <c r="J55" s="82" t="s">
        <v>38</v>
      </c>
      <c r="K55" s="68"/>
      <c r="L55" s="68"/>
      <c r="M55" s="68">
        <v>0</v>
      </c>
      <c r="N55" s="68">
        <v>50000</v>
      </c>
      <c r="O55" s="68">
        <v>80</v>
      </c>
      <c r="P55" s="68">
        <v>80</v>
      </c>
    </row>
    <row r="56" spans="2:16">
      <c r="B56" s="79" t="s">
        <v>68</v>
      </c>
      <c r="C56" s="80" t="s">
        <v>87</v>
      </c>
      <c r="D56" s="68" t="s">
        <v>88</v>
      </c>
      <c r="E56" s="68">
        <v>0</v>
      </c>
      <c r="F56" s="68" t="s">
        <v>36</v>
      </c>
      <c r="G56" s="81" t="str">
        <f>"M620010000-0035-"&amp;eFase&amp;"LFU"</f>
        <v>M620010000-0035-HHLFU</v>
      </c>
      <c r="H56" s="82" t="s">
        <v>38</v>
      </c>
      <c r="I56" s="83" t="str">
        <f>IF(G56="","",G56)</f>
        <v>M620010000-0035-HHLFU</v>
      </c>
      <c r="J56" s="82" t="s">
        <v>38</v>
      </c>
      <c r="K56" s="68"/>
      <c r="L56" s="68"/>
      <c r="M56" s="68">
        <v>0</v>
      </c>
      <c r="N56" s="68">
        <v>50000</v>
      </c>
      <c r="O56" s="68">
        <v>330</v>
      </c>
      <c r="P56" s="68">
        <v>330</v>
      </c>
    </row>
    <row r="57" spans="2:16">
      <c r="B57" s="84" t="s">
        <v>68</v>
      </c>
      <c r="C57" s="85" t="s">
        <v>89</v>
      </c>
      <c r="D57" s="68" t="s">
        <v>35</v>
      </c>
      <c r="E57" s="68">
        <v>2</v>
      </c>
      <c r="F57" s="68" t="s">
        <v>36</v>
      </c>
      <c r="G57" s="81" t="str">
        <f>"M620010000-2954-"&amp;eFase&amp;"LFU"</f>
        <v>M620010000-2954-HHLFU</v>
      </c>
      <c r="H57" s="82" t="s">
        <v>38</v>
      </c>
      <c r="I57" s="83" t="str">
        <f>IF(G57="","",G57)</f>
        <v>M620010000-2954-HHLFU</v>
      </c>
      <c r="J57" s="82" t="s">
        <v>38</v>
      </c>
      <c r="K57" s="68"/>
      <c r="L57" s="68"/>
      <c r="M57" s="68">
        <v>0</v>
      </c>
      <c r="N57" s="68">
        <v>50000</v>
      </c>
      <c r="O57" s="68">
        <v>5</v>
      </c>
      <c r="P57" s="68">
        <v>5</v>
      </c>
    </row>
    <row r="58" spans="2:16">
      <c r="B58" s="79" t="s">
        <v>68</v>
      </c>
      <c r="C58" s="80" t="s">
        <v>90</v>
      </c>
      <c r="D58" s="68" t="s">
        <v>35</v>
      </c>
      <c r="E58" s="68">
        <v>2</v>
      </c>
      <c r="F58" s="68" t="s">
        <v>36</v>
      </c>
      <c r="G58" s="81" t="str">
        <f>"M620010000-2947-"&amp;eFase&amp;"LFU"</f>
        <v>M620010000-2947-HHLFU</v>
      </c>
      <c r="H58" s="82" t="s">
        <v>38</v>
      </c>
      <c r="I58" s="83" t="str">
        <f>IF(G58="","",G58)</f>
        <v>M620010000-2947-HHLFU</v>
      </c>
      <c r="J58" s="82" t="s">
        <v>38</v>
      </c>
      <c r="K58" s="68"/>
      <c r="L58" s="68"/>
      <c r="M58" s="68">
        <v>0</v>
      </c>
      <c r="N58" s="68">
        <v>50000</v>
      </c>
      <c r="O58" s="68">
        <v>2</v>
      </c>
      <c r="P58" s="68">
        <v>2</v>
      </c>
    </row>
    <row r="59" spans="2:16">
      <c r="B59" s="84" t="s">
        <v>68</v>
      </c>
      <c r="C59" s="85" t="s">
        <v>91</v>
      </c>
      <c r="D59" s="68" t="s">
        <v>35</v>
      </c>
      <c r="E59" s="68">
        <v>2</v>
      </c>
      <c r="F59" s="68" t="s">
        <v>36</v>
      </c>
      <c r="G59" s="81" t="str">
        <f>"M620010000-2948-"&amp;eFase&amp;"LFU"</f>
        <v>M620010000-2948-HHLFU</v>
      </c>
      <c r="H59" s="82" t="s">
        <v>38</v>
      </c>
      <c r="I59" s="83" t="str">
        <f>IF(G59="","",G59)</f>
        <v>M620010000-2948-HHLFU</v>
      </c>
      <c r="J59" s="82" t="s">
        <v>38</v>
      </c>
      <c r="K59" s="68"/>
      <c r="L59" s="68"/>
      <c r="M59" s="68">
        <v>0</v>
      </c>
      <c r="N59" s="68">
        <v>50000</v>
      </c>
      <c r="O59" s="68">
        <v>1</v>
      </c>
      <c r="P59" s="68">
        <v>1</v>
      </c>
    </row>
    <row r="60" spans="2:16">
      <c r="B60" s="79" t="s">
        <v>68</v>
      </c>
      <c r="C60" s="80" t="s">
        <v>92</v>
      </c>
      <c r="D60" s="68" t="s">
        <v>88</v>
      </c>
      <c r="E60" s="68">
        <v>0</v>
      </c>
      <c r="F60" s="68" t="s">
        <v>36</v>
      </c>
      <c r="G60" s="81" t="str">
        <f>"M620010000-2949-"&amp;eFase&amp;"LFU"</f>
        <v>M620010000-2949-HHLFU</v>
      </c>
      <c r="H60" s="82" t="s">
        <v>38</v>
      </c>
      <c r="I60" s="83" t="str">
        <f>IF(G60="","",G60)</f>
        <v>M620010000-2949-HHLFU</v>
      </c>
      <c r="J60" s="82" t="s">
        <v>38</v>
      </c>
      <c r="K60" s="68"/>
      <c r="L60" s="68"/>
      <c r="M60" s="68">
        <v>0</v>
      </c>
      <c r="N60" s="68">
        <v>50000</v>
      </c>
      <c r="O60" s="68">
        <v>80</v>
      </c>
      <c r="P60" s="68">
        <v>80</v>
      </c>
    </row>
    <row r="61" spans="2:16">
      <c r="B61" s="84" t="s">
        <v>93</v>
      </c>
      <c r="C61" s="85" t="s">
        <v>34</v>
      </c>
      <c r="D61" s="68" t="s">
        <v>35</v>
      </c>
      <c r="E61" s="68">
        <v>2</v>
      </c>
      <c r="F61" s="68" t="s">
        <v>36</v>
      </c>
      <c r="G61" s="81" t="str">
        <f>"M620020000-0004-"&amp;eFase&amp;"LQU"</f>
        <v>M620020000-0004-HHLQU</v>
      </c>
      <c r="H61" s="82" t="s">
        <v>38</v>
      </c>
      <c r="I61" s="83" t="str">
        <f>IF(G61="","",G61)</f>
        <v>M620020000-0004-HHLQU</v>
      </c>
      <c r="J61" s="82" t="s">
        <v>38</v>
      </c>
      <c r="K61" s="68"/>
      <c r="L61" s="68"/>
      <c r="M61" s="68">
        <v>0</v>
      </c>
      <c r="N61" s="68">
        <v>50000</v>
      </c>
      <c r="O61" s="68">
        <v>2.3</v>
      </c>
      <c r="P61" s="68">
        <v>2.3</v>
      </c>
    </row>
    <row r="62" spans="2:16">
      <c r="B62" s="79" t="s">
        <v>93</v>
      </c>
      <c r="C62" s="80" t="s">
        <v>53</v>
      </c>
      <c r="D62" s="68" t="s">
        <v>35</v>
      </c>
      <c r="E62" s="68">
        <v>2</v>
      </c>
      <c r="F62" s="68" t="s">
        <v>36</v>
      </c>
      <c r="G62" s="81" t="str">
        <f>"M620020000-0005-"&amp;eFase&amp;"LQU"</f>
        <v>M620020000-0005-HHLQU</v>
      </c>
      <c r="H62" s="82" t="s">
        <v>38</v>
      </c>
      <c r="I62" s="83" t="str">
        <f>IF(G62="","",G62)</f>
        <v>M620020000-0005-HHLQU</v>
      </c>
      <c r="J62" s="82" t="s">
        <v>38</v>
      </c>
      <c r="K62" s="68"/>
      <c r="L62" s="68"/>
      <c r="M62" s="68">
        <v>0</v>
      </c>
      <c r="N62" s="68">
        <v>50000</v>
      </c>
      <c r="O62" s="68">
        <v>0.4</v>
      </c>
      <c r="P62" s="68">
        <v>0.4</v>
      </c>
    </row>
    <row r="63" spans="2:16">
      <c r="B63" s="84" t="s">
        <v>93</v>
      </c>
      <c r="C63" s="85" t="s">
        <v>39</v>
      </c>
      <c r="D63" s="68" t="s">
        <v>35</v>
      </c>
      <c r="E63" s="68">
        <v>3</v>
      </c>
      <c r="F63" s="68" t="s">
        <v>36</v>
      </c>
      <c r="G63" s="81" t="str">
        <f>"M620020000-0008-"&amp;eFase&amp;"LQU"</f>
        <v>M620020000-0008-HHLQU</v>
      </c>
      <c r="H63" s="82" t="s">
        <v>38</v>
      </c>
      <c r="I63" s="83" t="str">
        <f>IF(G63="","",G63)</f>
        <v>M620020000-0008-HHLQU</v>
      </c>
      <c r="J63" s="82" t="s">
        <v>38</v>
      </c>
      <c r="K63" s="68"/>
      <c r="L63" s="68"/>
      <c r="M63" s="68">
        <v>0</v>
      </c>
      <c r="N63" s="68">
        <v>50000</v>
      </c>
      <c r="O63" s="68">
        <v>0.05</v>
      </c>
      <c r="P63" s="68">
        <v>0.05</v>
      </c>
    </row>
    <row r="64" spans="2:16">
      <c r="B64" s="79" t="s">
        <v>93</v>
      </c>
      <c r="C64" s="80" t="s">
        <v>43</v>
      </c>
      <c r="D64" s="68" t="s">
        <v>35</v>
      </c>
      <c r="E64" s="68">
        <v>2</v>
      </c>
      <c r="F64" s="68" t="s">
        <v>36</v>
      </c>
      <c r="G64" s="81" t="str">
        <f>"M620020000-0006-"&amp;eFase&amp;"LQU"</f>
        <v>M620020000-0006-HHLQU</v>
      </c>
      <c r="H64" s="82" t="s">
        <v>38</v>
      </c>
      <c r="I64" s="83" t="str">
        <f>IF(G64="","",G64)</f>
        <v>M620020000-0006-HHLQU</v>
      </c>
      <c r="J64" s="82" t="s">
        <v>38</v>
      </c>
      <c r="K64" s="68"/>
      <c r="L64" s="68"/>
      <c r="M64" s="68">
        <v>0</v>
      </c>
      <c r="N64" s="68">
        <v>50000</v>
      </c>
      <c r="O64" s="68">
        <v>0.1</v>
      </c>
      <c r="P64" s="68">
        <v>0.1</v>
      </c>
    </row>
    <row r="65" spans="2:16">
      <c r="B65" s="84" t="s">
        <v>93</v>
      </c>
      <c r="C65" s="85" t="s">
        <v>41</v>
      </c>
      <c r="D65" s="68" t="s">
        <v>35</v>
      </c>
      <c r="E65" s="68">
        <v>2</v>
      </c>
      <c r="F65" s="68" t="s">
        <v>36</v>
      </c>
      <c r="G65" s="81" t="str">
        <f>"M620020000-0007-"&amp;eFase&amp;"LQU"</f>
        <v>M620020000-0007-HHLQU</v>
      </c>
      <c r="H65" s="82" t="s">
        <v>38</v>
      </c>
      <c r="I65" s="83" t="str">
        <f>IF(G65="","",G65)</f>
        <v>M620020000-0007-HHLQU</v>
      </c>
      <c r="J65" s="82" t="s">
        <v>38</v>
      </c>
      <c r="K65" s="68"/>
      <c r="L65" s="68"/>
      <c r="M65" s="68">
        <v>0</v>
      </c>
      <c r="N65" s="68">
        <v>50000</v>
      </c>
      <c r="O65" s="68">
        <v>0.06</v>
      </c>
      <c r="P65" s="68">
        <v>0.06</v>
      </c>
    </row>
    <row r="66" spans="2:16">
      <c r="B66" s="79" t="s">
        <v>93</v>
      </c>
      <c r="C66" s="80" t="s">
        <v>94</v>
      </c>
      <c r="D66" s="68" t="s">
        <v>35</v>
      </c>
      <c r="E66" s="68">
        <v>2</v>
      </c>
      <c r="F66" s="68" t="s">
        <v>36</v>
      </c>
      <c r="G66" s="81" t="str">
        <f>"M620020000-0001-"&amp;eFase&amp;"CC"</f>
        <v>M620020000-0001-HHCC</v>
      </c>
      <c r="H66" s="82" t="s">
        <v>38</v>
      </c>
      <c r="I66" s="83" t="str">
        <f>IF(G66="","",G66)</f>
        <v>M620020000-0001-HHCC</v>
      </c>
      <c r="J66" s="82" t="s">
        <v>38</v>
      </c>
      <c r="K66" s="68"/>
      <c r="L66" s="68"/>
      <c r="M66" s="68">
        <v>0</v>
      </c>
      <c r="N66" s="68">
        <v>50000</v>
      </c>
      <c r="O66" s="68">
        <v>9.5</v>
      </c>
      <c r="P66" s="68">
        <v>9.5</v>
      </c>
    </row>
    <row r="67" spans="2:16">
      <c r="B67" s="84" t="s">
        <v>93</v>
      </c>
      <c r="C67" s="85" t="s">
        <v>95</v>
      </c>
      <c r="D67" s="68" t="s">
        <v>96</v>
      </c>
      <c r="E67" s="68">
        <v>0</v>
      </c>
      <c r="F67" s="68" t="s">
        <v>36</v>
      </c>
      <c r="G67" s="81" t="str">
        <f>"M620020000-0017-"&amp;eFase&amp;"CC"</f>
        <v>M620020000-0017-HHCC</v>
      </c>
      <c r="H67" s="82" t="s">
        <v>38</v>
      </c>
      <c r="I67" s="83" t="str">
        <f>IF(G67="","",G67)</f>
        <v>M620020000-0017-HHCC</v>
      </c>
      <c r="J67" s="82" t="s">
        <v>38</v>
      </c>
      <c r="K67" s="68"/>
      <c r="L67" s="68"/>
      <c r="M67" s="68">
        <v>0</v>
      </c>
      <c r="N67" s="68">
        <v>50000</v>
      </c>
      <c r="O67" s="68">
        <v>1800</v>
      </c>
      <c r="P67" s="68">
        <v>1800</v>
      </c>
    </row>
    <row r="68" spans="2:16">
      <c r="B68" s="79" t="s">
        <v>93</v>
      </c>
      <c r="C68" s="80" t="s">
        <v>97</v>
      </c>
      <c r="D68" s="68" t="s">
        <v>35</v>
      </c>
      <c r="E68" s="68">
        <v>2</v>
      </c>
      <c r="F68" s="68" t="s">
        <v>36</v>
      </c>
      <c r="G68" s="81" t="str">
        <f>"M620020000-2674-"&amp;eFase&amp;"CC"</f>
        <v>M620020000-2674-HHCC</v>
      </c>
      <c r="H68" s="82" t="s">
        <v>38</v>
      </c>
      <c r="I68" s="83" t="str">
        <f>IF(G68="","",G68)</f>
        <v>M620020000-2674-HHCC</v>
      </c>
      <c r="J68" s="82" t="s">
        <v>38</v>
      </c>
      <c r="K68" s="68"/>
      <c r="L68" s="68"/>
      <c r="M68" s="68">
        <v>0</v>
      </c>
      <c r="N68" s="68">
        <v>50000</v>
      </c>
      <c r="O68" s="68">
        <v>0.5</v>
      </c>
      <c r="P68" s="68">
        <v>0.5</v>
      </c>
    </row>
    <row r="69" spans="2:16">
      <c r="B69" s="84" t="s">
        <v>93</v>
      </c>
      <c r="C69" s="85" t="s">
        <v>98</v>
      </c>
      <c r="D69" s="68" t="s">
        <v>35</v>
      </c>
      <c r="E69" s="68">
        <v>2</v>
      </c>
      <c r="F69" s="68" t="s">
        <v>36</v>
      </c>
      <c r="G69" s="81" t="str">
        <f>"M620020000-2634-"&amp;eFase&amp;"CC"</f>
        <v>M620020000-2634-HHCC</v>
      </c>
      <c r="H69" s="82" t="s">
        <v>38</v>
      </c>
      <c r="I69" s="83" t="str">
        <f>IF(G69="","",G69)</f>
        <v>M620020000-2634-HHCC</v>
      </c>
      <c r="J69" s="82" t="s">
        <v>38</v>
      </c>
      <c r="K69" s="68"/>
      <c r="L69" s="68"/>
      <c r="M69" s="68">
        <v>0</v>
      </c>
      <c r="N69" s="68">
        <v>50000</v>
      </c>
      <c r="O69" s="68">
        <v>3</v>
      </c>
      <c r="P69" s="68">
        <v>3</v>
      </c>
    </row>
    <row r="70" spans="2:16">
      <c r="B70" s="79" t="s">
        <v>93</v>
      </c>
      <c r="C70" s="80" t="s">
        <v>99</v>
      </c>
      <c r="D70" s="68" t="s">
        <v>35</v>
      </c>
      <c r="E70" s="68">
        <v>2</v>
      </c>
      <c r="F70" s="68" t="s">
        <v>36</v>
      </c>
      <c r="G70" s="81" t="str">
        <f>"M620020000-2636-"&amp;eFase&amp;"CC"</f>
        <v>M620020000-2636-HHCC</v>
      </c>
      <c r="H70" s="82" t="s">
        <v>38</v>
      </c>
      <c r="I70" s="83" t="str">
        <f>IF(G70="","",G70)</f>
        <v>M620020000-2636-HHCC</v>
      </c>
      <c r="J70" s="82" t="s">
        <v>38</v>
      </c>
      <c r="K70" s="68"/>
      <c r="L70" s="68"/>
      <c r="M70" s="68">
        <v>0</v>
      </c>
      <c r="N70" s="68">
        <v>50000</v>
      </c>
      <c r="O70" s="68">
        <v>10</v>
      </c>
      <c r="P70" s="68">
        <v>10</v>
      </c>
    </row>
    <row r="71" spans="2:16">
      <c r="B71" s="84" t="s">
        <v>93</v>
      </c>
      <c r="C71" s="85" t="s">
        <v>100</v>
      </c>
      <c r="D71" s="68" t="s">
        <v>35</v>
      </c>
      <c r="E71" s="68">
        <v>2</v>
      </c>
      <c r="F71" s="68" t="s">
        <v>36</v>
      </c>
      <c r="G71" s="81" t="str">
        <f>"M620020000-0016-"&amp;eFase&amp;"CC"</f>
        <v>M620020000-0016-HHCC</v>
      </c>
      <c r="H71" s="82" t="s">
        <v>38</v>
      </c>
      <c r="I71" s="83" t="str">
        <f>IF(G71="","",G71)</f>
        <v>M620020000-0016-HHCC</v>
      </c>
      <c r="J71" s="82" t="s">
        <v>38</v>
      </c>
      <c r="K71" s="68"/>
      <c r="L71" s="68"/>
      <c r="M71" s="68">
        <v>0</v>
      </c>
      <c r="N71" s="68">
        <v>50000</v>
      </c>
      <c r="O71" s="68">
        <v>87</v>
      </c>
      <c r="P71" s="68">
        <v>87</v>
      </c>
    </row>
    <row r="72" spans="2:16">
      <c r="B72" s="79" t="s">
        <v>101</v>
      </c>
      <c r="C72" s="80" t="s">
        <v>48</v>
      </c>
      <c r="D72" s="68" t="s">
        <v>35</v>
      </c>
      <c r="E72" s="68">
        <v>2</v>
      </c>
      <c r="F72" s="68" t="s">
        <v>36</v>
      </c>
      <c r="G72" s="81" t="str">
        <f>"M620030000-0002-"&amp;eFase&amp;"LQU"</f>
        <v>M620030000-0002-HHLQU</v>
      </c>
      <c r="H72" s="82" t="s">
        <v>38</v>
      </c>
      <c r="I72" s="83" t="str">
        <f>IF(G72="","",G72)</f>
        <v>M620030000-0002-HHLQU</v>
      </c>
      <c r="J72" s="82" t="s">
        <v>38</v>
      </c>
      <c r="K72" s="68"/>
      <c r="L72" s="68"/>
      <c r="M72" s="68">
        <v>0</v>
      </c>
      <c r="N72" s="68">
        <v>50000</v>
      </c>
      <c r="O72" s="68">
        <v>64.5</v>
      </c>
      <c r="P72" s="68">
        <v>64.5</v>
      </c>
    </row>
    <row r="73" spans="2:16">
      <c r="B73" s="84" t="s">
        <v>101</v>
      </c>
      <c r="C73" s="85" t="s">
        <v>34</v>
      </c>
      <c r="D73" s="68" t="s">
        <v>35</v>
      </c>
      <c r="E73" s="68">
        <v>2</v>
      </c>
      <c r="F73" s="68" t="s">
        <v>36</v>
      </c>
      <c r="G73" s="81" t="str">
        <f>"M620030000-0004-"&amp;eFase&amp;"LQU"</f>
        <v>M620030000-0004-HHLQU</v>
      </c>
      <c r="H73" s="82" t="s">
        <v>38</v>
      </c>
      <c r="I73" s="83" t="str">
        <f>IF(G73="","",G73)</f>
        <v>M620030000-0004-HHLQU</v>
      </c>
      <c r="J73" s="82" t="s">
        <v>38</v>
      </c>
      <c r="K73" s="68"/>
      <c r="L73" s="68"/>
      <c r="M73" s="68">
        <v>0</v>
      </c>
      <c r="N73" s="68">
        <v>50000</v>
      </c>
      <c r="O73" s="68">
        <v>3.2</v>
      </c>
      <c r="P73" s="68">
        <v>3.2</v>
      </c>
    </row>
    <row r="74" spans="2:16">
      <c r="B74" s="79" t="s">
        <v>101</v>
      </c>
      <c r="C74" s="80" t="s">
        <v>53</v>
      </c>
      <c r="D74" s="68" t="s">
        <v>35</v>
      </c>
      <c r="E74" s="68">
        <v>2</v>
      </c>
      <c r="F74" s="68" t="s">
        <v>36</v>
      </c>
      <c r="G74" s="81" t="str">
        <f>"M620030000-0005-"&amp;eFase&amp;"LQU"</f>
        <v>M620030000-0005-HHLQU</v>
      </c>
      <c r="H74" s="82" t="s">
        <v>38</v>
      </c>
      <c r="I74" s="83" t="str">
        <f>IF(G74="","",G74)</f>
        <v>M620030000-0005-HHLQU</v>
      </c>
      <c r="J74" s="82" t="s">
        <v>38</v>
      </c>
      <c r="K74" s="68"/>
      <c r="L74" s="68"/>
      <c r="M74" s="68">
        <v>0</v>
      </c>
      <c r="N74" s="68">
        <v>50000</v>
      </c>
      <c r="O74" s="68">
        <v>0.45</v>
      </c>
      <c r="P74" s="68">
        <v>0.45</v>
      </c>
    </row>
    <row r="75" spans="2:16">
      <c r="B75" s="84" t="s">
        <v>101</v>
      </c>
      <c r="C75" s="85" t="s">
        <v>39</v>
      </c>
      <c r="D75" s="68" t="s">
        <v>35</v>
      </c>
      <c r="E75" s="68">
        <v>3</v>
      </c>
      <c r="F75" s="68" t="s">
        <v>36</v>
      </c>
      <c r="G75" s="81" t="str">
        <f>"M620030000-0008-"&amp;eFase&amp;"LQU"</f>
        <v>M620030000-0008-HHLQU</v>
      </c>
      <c r="H75" s="82" t="s">
        <v>38</v>
      </c>
      <c r="I75" s="83" t="str">
        <f>IF(G75="","",G75)</f>
        <v>M620030000-0008-HHLQU</v>
      </c>
      <c r="J75" s="82" t="s">
        <v>38</v>
      </c>
      <c r="K75" s="68"/>
      <c r="L75" s="68"/>
      <c r="M75" s="68">
        <v>0</v>
      </c>
      <c r="N75" s="68">
        <v>50000</v>
      </c>
      <c r="O75" s="68">
        <v>0.055</v>
      </c>
      <c r="P75" s="68">
        <v>0.055</v>
      </c>
    </row>
    <row r="76" spans="2:16">
      <c r="B76" s="79" t="s">
        <v>101</v>
      </c>
      <c r="C76" s="80" t="s">
        <v>43</v>
      </c>
      <c r="D76" s="68" t="s">
        <v>35</v>
      </c>
      <c r="E76" s="68">
        <v>2</v>
      </c>
      <c r="F76" s="68" t="s">
        <v>36</v>
      </c>
      <c r="G76" s="81" t="str">
        <f>"M620030000-0006-"&amp;eFase&amp;"LQU"</f>
        <v>M620030000-0006-HHLQU</v>
      </c>
      <c r="H76" s="82" t="s">
        <v>38</v>
      </c>
      <c r="I76" s="83" t="str">
        <f>IF(G76="","",G76)</f>
        <v>M620030000-0006-HHLQU</v>
      </c>
      <c r="J76" s="82" t="s">
        <v>38</v>
      </c>
      <c r="K76" s="68"/>
      <c r="L76" s="68"/>
      <c r="M76" s="68">
        <v>0</v>
      </c>
      <c r="N76" s="68">
        <v>50000</v>
      </c>
      <c r="O76" s="68">
        <v>1.2</v>
      </c>
      <c r="P76" s="68">
        <v>1.2</v>
      </c>
    </row>
    <row r="77" spans="2:16">
      <c r="B77" s="84" t="s">
        <v>101</v>
      </c>
      <c r="C77" s="85" t="s">
        <v>41</v>
      </c>
      <c r="D77" s="68" t="s">
        <v>35</v>
      </c>
      <c r="E77" s="68">
        <v>2</v>
      </c>
      <c r="F77" s="68" t="s">
        <v>36</v>
      </c>
      <c r="G77" s="81" t="str">
        <f>"M620030000-0007-"&amp;eFase&amp;"LQU"</f>
        <v>M620030000-0007-HHLQU</v>
      </c>
      <c r="H77" s="82" t="s">
        <v>38</v>
      </c>
      <c r="I77" s="83" t="str">
        <f>IF(G77="","",G77)</f>
        <v>M620030000-0007-HHLQU</v>
      </c>
      <c r="J77" s="82" t="s">
        <v>38</v>
      </c>
      <c r="K77" s="68"/>
      <c r="L77" s="68"/>
      <c r="M77" s="68">
        <v>0</v>
      </c>
      <c r="N77" s="68">
        <v>50000</v>
      </c>
      <c r="O77" s="68">
        <v>0.1</v>
      </c>
      <c r="P77" s="68">
        <v>0.1</v>
      </c>
    </row>
    <row r="78" spans="2:16">
      <c r="B78" s="79" t="s">
        <v>101</v>
      </c>
      <c r="C78" s="80" t="s">
        <v>45</v>
      </c>
      <c r="D78" s="68" t="s">
        <v>35</v>
      </c>
      <c r="E78" s="68">
        <v>2</v>
      </c>
      <c r="F78" s="68" t="s">
        <v>36</v>
      </c>
      <c r="G78" s="81" t="str">
        <f>"M620030000-0013-"&amp;eFase&amp;"LQU"</f>
        <v>M620030000-0013-HHLQU</v>
      </c>
      <c r="H78" s="82" t="s">
        <v>38</v>
      </c>
      <c r="I78" s="83" t="str">
        <f>IF(G78="","",G78)</f>
        <v>M620030000-0013-HHLQU</v>
      </c>
      <c r="J78" s="82" t="s">
        <v>38</v>
      </c>
      <c r="K78" s="68"/>
      <c r="L78" s="68"/>
      <c r="M78" s="68">
        <v>0</v>
      </c>
      <c r="N78" s="68">
        <v>50000</v>
      </c>
      <c r="O78" s="68">
        <v>0.2</v>
      </c>
      <c r="P78" s="68">
        <v>0.2</v>
      </c>
    </row>
    <row r="79" spans="2:16">
      <c r="B79" s="84" t="s">
        <v>101</v>
      </c>
      <c r="C79" s="85" t="s">
        <v>94</v>
      </c>
      <c r="D79" s="68" t="s">
        <v>35</v>
      </c>
      <c r="E79" s="68">
        <v>2</v>
      </c>
      <c r="F79" s="68" t="s">
        <v>36</v>
      </c>
      <c r="G79" s="81" t="str">
        <f>"M620030000-0001-"&amp;eFase&amp;"CC"</f>
        <v>M620030000-0001-HHCC</v>
      </c>
      <c r="H79" s="82" t="s">
        <v>38</v>
      </c>
      <c r="I79" s="83" t="str">
        <f>IF(G79="","",G79)</f>
        <v>M620030000-0001-HHCC</v>
      </c>
      <c r="J79" s="82" t="s">
        <v>38</v>
      </c>
      <c r="K79" s="68"/>
      <c r="L79" s="68"/>
      <c r="M79" s="68">
        <v>0</v>
      </c>
      <c r="N79" s="68">
        <v>50000</v>
      </c>
      <c r="O79" s="68">
        <v>3</v>
      </c>
      <c r="P79" s="68">
        <v>3</v>
      </c>
    </row>
    <row r="80" spans="2:16">
      <c r="B80" s="79" t="s">
        <v>101</v>
      </c>
      <c r="C80" s="80" t="s">
        <v>102</v>
      </c>
      <c r="D80" s="68" t="s">
        <v>35</v>
      </c>
      <c r="E80" s="68">
        <v>2</v>
      </c>
      <c r="F80" s="68" t="s">
        <v>36</v>
      </c>
      <c r="G80" s="81" t="str">
        <f>"M620030000-0117-"&amp;eFase&amp;"CC"</f>
        <v>M620030000-0117-HHCC</v>
      </c>
      <c r="H80" s="82" t="s">
        <v>38</v>
      </c>
      <c r="I80" s="83" t="str">
        <f>IF(G80="","",G80)</f>
        <v>M620030000-0117-HHCC</v>
      </c>
      <c r="J80" s="82" t="s">
        <v>38</v>
      </c>
      <c r="K80" s="68"/>
      <c r="L80" s="68"/>
      <c r="M80" s="68">
        <v>0</v>
      </c>
      <c r="N80" s="68">
        <v>50000</v>
      </c>
      <c r="O80" s="68">
        <v>2</v>
      </c>
      <c r="P80" s="68">
        <v>2</v>
      </c>
    </row>
    <row r="81" spans="2:16">
      <c r="B81" s="84" t="s">
        <v>101</v>
      </c>
      <c r="C81" s="85" t="s">
        <v>103</v>
      </c>
      <c r="D81" s="68" t="s">
        <v>35</v>
      </c>
      <c r="E81" s="68">
        <v>2</v>
      </c>
      <c r="F81" s="68" t="s">
        <v>36</v>
      </c>
      <c r="G81" s="81" t="str">
        <f>"M620030000-2691-"&amp;eFase&amp;"CC"</f>
        <v>M620030000-2691-HHCC</v>
      </c>
      <c r="H81" s="82" t="s">
        <v>38</v>
      </c>
      <c r="I81" s="83" t="str">
        <f>IF(G81="","",G81)</f>
        <v>M620030000-2691-HHCC</v>
      </c>
      <c r="J81" s="82" t="s">
        <v>38</v>
      </c>
      <c r="K81" s="68"/>
      <c r="L81" s="68"/>
      <c r="M81" s="68">
        <v>0</v>
      </c>
      <c r="N81" s="68">
        <v>50000</v>
      </c>
      <c r="O81" s="68">
        <v>20</v>
      </c>
      <c r="P81" s="68">
        <v>20</v>
      </c>
    </row>
    <row r="82" spans="2:16">
      <c r="B82" s="79" t="s">
        <v>101</v>
      </c>
      <c r="C82" s="80" t="s">
        <v>104</v>
      </c>
      <c r="D82" s="68" t="s">
        <v>35</v>
      </c>
      <c r="E82" s="68">
        <v>2</v>
      </c>
      <c r="F82" s="68" t="s">
        <v>36</v>
      </c>
      <c r="G82" s="81" t="str">
        <f>"M620030000-0437-"&amp;eFase&amp;"CC"</f>
        <v>M620030000-0437-HHCC</v>
      </c>
      <c r="H82" s="82" t="s">
        <v>38</v>
      </c>
      <c r="I82" s="83" t="str">
        <f>IF(G82="","",G82)</f>
        <v>M620030000-0437-HHCC</v>
      </c>
      <c r="J82" s="82" t="s">
        <v>38</v>
      </c>
      <c r="K82" s="68"/>
      <c r="L82" s="68"/>
      <c r="M82" s="68">
        <v>0</v>
      </c>
      <c r="N82" s="68">
        <v>50000</v>
      </c>
      <c r="O82" s="68">
        <v>40</v>
      </c>
      <c r="P82" s="68">
        <v>40</v>
      </c>
    </row>
    <row r="83" spans="2:16">
      <c r="B83" s="84" t="s">
        <v>101</v>
      </c>
      <c r="C83" s="85" t="s">
        <v>105</v>
      </c>
      <c r="D83" s="68" t="s">
        <v>35</v>
      </c>
      <c r="E83" s="68">
        <v>2</v>
      </c>
      <c r="F83" s="68" t="s">
        <v>36</v>
      </c>
      <c r="G83" s="81" t="str">
        <f>"M620030000-0438-"&amp;eFase&amp;"CC"</f>
        <v>M620030000-0438-HHCC</v>
      </c>
      <c r="H83" s="82" t="s">
        <v>38</v>
      </c>
      <c r="I83" s="83" t="str">
        <f>IF(G83="","",G83)</f>
        <v>M620030000-0438-HHCC</v>
      </c>
      <c r="J83" s="82" t="s">
        <v>38</v>
      </c>
      <c r="K83" s="68"/>
      <c r="L83" s="68"/>
      <c r="M83" s="68">
        <v>0</v>
      </c>
      <c r="N83" s="68">
        <v>50000</v>
      </c>
      <c r="O83" s="68">
        <v>15</v>
      </c>
      <c r="P83" s="68">
        <v>15</v>
      </c>
    </row>
    <row r="84" spans="2:16">
      <c r="B84" s="79" t="s">
        <v>101</v>
      </c>
      <c r="C84" s="80" t="s">
        <v>106</v>
      </c>
      <c r="D84" s="68" t="s">
        <v>35</v>
      </c>
      <c r="E84" s="68">
        <v>2</v>
      </c>
      <c r="F84" s="68" t="s">
        <v>36</v>
      </c>
      <c r="G84" s="81" t="str">
        <f>"M620030000-0439-"&amp;eFase&amp;"CC"</f>
        <v>M620030000-0439-HHCC</v>
      </c>
      <c r="H84" s="82" t="s">
        <v>38</v>
      </c>
      <c r="I84" s="83" t="str">
        <f>IF(G84="","",G84)</f>
        <v>M620030000-0439-HHCC</v>
      </c>
      <c r="J84" s="82" t="s">
        <v>38</v>
      </c>
      <c r="K84" s="68"/>
      <c r="L84" s="68"/>
      <c r="M84" s="68">
        <v>0</v>
      </c>
      <c r="N84" s="68">
        <v>50000</v>
      </c>
      <c r="O84" s="68">
        <v>10</v>
      </c>
      <c r="P84" s="68">
        <v>10</v>
      </c>
    </row>
    <row r="85" spans="2:16">
      <c r="B85" s="84" t="s">
        <v>101</v>
      </c>
      <c r="C85" s="85" t="s">
        <v>107</v>
      </c>
      <c r="D85" s="68" t="s">
        <v>35</v>
      </c>
      <c r="E85" s="68">
        <v>2</v>
      </c>
      <c r="F85" s="68" t="s">
        <v>36</v>
      </c>
      <c r="G85" s="81" t="str">
        <f>"M620030000-0440-"&amp;eFase&amp;"CC"</f>
        <v>M620030000-0440-HHCC</v>
      </c>
      <c r="H85" s="82" t="s">
        <v>38</v>
      </c>
      <c r="I85" s="83" t="str">
        <f>IF(G85="","",G85)</f>
        <v>M620030000-0440-HHCC</v>
      </c>
      <c r="J85" s="82" t="s">
        <v>38</v>
      </c>
      <c r="K85" s="68"/>
      <c r="L85" s="68"/>
      <c r="M85" s="68">
        <v>0</v>
      </c>
      <c r="N85" s="68">
        <v>50000</v>
      </c>
      <c r="O85" s="68">
        <v>5</v>
      </c>
      <c r="P85" s="68">
        <v>5</v>
      </c>
    </row>
    <row r="86" spans="2:16">
      <c r="B86" s="79" t="s">
        <v>101</v>
      </c>
      <c r="C86" s="80" t="s">
        <v>108</v>
      </c>
      <c r="D86" s="68" t="s">
        <v>35</v>
      </c>
      <c r="E86" s="68">
        <v>2</v>
      </c>
      <c r="F86" s="68" t="s">
        <v>36</v>
      </c>
      <c r="G86" s="81" t="str">
        <f>"M620030000-2701-"&amp;eFase&amp;"CC"</f>
        <v>M620030000-2701-HHCC</v>
      </c>
      <c r="H86" s="82" t="s">
        <v>38</v>
      </c>
      <c r="I86" s="83" t="str">
        <f>IF(G86="","",G86)</f>
        <v>M620030000-2701-HHCC</v>
      </c>
      <c r="J86" s="82" t="s">
        <v>38</v>
      </c>
      <c r="K86" s="68"/>
      <c r="L86" s="68"/>
      <c r="M86" s="68">
        <v>0</v>
      </c>
      <c r="N86" s="68">
        <v>50000</v>
      </c>
      <c r="O86" s="68">
        <v>4</v>
      </c>
      <c r="P86" s="68">
        <v>4</v>
      </c>
    </row>
    <row r="87" spans="2:16">
      <c r="B87" s="84" t="s">
        <v>101</v>
      </c>
      <c r="C87" s="85" t="s">
        <v>109</v>
      </c>
      <c r="D87" s="68" t="s">
        <v>35</v>
      </c>
      <c r="E87" s="68">
        <v>2</v>
      </c>
      <c r="F87" s="68" t="s">
        <v>36</v>
      </c>
      <c r="G87" s="81" t="str">
        <f>"M620030000-0014-"&amp;eFase&amp;"CC"</f>
        <v>M620030000-0014-HHCC</v>
      </c>
      <c r="H87" s="82" t="s">
        <v>38</v>
      </c>
      <c r="I87" s="83" t="str">
        <f>IF(G87="","",G87)</f>
        <v>M620030000-0014-HHCC</v>
      </c>
      <c r="J87" s="82" t="s">
        <v>38</v>
      </c>
      <c r="K87" s="68"/>
      <c r="L87" s="68"/>
      <c r="M87" s="68">
        <v>0</v>
      </c>
      <c r="N87" s="68">
        <v>50000</v>
      </c>
      <c r="O87" s="68">
        <v>4</v>
      </c>
      <c r="P87" s="68">
        <v>4</v>
      </c>
    </row>
    <row r="89" spans="2:16">
      <c r="C89" s="86" t="s">
        <v>110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87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87">
      <formula1>lstAgreg</formula1>
    </dataValidation>
    <dataValidation type="list" allowBlank="1" showInputMessage="1" showErrorMessage="1" sqref="H18:H87">
      <formula1>lstTipo</formula1>
    </dataValidation>
    <dataValidation type="list" allowBlank="1" showInputMessage="1" showErrorMessage="1" sqref="J18:J87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DM29"/>
  <sheetViews>
    <sheetView showGridLines="0" workbookViewId="0"/>
  </sheetViews>
  <sheetFormatPr defaultRowHeight="15"/>
  <cols>
    <col min="1" max="1" width="18.7109375" style="87" customWidth="1"/>
    <col min="2" max="141" width="14.7109375" customWidth="1"/>
  </cols>
  <sheetData>
    <row r="1" spans="1:25">
      <c r="A1" s="88" t="s">
        <v>173</v>
      </c>
    </row>
    <row r="3" spans="1:25">
      <c r="A3" s="89" t="s">
        <v>174</v>
      </c>
      <c r="B3" s="90"/>
      <c r="D3" s="89" t="s">
        <v>176</v>
      </c>
    </row>
    <row r="4" spans="1:25">
      <c r="A4" s="89" t="s">
        <v>175</v>
      </c>
      <c r="B4" s="90"/>
      <c r="D4" s="89" t="s">
        <v>177</v>
      </c>
    </row>
    <row r="6" spans="1:25">
      <c r="A6" s="91" t="s">
        <v>178</v>
      </c>
    </row>
    <row r="7" spans="1:25">
      <c r="A7" s="92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93" t="s">
        <v>179</v>
      </c>
      <c r="B8" s="94" t="s">
        <v>180</v>
      </c>
      <c r="C8" s="94" t="s">
        <v>181</v>
      </c>
      <c r="D8" s="94" t="s">
        <v>182</v>
      </c>
      <c r="E8" s="94" t="s">
        <v>183</v>
      </c>
      <c r="F8" s="94" t="s">
        <v>184</v>
      </c>
      <c r="G8" s="94" t="s">
        <v>185</v>
      </c>
      <c r="H8" s="94" t="s">
        <v>186</v>
      </c>
      <c r="I8" s="94" t="s">
        <v>187</v>
      </c>
      <c r="J8" s="94" t="s">
        <v>188</v>
      </c>
      <c r="K8" s="94" t="s">
        <v>189</v>
      </c>
      <c r="L8" s="94" t="s">
        <v>190</v>
      </c>
      <c r="M8" s="94" t="s">
        <v>191</v>
      </c>
      <c r="N8" s="94" t="s">
        <v>192</v>
      </c>
      <c r="O8" s="94" t="s">
        <v>193</v>
      </c>
      <c r="P8" s="94" t="s">
        <v>194</v>
      </c>
      <c r="Q8" s="94" t="s">
        <v>195</v>
      </c>
      <c r="R8" s="94" t="s">
        <v>196</v>
      </c>
      <c r="S8" s="94" t="s">
        <v>197</v>
      </c>
      <c r="T8" s="94" t="s">
        <v>198</v>
      </c>
      <c r="U8" s="94" t="s">
        <v>199</v>
      </c>
      <c r="V8" s="94" t="s">
        <v>200</v>
      </c>
      <c r="W8" s="94" t="s">
        <v>201</v>
      </c>
      <c r="X8" s="94" t="s">
        <v>202</v>
      </c>
      <c r="Y8" s="94" t="s">
        <v>203</v>
      </c>
    </row>
    <row r="9" spans="1:25">
      <c r="A9" s="95">
        <f t="array" ref="A9:Y14">_xll.AspenTech.PME.ProcessData.Functions.ShowCalculationValues(ADDRESS(ROW(Dados_MES!A7),COLUMN(Dados_MES!A7),1,,"Dados_MES"),Dados_MES!A7, 0)</f>
        <v>0</v>
      </c>
      <c r="B9" s="95">
        <v>0</v>
      </c>
      <c r="C9" s="95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</row>
    <row r="10" spans="1:25">
      <c r="A10" s="95">
        <v>0</v>
      </c>
      <c r="B10" s="95">
        <v>0</v>
      </c>
      <c r="C10" s="95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</row>
    <row r="11" spans="1:25">
      <c r="A11" s="95">
        <v>0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</row>
    <row r="12" spans="1:25">
      <c r="A12" s="95">
        <v>0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</row>
    <row r="13" spans="1:25">
      <c r="A13" s="95">
        <v>0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</row>
    <row r="14" spans="1:25">
      <c r="A14" s="95">
        <v>0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</row>
    <row r="21" spans="1:117">
      <c r="A21" s="91" t="s">
        <v>204</v>
      </c>
    </row>
    <row r="22" spans="1:117">
      <c r="A22" s="92" t="str">
        <f>_xll.AspenTech.PME.ProcessData.Functions.GetCalculationValues("time,attribute","M620010000-0002-HHLQU,M620010000-0002-HHLQU,M620010000-0004-HHLQU,M620010000-0004-HHLQU,M620010000-0005-HHLQU,M620010000-0005-HHLQU,M620010000-0006-HHLQU,M620010000-0006-HHLQU,M620010000-0007-HHLQU,M620010000-0007-HHLQU,M620010000-0008-HHLQU,M6200100"&amp;"00-0008-HHLQU,M620010000-0115-HHLQU,M620010000-0115-HHLQU,M620010000-0018-HHLQU,M620010000-0018-HHLQU,M620010000-0013-HHLQU,M620010000-0013-HHLQU,M620010000-0020-HHLFU,M620010000-0020-HHLFU,M620010000-0021-HHLFU,M620010000-0021-HHLFU,M620010000-0496-"&amp;"HHLFU,M620010000-0496-HHLFU,M620010000-0022-HHLFU,M620010000-0022-HHLFU,M620010000-0023-HHLFU,M620010000-0023-HHLFU,M620010000-0024-HHLFU,M620010000-0024-HHLFU,M620010000-0025-HHLFU,M620010000-0025-HHLFU,M620010000-0544-HHLFU,M620010000-0544-HHLFU,M6"&amp;"20010000-0086-HHLFU,M620010000-0086-HHLFU,M620010000-0087-HHLFU,M620010000-0087-HHLFU,M620010000-2612-HHLFU,M620010000-2612-HHLFU,M620010000-2615-HHLFU,M620010000-2615-HHLFU,M620010000-0031-HHLFU,M620010000-0031-HHLFU,M620010000-0032-HHLFU,M620010000"&amp;"-0032-HHLFU,M620010000-0033-HHLFU,M620010000-0033-HHLFU,M620010000-0257-HHLFU,M620010000-0257-HHLFU,M620010000-2822-HHLFU,M620010000-2822-HHLFU,M620010000-0035-HHLFU,M620010000-0035-HHLFU,M620010000-2954-HHLFU,M620010000-2954-HHLFU,M620010000-2947-HH"&amp;"LFU,M620010000-2947-HHLFU,M620010000-2948-HHLFU,M620010000-2948-HHLFU,M620010000-2949-HHLFU,M620010000-2949-HHLFU,M620020000-0004-HHLQU,M620020000-0004-HHLQU,M620020000-0005-HHLQU,M620020000-0005-HHLQU,M620020000-0008-HHLQU,M620020000-0008-HHLQU,M620"&amp;"020000-0006-HHLQU,M620020000-0006-HHLQU,M620020000-0007-HHLQU,M620020000-0007-HHLQU,M620020000-0001-HHCC,M620020000-0001-HHCC,M620020000-0017-HHCC,M620020000-0017-HHCC,M620020000-2674-HHCC,M620020000-2674-HHCC,M620020000-2634-HHCC,M620020000-2634-HHC"&amp;"C,M620020000-2636-HHCC,M620020000-2636-HHCC,M620020000-0016-HHCC,M620020000-0016-HHCC,M620030000-0002-HHLQU,M620030000-0002-HHLQU,M620030000-0004-HHLQU,M620030000-0004-HHLQU,M620030000-0005-HHLQU,M620030000-0005-HHLQU,M620030000-0008-HHLQU,M620030000"&amp;"-0008-HHLQU,M620030000-0006-HHLQU,M620030000-0006-HHLQU,M620030000-0007-HHLQU,M620030000-0007-HHLQU,M620030000-0013-HHLQU,M620030000-0013-HHLQU,M620030000-0001-HHCC,M620030000-0001-HHCC,M620030000-0117-HHCC,M620030000-0117-HHCC,M620030000-2691-HHCC,M"&amp;"620030000-2691-HHCC,M620030000-0437-HHCC,M620030000-0437-HHCC,M620030000-0438-HHCC,M620030000-0438-HHCC,M620030000-0439-HHCC,M620030000-0439-HHCC,M620030000-0440-HHCC,M620030000-0440-HHCC,M620030000-2701-HHCC,M620030000-2701-HHCC,M620030000-0014-HHCC"&amp;",M620030000-0014-HHCC","UBU,UBU,UBU,UBU,UBU,UBU,UBU,UBU,UBU,UBU,UBU,UBU,UBU,UBU,UBU,UBU,UBU,UBU,UBU,UBU,UBU,UBU,UBU,UBU,UBU,UBU,UBU,UBU,UBU,UBU,UBU,UBU,UBU,UBU,UBU,UBU,UBU,UBU,UBU,UBU,UBU,UBU,UBU,UBU,UBU,UBU,UBU,UBU,UBU,UBU,UBU,UBU,UBU,UBU,UBU,UBU,UBU,UBU,UBU,UBU,UBU,UBU,UB"&amp;"U,UBU,UBU,UBU,UBU,UBU,UBU,UBU,UBU,UBU,UBU,UBU,UBU,UBU,UBU,UBU,UBU,UBU,UBU,UBU,UBU,UBU,UBU,UBU,UBU,UBU,UBU,UBU,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,IP_MESVALOR,IP_MESVALOR,IP_MESVALOR,IP_MESVALOR,IP_MESVALOR,IP_MESVALOR,IP_MESVALOR,IP_MESVALOR,IP_MESVALOR,IP_MESVALOR,IP_MESVALOR,IP_MESVALOR,IP_M"&amp;"ESVALOR,IP_MESVALOR,IP_MESVALOR,IP_MESVALOR,IP_MESVALOR,IP_MESVALOR,IP_MESVALOR,IP_MESVALOR,IP_MESVALOR,IP_MESVALOR,IP_MESVALOR,IP_MESVALOR,IP_MESVALOR,IP_MESVALOR,IP_MESVALOR,IP_MESVALOR,IP_MESVALOR,IP_MESVALOR,IP_MESVALOR,IP_MESVALOR,IP_MESVALOR,IP"&amp;"_MESVALOR,IP_MESVALOR,IP_MESVALOR,IP_MESVALOR,IP_MESVALOR,IP_MESVALOR,IP_MESVALOR,IP_MESVALOR,IP_MESVALOR,IP_MESVALOR,IP_MESVALOR,IP_MESVALOR",Dados_MES!$B$3,Dados_MES!$B$4,"2h",0,"",0,"1",0,1560,0,0,1,1,ADDRESS(ROW(Dados_MES!A22),COLUMN(Dados_MES!A22),1,,"Dados_MES"),"Dados_MES!A24",1)</f>
        <v>Success</v>
      </c>
    </row>
    <row r="23" spans="1:117" ht="45" customHeight="1">
      <c r="A23" s="93" t="s">
        <v>179</v>
      </c>
      <c r="B23" s="94" t="s">
        <v>205</v>
      </c>
      <c r="C23" s="94" t="s">
        <v>206</v>
      </c>
      <c r="D23" s="94" t="s">
        <v>207</v>
      </c>
      <c r="E23" s="94" t="s">
        <v>208</v>
      </c>
      <c r="F23" s="94" t="s">
        <v>209</v>
      </c>
      <c r="G23" s="94" t="s">
        <v>210</v>
      </c>
      <c r="H23" s="94" t="s">
        <v>211</v>
      </c>
      <c r="I23" s="94" t="s">
        <v>212</v>
      </c>
      <c r="J23" s="94" t="s">
        <v>213</v>
      </c>
      <c r="K23" s="94" t="s">
        <v>214</v>
      </c>
      <c r="L23" s="94" t="s">
        <v>215</v>
      </c>
      <c r="M23" s="94" t="s">
        <v>216</v>
      </c>
      <c r="N23" s="94" t="s">
        <v>217</v>
      </c>
      <c r="O23" s="94" t="s">
        <v>218</v>
      </c>
      <c r="P23" s="94" t="s">
        <v>219</v>
      </c>
      <c r="Q23" s="94" t="s">
        <v>220</v>
      </c>
      <c r="R23" s="94" t="s">
        <v>221</v>
      </c>
      <c r="S23" s="94" t="s">
        <v>222</v>
      </c>
      <c r="T23" s="94" t="s">
        <v>223</v>
      </c>
      <c r="U23" s="94" t="s">
        <v>224</v>
      </c>
      <c r="V23" s="94" t="s">
        <v>225</v>
      </c>
      <c r="W23" s="94" t="s">
        <v>226</v>
      </c>
      <c r="X23" s="94" t="s">
        <v>227</v>
      </c>
      <c r="Y23" s="94" t="s">
        <v>228</v>
      </c>
      <c r="Z23" s="94" t="s">
        <v>229</v>
      </c>
      <c r="AA23" s="94" t="s">
        <v>230</v>
      </c>
      <c r="AB23" s="94" t="s">
        <v>231</v>
      </c>
      <c r="AC23" s="94" t="s">
        <v>232</v>
      </c>
      <c r="AD23" s="94" t="s">
        <v>233</v>
      </c>
      <c r="AE23" s="94" t="s">
        <v>234</v>
      </c>
      <c r="AF23" s="94" t="s">
        <v>235</v>
      </c>
      <c r="AG23" s="94" t="s">
        <v>236</v>
      </c>
      <c r="AH23" s="94" t="s">
        <v>237</v>
      </c>
      <c r="AI23" s="94" t="s">
        <v>238</v>
      </c>
      <c r="AJ23" s="94" t="s">
        <v>239</v>
      </c>
      <c r="AK23" s="94" t="s">
        <v>240</v>
      </c>
      <c r="AL23" s="94" t="s">
        <v>241</v>
      </c>
      <c r="AM23" s="94" t="s">
        <v>242</v>
      </c>
      <c r="AN23" s="94" t="s">
        <v>243</v>
      </c>
      <c r="AO23" s="94" t="s">
        <v>244</v>
      </c>
      <c r="AP23" s="94" t="s">
        <v>245</v>
      </c>
      <c r="AQ23" s="94" t="s">
        <v>246</v>
      </c>
      <c r="AR23" s="94" t="s">
        <v>247</v>
      </c>
      <c r="AS23" s="94" t="s">
        <v>248</v>
      </c>
      <c r="AT23" s="94" t="s">
        <v>249</v>
      </c>
      <c r="AU23" s="94" t="s">
        <v>250</v>
      </c>
      <c r="AV23" s="94" t="s">
        <v>251</v>
      </c>
      <c r="AW23" s="94" t="s">
        <v>252</v>
      </c>
      <c r="AX23" s="94" t="s">
        <v>253</v>
      </c>
      <c r="AY23" s="94" t="s">
        <v>254</v>
      </c>
      <c r="AZ23" s="94" t="s">
        <v>255</v>
      </c>
      <c r="BA23" s="94" t="s">
        <v>256</v>
      </c>
      <c r="BB23" s="94" t="s">
        <v>257</v>
      </c>
      <c r="BC23" s="94" t="s">
        <v>258</v>
      </c>
      <c r="BD23" s="94" t="s">
        <v>259</v>
      </c>
      <c r="BE23" s="94" t="s">
        <v>260</v>
      </c>
      <c r="BF23" s="94" t="s">
        <v>261</v>
      </c>
      <c r="BG23" s="94" t="s">
        <v>262</v>
      </c>
      <c r="BH23" s="94" t="s">
        <v>263</v>
      </c>
      <c r="BI23" s="94" t="s">
        <v>264</v>
      </c>
      <c r="BJ23" s="94" t="s">
        <v>265</v>
      </c>
      <c r="BK23" s="94" t="s">
        <v>266</v>
      </c>
      <c r="BL23" s="94" t="s">
        <v>267</v>
      </c>
      <c r="BM23" s="94" t="s">
        <v>268</v>
      </c>
      <c r="BN23" s="94" t="s">
        <v>269</v>
      </c>
      <c r="BO23" s="94" t="s">
        <v>270</v>
      </c>
      <c r="BP23" s="94" t="s">
        <v>271</v>
      </c>
      <c r="BQ23" s="94" t="s">
        <v>272</v>
      </c>
      <c r="BR23" s="94" t="s">
        <v>273</v>
      </c>
      <c r="BS23" s="94" t="s">
        <v>274</v>
      </c>
      <c r="BT23" s="94" t="s">
        <v>275</v>
      </c>
      <c r="BU23" s="94" t="s">
        <v>276</v>
      </c>
      <c r="BV23" s="94" t="s">
        <v>277</v>
      </c>
      <c r="BW23" s="94" t="s">
        <v>278</v>
      </c>
      <c r="BX23" s="94" t="s">
        <v>279</v>
      </c>
      <c r="BY23" s="94" t="s">
        <v>280</v>
      </c>
      <c r="BZ23" s="94" t="s">
        <v>281</v>
      </c>
      <c r="CA23" s="94" t="s">
        <v>282</v>
      </c>
      <c r="CB23" s="94" t="s">
        <v>283</v>
      </c>
      <c r="CC23" s="94" t="s">
        <v>284</v>
      </c>
      <c r="CD23" s="94" t="s">
        <v>285</v>
      </c>
      <c r="CE23" s="94" t="s">
        <v>286</v>
      </c>
      <c r="CF23" s="94" t="s">
        <v>287</v>
      </c>
      <c r="CG23" s="94" t="s">
        <v>288</v>
      </c>
      <c r="CH23" s="94" t="s">
        <v>289</v>
      </c>
      <c r="CI23" s="94" t="s">
        <v>290</v>
      </c>
      <c r="CJ23" s="94" t="s">
        <v>291</v>
      </c>
      <c r="CK23" s="94" t="s">
        <v>292</v>
      </c>
      <c r="CL23" s="94" t="s">
        <v>293</v>
      </c>
      <c r="CM23" s="94" t="s">
        <v>294</v>
      </c>
      <c r="CN23" s="94" t="s">
        <v>295</v>
      </c>
      <c r="CO23" s="94" t="s">
        <v>296</v>
      </c>
      <c r="CP23" s="94" t="s">
        <v>297</v>
      </c>
      <c r="CQ23" s="94" t="s">
        <v>298</v>
      </c>
      <c r="CR23" s="94" t="s">
        <v>299</v>
      </c>
      <c r="CS23" s="94" t="s">
        <v>300</v>
      </c>
      <c r="CT23" s="94" t="s">
        <v>301</v>
      </c>
      <c r="CU23" s="94" t="s">
        <v>302</v>
      </c>
      <c r="CV23" s="94" t="s">
        <v>303</v>
      </c>
      <c r="CW23" s="94" t="s">
        <v>304</v>
      </c>
      <c r="CX23" s="94" t="s">
        <v>305</v>
      </c>
      <c r="CY23" s="94" t="s">
        <v>306</v>
      </c>
      <c r="CZ23" s="94" t="s">
        <v>307</v>
      </c>
      <c r="DA23" s="94" t="s">
        <v>308</v>
      </c>
      <c r="DB23" s="94" t="s">
        <v>309</v>
      </c>
      <c r="DC23" s="94" t="s">
        <v>310</v>
      </c>
      <c r="DD23" s="94" t="s">
        <v>311</v>
      </c>
      <c r="DE23" s="94" t="s">
        <v>312</v>
      </c>
      <c r="DF23" s="94" t="s">
        <v>313</v>
      </c>
      <c r="DG23" s="94" t="s">
        <v>314</v>
      </c>
      <c r="DH23" s="94" t="s">
        <v>315</v>
      </c>
      <c r="DI23" s="94" t="s">
        <v>316</v>
      </c>
      <c r="DJ23" s="94" t="s">
        <v>317</v>
      </c>
      <c r="DK23" s="94" t="s">
        <v>318</v>
      </c>
      <c r="DL23" s="94" t="s">
        <v>319</v>
      </c>
      <c r="DM23" s="94" t="s">
        <v>320</v>
      </c>
    </row>
    <row r="24" spans="1:117">
      <c r="A24" s="95">
        <f t="array" ref="A24:DM29">_xll.AspenTech.PME.ProcessData.Functions.ShowCalculationValues(ADDRESS(ROW(Dados_MES!A22),COLUMN(Dados_MES!A22),1,,"Dados_MES"),Dados_MES!A22, 0)</f>
        <v>0</v>
      </c>
      <c r="B24" s="95">
        <v>0</v>
      </c>
      <c r="C24" s="95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5">
        <v>0</v>
      </c>
      <c r="K24" s="95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5">
        <v>0</v>
      </c>
      <c r="AI24" s="95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5">
        <v>0</v>
      </c>
      <c r="AQ24" s="95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5">
        <v>0</v>
      </c>
      <c r="AY24" s="95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5">
        <v>0</v>
      </c>
      <c r="BG24" s="95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5">
        <v>0</v>
      </c>
      <c r="BO24" s="95">
        <v>0</v>
      </c>
      <c r="BP24" s="95">
        <v>0</v>
      </c>
      <c r="BQ24" s="95">
        <v>0</v>
      </c>
      <c r="BR24" s="95">
        <v>0</v>
      </c>
      <c r="BS24" s="95">
        <v>0</v>
      </c>
      <c r="BT24" s="95">
        <v>0</v>
      </c>
      <c r="BU24" s="95">
        <v>0</v>
      </c>
      <c r="BV24" s="95">
        <v>0</v>
      </c>
      <c r="BW24" s="95">
        <v>0</v>
      </c>
      <c r="BX24" s="95">
        <v>0</v>
      </c>
      <c r="BY24" s="95">
        <v>0</v>
      </c>
      <c r="BZ24" s="95">
        <v>0</v>
      </c>
      <c r="CA24" s="95">
        <v>0</v>
      </c>
      <c r="CB24" s="95">
        <v>0</v>
      </c>
      <c r="CC24" s="95">
        <v>0</v>
      </c>
      <c r="CD24" s="95">
        <v>0</v>
      </c>
      <c r="CE24" s="95">
        <v>0</v>
      </c>
      <c r="CF24" s="95">
        <v>0</v>
      </c>
      <c r="CG24" s="95">
        <v>0</v>
      </c>
      <c r="CH24" s="95">
        <v>0</v>
      </c>
      <c r="CI24" s="95">
        <v>0</v>
      </c>
      <c r="CJ24" s="95">
        <v>0</v>
      </c>
      <c r="CK24" s="95">
        <v>0</v>
      </c>
      <c r="CL24" s="95">
        <v>0</v>
      </c>
      <c r="CM24" s="95">
        <v>0</v>
      </c>
      <c r="CN24" s="95">
        <v>0</v>
      </c>
      <c r="CO24" s="95">
        <v>0</v>
      </c>
      <c r="CP24" s="95">
        <v>0</v>
      </c>
      <c r="CQ24" s="95">
        <v>0</v>
      </c>
      <c r="CR24" s="95">
        <v>0</v>
      </c>
      <c r="CS24" s="95">
        <v>0</v>
      </c>
      <c r="CT24" s="95">
        <v>0</v>
      </c>
      <c r="CU24" s="95">
        <v>0</v>
      </c>
      <c r="CV24" s="95">
        <v>0</v>
      </c>
      <c r="CW24" s="95">
        <v>0</v>
      </c>
      <c r="CX24" s="95">
        <v>0</v>
      </c>
      <c r="CY24" s="95">
        <v>0</v>
      </c>
      <c r="CZ24" s="95">
        <v>0</v>
      </c>
      <c r="DA24" s="95">
        <v>0</v>
      </c>
      <c r="DB24" s="95">
        <v>0</v>
      </c>
      <c r="DC24" s="95">
        <v>0</v>
      </c>
      <c r="DD24" s="95">
        <v>0</v>
      </c>
      <c r="DE24" s="95">
        <v>0</v>
      </c>
      <c r="DF24" s="95">
        <v>0</v>
      </c>
      <c r="DG24" s="95">
        <v>0</v>
      </c>
      <c r="DH24" s="95">
        <v>0</v>
      </c>
      <c r="DI24" s="95">
        <v>0</v>
      </c>
      <c r="DJ24" s="95">
        <v>0</v>
      </c>
      <c r="DK24" s="95">
        <v>0</v>
      </c>
      <c r="DL24" s="95">
        <v>0</v>
      </c>
      <c r="DM24" s="95">
        <v>0</v>
      </c>
    </row>
    <row r="25" spans="1:117">
      <c r="A25" s="95">
        <v>0</v>
      </c>
      <c r="B25" s="95">
        <v>0</v>
      </c>
      <c r="C25" s="95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5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5">
        <v>0</v>
      </c>
      <c r="S25" s="95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5">
        <v>0</v>
      </c>
      <c r="AA25" s="95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5">
        <v>0</v>
      </c>
      <c r="AI25" s="95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5">
        <v>0</v>
      </c>
      <c r="AQ25" s="95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5">
        <v>0</v>
      </c>
      <c r="AY25" s="95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5">
        <v>0</v>
      </c>
      <c r="BG25" s="95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5">
        <v>0</v>
      </c>
      <c r="BO25" s="95">
        <v>0</v>
      </c>
      <c r="BP25" s="95">
        <v>0</v>
      </c>
      <c r="BQ25" s="95">
        <v>0</v>
      </c>
      <c r="BR25" s="95">
        <v>0</v>
      </c>
      <c r="BS25" s="95">
        <v>0</v>
      </c>
      <c r="BT25" s="95">
        <v>0</v>
      </c>
      <c r="BU25" s="95">
        <v>0</v>
      </c>
      <c r="BV25" s="95">
        <v>0</v>
      </c>
      <c r="BW25" s="95">
        <v>0</v>
      </c>
      <c r="BX25" s="95">
        <v>0</v>
      </c>
      <c r="BY25" s="95">
        <v>0</v>
      </c>
      <c r="BZ25" s="95">
        <v>0</v>
      </c>
      <c r="CA25" s="95">
        <v>0</v>
      </c>
      <c r="CB25" s="95">
        <v>0</v>
      </c>
      <c r="CC25" s="95">
        <v>0</v>
      </c>
      <c r="CD25" s="95">
        <v>0</v>
      </c>
      <c r="CE25" s="95">
        <v>0</v>
      </c>
      <c r="CF25" s="95">
        <v>0</v>
      </c>
      <c r="CG25" s="95">
        <v>0</v>
      </c>
      <c r="CH25" s="95">
        <v>0</v>
      </c>
      <c r="CI25" s="95">
        <v>0</v>
      </c>
      <c r="CJ25" s="95">
        <v>0</v>
      </c>
      <c r="CK25" s="95">
        <v>0</v>
      </c>
      <c r="CL25" s="95">
        <v>0</v>
      </c>
      <c r="CM25" s="95">
        <v>0</v>
      </c>
      <c r="CN25" s="95">
        <v>0</v>
      </c>
      <c r="CO25" s="95">
        <v>0</v>
      </c>
      <c r="CP25" s="95">
        <v>0</v>
      </c>
      <c r="CQ25" s="95">
        <v>0</v>
      </c>
      <c r="CR25" s="95">
        <v>0</v>
      </c>
      <c r="CS25" s="95">
        <v>0</v>
      </c>
      <c r="CT25" s="95">
        <v>0</v>
      </c>
      <c r="CU25" s="95">
        <v>0</v>
      </c>
      <c r="CV25" s="95">
        <v>0</v>
      </c>
      <c r="CW25" s="95">
        <v>0</v>
      </c>
      <c r="CX25" s="95">
        <v>0</v>
      </c>
      <c r="CY25" s="95">
        <v>0</v>
      </c>
      <c r="CZ25" s="95">
        <v>0</v>
      </c>
      <c r="DA25" s="95">
        <v>0</v>
      </c>
      <c r="DB25" s="95">
        <v>0</v>
      </c>
      <c r="DC25" s="95">
        <v>0</v>
      </c>
      <c r="DD25" s="95">
        <v>0</v>
      </c>
      <c r="DE25" s="95">
        <v>0</v>
      </c>
      <c r="DF25" s="95">
        <v>0</v>
      </c>
      <c r="DG25" s="95">
        <v>0</v>
      </c>
      <c r="DH25" s="95">
        <v>0</v>
      </c>
      <c r="DI25" s="95">
        <v>0</v>
      </c>
      <c r="DJ25" s="95">
        <v>0</v>
      </c>
      <c r="DK25" s="95">
        <v>0</v>
      </c>
      <c r="DL25" s="95">
        <v>0</v>
      </c>
      <c r="DM25" s="95">
        <v>0</v>
      </c>
    </row>
    <row r="26" spans="1:117">
      <c r="A26" s="95">
        <v>0</v>
      </c>
      <c r="B26" s="95">
        <v>0</v>
      </c>
      <c r="C26" s="95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5">
        <v>0</v>
      </c>
      <c r="K26" s="95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5">
        <v>0</v>
      </c>
      <c r="S26" s="95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5">
        <v>0</v>
      </c>
      <c r="AA26" s="95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5">
        <v>0</v>
      </c>
      <c r="AI26" s="95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5">
        <v>0</v>
      </c>
      <c r="AQ26" s="95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5">
        <v>0</v>
      </c>
      <c r="AY26" s="95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5">
        <v>0</v>
      </c>
      <c r="BG26" s="95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5">
        <v>0</v>
      </c>
      <c r="BO26" s="95">
        <v>0</v>
      </c>
      <c r="BP26" s="95">
        <v>0</v>
      </c>
      <c r="BQ26" s="95">
        <v>0</v>
      </c>
      <c r="BR26" s="95">
        <v>0</v>
      </c>
      <c r="BS26" s="95">
        <v>0</v>
      </c>
      <c r="BT26" s="95">
        <v>0</v>
      </c>
      <c r="BU26" s="95">
        <v>0</v>
      </c>
      <c r="BV26" s="95">
        <v>0</v>
      </c>
      <c r="BW26" s="95">
        <v>0</v>
      </c>
      <c r="BX26" s="95">
        <v>0</v>
      </c>
      <c r="BY26" s="95">
        <v>0</v>
      </c>
      <c r="BZ26" s="95">
        <v>0</v>
      </c>
      <c r="CA26" s="95">
        <v>0</v>
      </c>
      <c r="CB26" s="95">
        <v>0</v>
      </c>
      <c r="CC26" s="95">
        <v>0</v>
      </c>
      <c r="CD26" s="95">
        <v>0</v>
      </c>
      <c r="CE26" s="95">
        <v>0</v>
      </c>
      <c r="CF26" s="95">
        <v>0</v>
      </c>
      <c r="CG26" s="95">
        <v>0</v>
      </c>
      <c r="CH26" s="95">
        <v>0</v>
      </c>
      <c r="CI26" s="95">
        <v>0</v>
      </c>
      <c r="CJ26" s="95">
        <v>0</v>
      </c>
      <c r="CK26" s="95">
        <v>0</v>
      </c>
      <c r="CL26" s="95">
        <v>0</v>
      </c>
      <c r="CM26" s="95">
        <v>0</v>
      </c>
      <c r="CN26" s="95">
        <v>0</v>
      </c>
      <c r="CO26" s="95">
        <v>0</v>
      </c>
      <c r="CP26" s="95">
        <v>0</v>
      </c>
      <c r="CQ26" s="95">
        <v>0</v>
      </c>
      <c r="CR26" s="95">
        <v>0</v>
      </c>
      <c r="CS26" s="95">
        <v>0</v>
      </c>
      <c r="CT26" s="95">
        <v>0</v>
      </c>
      <c r="CU26" s="95">
        <v>0</v>
      </c>
      <c r="CV26" s="95">
        <v>0</v>
      </c>
      <c r="CW26" s="95">
        <v>0</v>
      </c>
      <c r="CX26" s="95">
        <v>0</v>
      </c>
      <c r="CY26" s="95">
        <v>0</v>
      </c>
      <c r="CZ26" s="95">
        <v>0</v>
      </c>
      <c r="DA26" s="95">
        <v>0</v>
      </c>
      <c r="DB26" s="95">
        <v>0</v>
      </c>
      <c r="DC26" s="95">
        <v>0</v>
      </c>
      <c r="DD26" s="95">
        <v>0</v>
      </c>
      <c r="DE26" s="95">
        <v>0</v>
      </c>
      <c r="DF26" s="95">
        <v>0</v>
      </c>
      <c r="DG26" s="95">
        <v>0</v>
      </c>
      <c r="DH26" s="95">
        <v>0</v>
      </c>
      <c r="DI26" s="95">
        <v>0</v>
      </c>
      <c r="DJ26" s="95">
        <v>0</v>
      </c>
      <c r="DK26" s="95">
        <v>0</v>
      </c>
      <c r="DL26" s="95">
        <v>0</v>
      </c>
      <c r="DM26" s="95">
        <v>0</v>
      </c>
    </row>
    <row r="27" spans="1:117">
      <c r="A27" s="95">
        <v>0</v>
      </c>
      <c r="B27" s="95">
        <v>0</v>
      </c>
      <c r="C27" s="95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5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5">
        <v>0</v>
      </c>
      <c r="S27" s="95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5">
        <v>0</v>
      </c>
      <c r="AA27" s="95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5">
        <v>0</v>
      </c>
      <c r="AI27" s="95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5">
        <v>0</v>
      </c>
      <c r="AQ27" s="95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5">
        <v>0</v>
      </c>
      <c r="AY27" s="95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5">
        <v>0</v>
      </c>
      <c r="BG27" s="95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5">
        <v>0</v>
      </c>
      <c r="BO27" s="95">
        <v>0</v>
      </c>
      <c r="BP27" s="95">
        <v>0</v>
      </c>
      <c r="BQ27" s="95">
        <v>0</v>
      </c>
      <c r="BR27" s="95">
        <v>0</v>
      </c>
      <c r="BS27" s="95">
        <v>0</v>
      </c>
      <c r="BT27" s="95">
        <v>0</v>
      </c>
      <c r="BU27" s="95">
        <v>0</v>
      </c>
      <c r="BV27" s="95">
        <v>0</v>
      </c>
      <c r="BW27" s="95">
        <v>0</v>
      </c>
      <c r="BX27" s="95">
        <v>0</v>
      </c>
      <c r="BY27" s="95">
        <v>0</v>
      </c>
      <c r="BZ27" s="95">
        <v>0</v>
      </c>
      <c r="CA27" s="95">
        <v>0</v>
      </c>
      <c r="CB27" s="95">
        <v>0</v>
      </c>
      <c r="CC27" s="95">
        <v>0</v>
      </c>
      <c r="CD27" s="95">
        <v>0</v>
      </c>
      <c r="CE27" s="95">
        <v>0</v>
      </c>
      <c r="CF27" s="95">
        <v>0</v>
      </c>
      <c r="CG27" s="95">
        <v>0</v>
      </c>
      <c r="CH27" s="95">
        <v>0</v>
      </c>
      <c r="CI27" s="95">
        <v>0</v>
      </c>
      <c r="CJ27" s="95">
        <v>0</v>
      </c>
      <c r="CK27" s="95">
        <v>0</v>
      </c>
      <c r="CL27" s="95">
        <v>0</v>
      </c>
      <c r="CM27" s="95">
        <v>0</v>
      </c>
      <c r="CN27" s="95">
        <v>0</v>
      </c>
      <c r="CO27" s="95">
        <v>0</v>
      </c>
      <c r="CP27" s="95">
        <v>0</v>
      </c>
      <c r="CQ27" s="95">
        <v>0</v>
      </c>
      <c r="CR27" s="95">
        <v>0</v>
      </c>
      <c r="CS27" s="95">
        <v>0</v>
      </c>
      <c r="CT27" s="95">
        <v>0</v>
      </c>
      <c r="CU27" s="95">
        <v>0</v>
      </c>
      <c r="CV27" s="95">
        <v>0</v>
      </c>
      <c r="CW27" s="95">
        <v>0</v>
      </c>
      <c r="CX27" s="95">
        <v>0</v>
      </c>
      <c r="CY27" s="95">
        <v>0</v>
      </c>
      <c r="CZ27" s="95">
        <v>0</v>
      </c>
      <c r="DA27" s="95">
        <v>0</v>
      </c>
      <c r="DB27" s="95">
        <v>0</v>
      </c>
      <c r="DC27" s="95">
        <v>0</v>
      </c>
      <c r="DD27" s="95">
        <v>0</v>
      </c>
      <c r="DE27" s="95">
        <v>0</v>
      </c>
      <c r="DF27" s="95">
        <v>0</v>
      </c>
      <c r="DG27" s="95">
        <v>0</v>
      </c>
      <c r="DH27" s="95">
        <v>0</v>
      </c>
      <c r="DI27" s="95">
        <v>0</v>
      </c>
      <c r="DJ27" s="95">
        <v>0</v>
      </c>
      <c r="DK27" s="95">
        <v>0</v>
      </c>
      <c r="DL27" s="95">
        <v>0</v>
      </c>
      <c r="DM27" s="95">
        <v>0</v>
      </c>
    </row>
    <row r="28" spans="1:117">
      <c r="A28" s="95">
        <v>0</v>
      </c>
      <c r="B28" s="95">
        <v>0</v>
      </c>
      <c r="C28" s="95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5">
        <v>0</v>
      </c>
      <c r="K28" s="95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5">
        <v>0</v>
      </c>
      <c r="S28" s="95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5">
        <v>0</v>
      </c>
      <c r="AA28" s="95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5">
        <v>0</v>
      </c>
      <c r="AI28" s="95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5">
        <v>0</v>
      </c>
      <c r="AQ28" s="95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5">
        <v>0</v>
      </c>
      <c r="AY28" s="95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5">
        <v>0</v>
      </c>
      <c r="BG28" s="95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5">
        <v>0</v>
      </c>
      <c r="BO28" s="95">
        <v>0</v>
      </c>
      <c r="BP28" s="95">
        <v>0</v>
      </c>
      <c r="BQ28" s="95">
        <v>0</v>
      </c>
      <c r="BR28" s="95">
        <v>0</v>
      </c>
      <c r="BS28" s="95">
        <v>0</v>
      </c>
      <c r="BT28" s="95">
        <v>0</v>
      </c>
      <c r="BU28" s="95">
        <v>0</v>
      </c>
      <c r="BV28" s="95">
        <v>0</v>
      </c>
      <c r="BW28" s="95">
        <v>0</v>
      </c>
      <c r="BX28" s="95">
        <v>0</v>
      </c>
      <c r="BY28" s="95">
        <v>0</v>
      </c>
      <c r="BZ28" s="95">
        <v>0</v>
      </c>
      <c r="CA28" s="95">
        <v>0</v>
      </c>
      <c r="CB28" s="95">
        <v>0</v>
      </c>
      <c r="CC28" s="95">
        <v>0</v>
      </c>
      <c r="CD28" s="95">
        <v>0</v>
      </c>
      <c r="CE28" s="95">
        <v>0</v>
      </c>
      <c r="CF28" s="95">
        <v>0</v>
      </c>
      <c r="CG28" s="95">
        <v>0</v>
      </c>
      <c r="CH28" s="95">
        <v>0</v>
      </c>
      <c r="CI28" s="95">
        <v>0</v>
      </c>
      <c r="CJ28" s="95">
        <v>0</v>
      </c>
      <c r="CK28" s="95">
        <v>0</v>
      </c>
      <c r="CL28" s="95">
        <v>0</v>
      </c>
      <c r="CM28" s="95">
        <v>0</v>
      </c>
      <c r="CN28" s="95">
        <v>0</v>
      </c>
      <c r="CO28" s="95">
        <v>0</v>
      </c>
      <c r="CP28" s="95">
        <v>0</v>
      </c>
      <c r="CQ28" s="95">
        <v>0</v>
      </c>
      <c r="CR28" s="95">
        <v>0</v>
      </c>
      <c r="CS28" s="95">
        <v>0</v>
      </c>
      <c r="CT28" s="95">
        <v>0</v>
      </c>
      <c r="CU28" s="95">
        <v>0</v>
      </c>
      <c r="CV28" s="95">
        <v>0</v>
      </c>
      <c r="CW28" s="95">
        <v>0</v>
      </c>
      <c r="CX28" s="95">
        <v>0</v>
      </c>
      <c r="CY28" s="95">
        <v>0</v>
      </c>
      <c r="CZ28" s="95">
        <v>0</v>
      </c>
      <c r="DA28" s="95">
        <v>0</v>
      </c>
      <c r="DB28" s="95">
        <v>0</v>
      </c>
      <c r="DC28" s="95">
        <v>0</v>
      </c>
      <c r="DD28" s="95">
        <v>0</v>
      </c>
      <c r="DE28" s="95">
        <v>0</v>
      </c>
      <c r="DF28" s="95">
        <v>0</v>
      </c>
      <c r="DG28" s="95">
        <v>0</v>
      </c>
      <c r="DH28" s="95">
        <v>0</v>
      </c>
      <c r="DI28" s="95">
        <v>0</v>
      </c>
      <c r="DJ28" s="95">
        <v>0</v>
      </c>
      <c r="DK28" s="95">
        <v>0</v>
      </c>
      <c r="DL28" s="95">
        <v>0</v>
      </c>
      <c r="DM28" s="95">
        <v>0</v>
      </c>
    </row>
    <row r="29" spans="1:117">
      <c r="A29" s="95">
        <v>0</v>
      </c>
      <c r="B29" s="95">
        <v>0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5">
        <v>0</v>
      </c>
      <c r="S29" s="95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5">
        <v>0</v>
      </c>
      <c r="AA29" s="95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5">
        <v>0</v>
      </c>
      <c r="AI29" s="95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5">
        <v>0</v>
      </c>
      <c r="AQ29" s="95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5">
        <v>0</v>
      </c>
      <c r="AY29" s="95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5">
        <v>0</v>
      </c>
      <c r="BG29" s="95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5">
        <v>0</v>
      </c>
      <c r="BO29" s="95">
        <v>0</v>
      </c>
      <c r="BP29" s="95">
        <v>0</v>
      </c>
      <c r="BQ29" s="95">
        <v>0</v>
      </c>
      <c r="BR29" s="95">
        <v>0</v>
      </c>
      <c r="BS29" s="95">
        <v>0</v>
      </c>
      <c r="BT29" s="95">
        <v>0</v>
      </c>
      <c r="BU29" s="95">
        <v>0</v>
      </c>
      <c r="BV29" s="95">
        <v>0</v>
      </c>
      <c r="BW29" s="95">
        <v>0</v>
      </c>
      <c r="BX29" s="95">
        <v>0</v>
      </c>
      <c r="BY29" s="95">
        <v>0</v>
      </c>
      <c r="BZ29" s="95">
        <v>0</v>
      </c>
      <c r="CA29" s="95">
        <v>0</v>
      </c>
      <c r="CB29" s="95">
        <v>0</v>
      </c>
      <c r="CC29" s="95">
        <v>0</v>
      </c>
      <c r="CD29" s="95">
        <v>0</v>
      </c>
      <c r="CE29" s="95">
        <v>0</v>
      </c>
      <c r="CF29" s="95">
        <v>0</v>
      </c>
      <c r="CG29" s="95">
        <v>0</v>
      </c>
      <c r="CH29" s="95">
        <v>0</v>
      </c>
      <c r="CI29" s="95">
        <v>0</v>
      </c>
      <c r="CJ29" s="95">
        <v>0</v>
      </c>
      <c r="CK29" s="95">
        <v>0</v>
      </c>
      <c r="CL29" s="95">
        <v>0</v>
      </c>
      <c r="CM29" s="95">
        <v>0</v>
      </c>
      <c r="CN29" s="95">
        <v>0</v>
      </c>
      <c r="CO29" s="95">
        <v>0</v>
      </c>
      <c r="CP29" s="95">
        <v>0</v>
      </c>
      <c r="CQ29" s="95">
        <v>0</v>
      </c>
      <c r="CR29" s="95">
        <v>0</v>
      </c>
      <c r="CS29" s="95">
        <v>0</v>
      </c>
      <c r="CT29" s="95">
        <v>0</v>
      </c>
      <c r="CU29" s="95">
        <v>0</v>
      </c>
      <c r="CV29" s="95">
        <v>0</v>
      </c>
      <c r="CW29" s="95">
        <v>0</v>
      </c>
      <c r="CX29" s="95">
        <v>0</v>
      </c>
      <c r="CY29" s="95">
        <v>0</v>
      </c>
      <c r="CZ29" s="95">
        <v>0</v>
      </c>
      <c r="DA29" s="95">
        <v>0</v>
      </c>
      <c r="DB29" s="95">
        <v>0</v>
      </c>
      <c r="DC29" s="95">
        <v>0</v>
      </c>
      <c r="DD29" s="95">
        <v>0</v>
      </c>
      <c r="DE29" s="95">
        <v>0</v>
      </c>
      <c r="DF29" s="95">
        <v>0</v>
      </c>
      <c r="DG29" s="95">
        <v>0</v>
      </c>
      <c r="DH29" s="95">
        <v>0</v>
      </c>
      <c r="DI29" s="95">
        <v>0</v>
      </c>
      <c r="DJ29" s="95">
        <v>0</v>
      </c>
      <c r="DK29" s="95">
        <v>0</v>
      </c>
      <c r="DL29" s="95">
        <v>0</v>
      </c>
      <c r="DM29" s="95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K1:Q3"/>
  <sheetViews>
    <sheetView showGridLines="0" workbookViewId="0"/>
  </sheetViews>
  <sheetFormatPr defaultRowHeight="15"/>
  <sheetData>
    <row r="1" spans="11:17">
      <c r="K1" t="s">
        <v>487</v>
      </c>
      <c r="L1" t="s">
        <v>488</v>
      </c>
      <c r="M1" t="s">
        <v>489</v>
      </c>
      <c r="N1" t="s">
        <v>490</v>
      </c>
      <c r="O1" t="s">
        <v>491</v>
      </c>
      <c r="P1" t="s">
        <v>492</v>
      </c>
      <c r="Q1" t="s">
        <v>493</v>
      </c>
    </row>
    <row r="2" spans="11:17">
      <c r="K2" t="s">
        <v>494</v>
      </c>
      <c r="L2" t="s">
        <v>495</v>
      </c>
      <c r="M2" t="s">
        <v>496</v>
      </c>
      <c r="N2" t="s">
        <v>497</v>
      </c>
      <c r="O2" t="s">
        <v>498</v>
      </c>
      <c r="P2" t="s">
        <v>499</v>
      </c>
      <c r="Q2">
        <v>25</v>
      </c>
    </row>
    <row r="3" spans="11:17">
      <c r="K3" t="s">
        <v>500</v>
      </c>
      <c r="L3" t="s">
        <v>501</v>
      </c>
      <c r="M3" t="s">
        <v>496</v>
      </c>
      <c r="N3" t="s">
        <v>502</v>
      </c>
      <c r="O3" t="s">
        <v>503</v>
      </c>
      <c r="P3" t="s">
        <v>504</v>
      </c>
      <c r="Q3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96</vt:i4>
      </vt:variant>
    </vt:vector>
  </HeadingPairs>
  <TitlesOfParts>
    <vt:vector size="104" baseType="lpstr">
      <vt:lpstr>Preenchimento</vt:lpstr>
      <vt:lpstr>Resumo Dia</vt:lpstr>
      <vt:lpstr>Resumo Noite</vt:lpstr>
      <vt:lpstr>Resultados gerais</vt:lpstr>
      <vt:lpstr>Embarque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eArea</vt:lpstr>
      <vt:lpstr>eAtualizado</vt:lpstr>
      <vt:lpstr>eFase</vt:lpstr>
      <vt:lpstr>eFim</vt:lpstr>
      <vt:lpstr>eHoras</vt:lpstr>
      <vt:lpstr>eIni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pData</vt:lpstr>
      <vt:lpstr>Configurações!Print_Area</vt:lpstr>
      <vt:lpstr>Embarque!Print_Area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2026-10-01T13:51:29Z</dcterms:created>
  <dcterms:modified xsi:type="dcterms:W3CDTF">2026-10-01T13:51:29Z</dcterms:modified>
</cp:coreProperties>
</file>