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Relatório Dia" sheetId="2" r:id="rId2"/>
    <sheet name="Relatório Noite" sheetId="3" r:id="rId3"/>
    <sheet name="Ocorrência" sheetId="4" r:id="rId4"/>
    <sheet name="Informativo" sheetId="5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'Informativo'!$B$2:$V$47</definedName>
    <definedName name="iAtualizado">'Informativo'!$N$7</definedName>
    <definedName name="iData">'Informativo'!$B$7</definedName>
    <definedName name="iFonte">'Informativo'!$Q$7</definedName>
    <definedName name="iHoras">'Informativo'!$E$12:$P$12</definedName>
    <definedName name="iPeriodo">'Informativo'!$C$10</definedName>
    <definedName name="iResp">'Informativo'!$J$7</definedName>
    <definedName name="iSelFim">'Informativo'!$I$9</definedName>
    <definedName name="iSelIni">'Informativo'!$E$9</definedName>
    <definedName name="iTurma">'Informativo'!$H$7</definedName>
    <definedName name="iTurno">'Informativo'!$C$7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ocAr">'Ocorrência'!$E$47</definedName>
    <definedName name="ocAReal">'Ocorrência'!$C$35:$C$42</definedName>
    <definedName name="ocArStatus">'Ocorrência'!$H$47</definedName>
    <definedName name="ocAus">'Ocorrência'!$E$51</definedName>
    <definedName name="ocAusQuem">'Ocorrência'!$H$51</definedName>
    <definedName name="ocCadinhos">'Ocorrência'!$E$57</definedName>
    <definedName name="ocCompressor">'Ocorrência'!$E$48</definedName>
    <definedName name="ocCoque04">'Ocorrência'!$E$62</definedName>
    <definedName name="ocEquip">'Ocorrência'!$C$29:$C$32</definedName>
    <definedName name="ocH2Carvao">'Ocorrência'!$E$61</definedName>
    <definedName name="ocH2Coque">'Ocorrência'!$I$61</definedName>
    <definedName name="ocHE">'Ocorrência'!$E$53</definedName>
    <definedName name="ocHEQuem">'Ocorrência'!$H$53</definedName>
    <definedName name="ocNitrogenio">'Ocorrência'!$H$48</definedName>
    <definedName name="ocObs">'Ocorrência'!$E$63</definedName>
    <definedName name="ocPadroes">'Ocorrência'!$E$46</definedName>
    <definedName name="ocPadroesQuais">'Ocorrência'!$H$46</definedName>
    <definedName name="ocProg">'Ocorrência'!$E$45</definedName>
    <definedName name="ocReal">'Ocorrência'!$C$9:$C$20</definedName>
    <definedName name="ocRecebe">'Ocorrência'!$E$54</definedName>
    <definedName name="ocReforma">'Ocorrência'!$E$58</definedName>
    <definedName name="ocSol">'Ocorrência'!$C$23:$C$26</definedName>
    <definedName name="ocTroca">'Ocorrência'!$E$52</definedName>
    <definedName name="ocTrocaQuem">'Ocorrência'!$H$52</definedName>
    <definedName name="pData">'Painel'!$B$8</definedName>
    <definedName name="pResp">'Painel'!$K$8</definedName>
    <definedName name="_xlnm.Print_Area" localSheetId="5">Configurações!$B$2:$P$40</definedName>
    <definedName name="_xlnm.Print_Area" localSheetId="4">Informativo!$B$2:$V$47</definedName>
    <definedName name="_xlnm.Print_Area" localSheetId="3">Ocorrência!$B$2:$K$65</definedName>
    <definedName name="_xlnm.Print_Area" localSheetId="1">'Relatório Dia'!$B$2:$M$54</definedName>
    <definedName name="_xlnm.Print_Area" localSheetId="2">'Relatório Noite'!$B$2:$M$54</definedName>
    <definedName name="pTurma">'Painel'!$I$8</definedName>
    <definedName name="pTurno">'Painel'!$E$8</definedName>
    <definedName name="rlDArea">'Relatório Dia'!$B$2:$M$54</definedName>
    <definedName name="rlDAReal">'Relatório Dia'!$C$12</definedName>
    <definedName name="rlDCad">'Relatório Dia'!$C$15</definedName>
    <definedName name="rlDEquip">'Relatório Dia'!$C$11</definedName>
    <definedName name="rlDFinal">'Relatório Dia'!$R$2</definedName>
    <definedName name="rlDGerado">'Relatório Dia'!$Q$2</definedName>
    <definedName name="rlDHoras">'Relatório Dia'!$E$19:$J$19</definedName>
    <definedName name="rlDInfo">'Relatório Dia'!$B$6</definedName>
    <definedName name="rlDLab">'Relatório Dia'!$C$13</definedName>
    <definedName name="rlDMES">'Relatório Dia'!$S$2</definedName>
    <definedName name="rlDObs">'Relatório Dia'!$C$16</definedName>
    <definedName name="rlDPessoal">'Relatório Dia'!$C$14</definedName>
    <definedName name="rlDReal">'Relatório Dia'!$C$9</definedName>
    <definedName name="rlDSol">'Relatório Dia'!$C$10</definedName>
    <definedName name="rlNArea">'Relatório Noite'!$B$2:$M$54</definedName>
    <definedName name="rlNAReal">'Relatório Noite'!$C$12</definedName>
    <definedName name="rlNCad">'Relatório Noite'!$C$15</definedName>
    <definedName name="rlNEquip">'Relatório Noite'!$C$11</definedName>
    <definedName name="rlNFinal">'Relatório Noite'!$R$2</definedName>
    <definedName name="rlNGerado">'Relatório Noite'!$Q$2</definedName>
    <definedName name="rlNHoras">'Relatório Noite'!$E$19:$J$19</definedName>
    <definedName name="rlNInfo">'Relatório Noite'!$B$6</definedName>
    <definedName name="rlNLab">'Relatório Noite'!$C$13</definedName>
    <definedName name="rlNMES">'Relatório Noite'!$S$2</definedName>
    <definedName name="rlNObs">'Relatório Noite'!$C$16</definedName>
    <definedName name="rlNPessoal">'Relatório Noite'!$C$14</definedName>
    <definedName name="rlNReal">'Relatório Noite'!$C$9</definedName>
    <definedName name="rlNSol">'Relatório Noite'!$C$10</definedName>
  </definedNames>
  <calcPr calcId="124519" fullCalcOnLoad="1"/>
</workbook>
</file>

<file path=xl/sharedStrings.xml><?xml version="1.0" encoding="utf-8"?>
<sst xmlns="http://schemas.openxmlformats.org/spreadsheetml/2006/main" count="1406" uniqueCount="303">
  <si>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</si>
  <si>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</si>
  <si>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</si>
  <si>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</si>
  <si>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</si>
  <si>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</si>
  <si>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</si>
  <si>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</si>
  <si>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</si>
  <si>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</si>
  <si>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</si>
  <si>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</si>
  <si>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</si>
  <si>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</si>
  <si>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</si>
  <si>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</si>
  <si>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Análise SEM TAG = fica fora da consulta ao MES e oculta no relatório. Preencha a tag (ex.: M710050020-00xx-HHLQU) quando confirmada no MES. Pellet Feed: amostra única, a tag US4 repete a US3. LIE/LSE = especificação (vazio = sem avaliação).</t>
  </si>
  <si>
    <t>Tags do MES e limites - Análises químicas US3 e US4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</si>
  <si>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</si>
  <si>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</si>
  <si>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</si>
  <si>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</si>
  <si>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</si>
  <si>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</si>
  <si>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</si>
  <si>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</si>
  <si>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</si>
  <si>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</si>
  <si>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</si>
  <si>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</si>
  <si>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</si>
  <si>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</si>
  <si>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</si>
  <si>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</si>
  <si>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</si>
  <si>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</si>
  <si>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</si>
  <si>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</si>
  <si>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</si>
  <si>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</si>
  <si>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</si>
  <si>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</si>
  <si>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</si>
  <si>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</si>
  <si>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</si>
  <si>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</si>
  <si>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</si>
  <si>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</si>
  <si>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</si>
  <si>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</si>
  <si>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</si>
  <si>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</si>
  <si>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</si>
  <si>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</si>
  <si>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</si>
  <si>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</si>
  <si>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</si>
  <si>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</si>
  <si>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</si>
  <si>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</si>
  <si>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</si>
  <si>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</si>
  <si>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</si>
  <si>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</si>
  <si>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</si>
  <si>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</si>
  <si>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Tags em laranja: análise ainda sem tag no MES (confirmar com a TI / MES).</t>
  </si>
  <si>
    <t>LISTAS (usadas nas caixas de seleção)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</si>
  <si>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</si>
  <si>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</si>
  <si>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</si>
  <si>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</si>
  <si>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</si>
  <si>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</si>
  <si>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</si>
  <si>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</si>
  <si>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</si>
  <si>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</si>
  <si>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</si>
  <si>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</si>
  <si>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</si>
  <si>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</si>
  <si>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</si>
  <si>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</si>
  <si>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</si>
  <si>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</si>
  <si>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</si>
  <si>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</si>
  <si>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</si>
  <si>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</si>
  <si>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</si>
  <si>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</si>
  <si>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</si>
  <si>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</si>
  <si>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</si>
  <si>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</si>
  <si>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</si>
  <si>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</si>
  <si>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</si>
  <si>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</si>
  <si>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</si>
  <si>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</si>
  <si>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</si>
  <si>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</si>
  <si>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</si>
  <si>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</si>
  <si>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</si>
  <si>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</si>
  <si>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</si>
  <si>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</si>
  <si>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</si>
  <si>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</si>
  <si>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</si>
  <si>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</si>
  <si>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</si>
  <si>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</si>
  <si>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</si>
  <si>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</si>
  <si>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</si>
  <si>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Informativo de Qualidade - Usinas 3 e 4</t>
  </si>
  <si>
    <t>Resultados do MES de 2 em 2 horas  ·  Laboratório Químico</t>
  </si>
  <si>
    <t>Data</t>
  </si>
  <si>
    <t>Turno / período</t>
  </si>
  <si>
    <t>Turma</t>
  </si>
  <si>
    <t>Responsável</t>
  </si>
  <si>
    <t>Atualizado em</t>
  </si>
  <si>
    <t>Período para consultar (até 24 h):</t>
  </si>
  <si>
    <t>Ex.: 28/09/2026 07:00  →  29/09/2026 07:00. Depois clique em Atualizar dados do MES.</t>
  </si>
  <si>
    <t>Período consultado:</t>
  </si>
  <si>
    <t>Parâmetro</t>
  </si>
  <si>
    <t>Unid.</t>
  </si>
  <si>
    <t>Usina</t>
  </si>
  <si>
    <t>—</t>
  </si>
  <si>
    <t>Resultado do período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</si>
  <si>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</si>
  <si>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</si>
  <si>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</si>
  <si>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</si>
  <si>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</si>
  <si>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</si>
  <si>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</si>
  <si>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</si>
  <si>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</si>
  <si>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</si>
  <si>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</si>
  <si>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</si>
  <si>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</si>
  <si>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</si>
  <si>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</si>
  <si>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</si>
  <si>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</si>
  <si>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</si>
  <si>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</si>
  <si>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</si>
  <si>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</si>
  <si>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</si>
  <si>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</si>
  <si>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</si>
  <si>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</si>
  <si>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</si>
  <si>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</si>
  <si>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</si>
  <si>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</si>
  <si>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</si>
  <si>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</si>
  <si>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</si>
  <si>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</si>
  <si>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</si>
  <si>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</si>
  <si>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</si>
  <si>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</si>
  <si>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</si>
  <si>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</si>
  <si>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Resultado do período: média das janelas de 2 h. Valores em laranja: fora da especificação (LIE/LSE). Valores fora da faixa válida são descartados. Análises sem tag no MES ficam ocultas.</t>
  </si>
  <si>
    <t>Ocorrência do Turno - Laboratório Químico</t>
  </si>
  <si>
    <t>Preencha os campos amarelos  ·  o relatório do turno é montado a partir daqui</t>
  </si>
  <si>
    <t>1. Tarefas realizadas</t>
  </si>
  <si>
    <t>uma tarefa por linha</t>
  </si>
  <si>
    <t>2. Solicitações</t>
  </si>
  <si>
    <t>nº da solicitação, amostra, pendência</t>
  </si>
  <si>
    <t>3. Equipamentos</t>
  </si>
  <si>
    <t>falhas, vazamentos, manutenção</t>
  </si>
  <si>
    <t>4. Tarefas a realizar (próximo turno)</t>
  </si>
  <si>
    <t>5. Controle do laboratório</t>
  </si>
  <si>
    <t>Programas / equipamentos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</si>
  <si>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</si>
  <si>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</si>
  <si>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</si>
  <si>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</si>
  <si>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Condição do compressor</t>
  </si>
  <si>
    <t>6. Pessoal (ausências, trocas e hora extra)</t>
  </si>
  <si>
    <t>Houve ausência no turno?</t>
  </si>
  <si>
    <t>Quem</t>
  </si>
  <si>
    <t>Houve troca combinada?</t>
  </si>
  <si>
    <t>Houve hora extra?</t>
  </si>
  <si>
    <t>Letra que recebe o turno</t>
  </si>
  <si>
    <t>7. Cadinhos de platina</t>
  </si>
  <si>
    <t>Repassados para o turno</t>
  </si>
  <si>
    <t>Retirados para reforma</t>
  </si>
  <si>
    <t>8. Observações gerais</t>
  </si>
  <si>
    <t>Hidrogênio no carvão</t>
  </si>
  <si>
    <t>Hidrogênio no coque</t>
  </si>
  <si>
    <t>Coque Planta 04</t>
  </si>
  <si>
    <t>Observações</t>
  </si>
  <si>
    <t>Dica: uma tarefa por linha. Para textos longos, a linha quebra sozinha no relatório.
Os campos Sim/Não, sistema de ar e letras têm lista de seleção.</t>
  </si>
  <si>
    <t>Gerado em</t>
  </si>
  <si>
    <t>Finalizado em</t>
  </si>
  <si>
    <t>Resultados do MES em</t>
  </si>
  <si>
    <t>Relatório de Turno - Laboratório Químico</t>
  </si>
  <si>
    <t>Usinas 3 e 4  ·  Turno Dia  ·  07h às 19h</t>
  </si>
  <si>
    <t>Relatório ainda não gerado  ·  use o botão 3 do Painel (Relatório do turno)</t>
  </si>
  <si>
    <t>Ocorrências do turno</t>
  </si>
  <si>
    <t>Tarefas realizadas</t>
  </si>
  <si>
    <t>Solicitações</t>
  </si>
  <si>
    <t>Equipamentos</t>
  </si>
  <si>
    <t>Tarefas a realizar</t>
  </si>
  <si>
    <t>Controle do laboratório</t>
  </si>
  <si>
    <t>Pessoal</t>
  </si>
  <si>
    <t>Cadinhos de platina</t>
  </si>
  <si>
    <t>Informativo de qualidade do turno  ·  resultados do MES de 2 em 2 horas</t>
  </si>
  <si>
    <t>Amostra / análise</t>
  </si>
  <si>
    <t>Un.</t>
  </si>
  <si>
    <t>07h-09h</t>
  </si>
  <si>
    <t>09h-11h</t>
  </si>
  <si>
    <t>11h-13h</t>
  </si>
  <si>
    <t>13h-15h</t>
  </si>
  <si>
    <t>15h-17h</t>
  </si>
  <si>
    <t>17h-19h</t>
  </si>
  <si>
    <t>Média do turno</t>
  </si>
  <si>
    <t>Média do turno = média das janelas de 2 h. Valores em laranja: fora da especificação. MD03 = Pellet Feed do Mineroduto 03 (amostra única para US3 e US4).</t>
  </si>
  <si>
    <t>Este relatório guarda uma "foto" do turno Dia. Ele é refeito ao atualizar o MES, pelo botão 3 do Painel e antes de copiar, enquanto o turno não for finalizado.
Para print: Windows + Shift + S.</t>
  </si>
  <si>
    <t>Usinas 3 e 4  ·  Turno Noite  ·  19h às 07h</t>
  </si>
  <si>
    <t>19h-21h</t>
  </si>
  <si>
    <t>21h-23h</t>
  </si>
  <si>
    <t>23h-01h</t>
  </si>
  <si>
    <t>01h-03h</t>
  </si>
  <si>
    <t>03h-05h</t>
  </si>
  <si>
    <t>05h-07h</t>
  </si>
  <si>
    <t>Este relatório guarda uma "foto" do turno Noite. Ele é refeito ao atualizar o MES, pelo botão 3 do Painel e antes de copiar, enquanto o turno não for finalizado.
Para print: Windows + Shift + S.</t>
  </si>
  <si>
    <t>Usinas 3 e 4  ·  Ocorrências e resultados químicos do MES</t>
  </si>
  <si>
    <t>Turno selecionado</t>
  </si>
  <si>
    <t>Data do turno</t>
  </si>
  <si>
    <t>Turno</t>
  </si>
  <si>
    <t>Letra</t>
  </si>
  <si>
    <t>Técnico</t>
  </si>
  <si>
    <t>Dia: 07h às 19h   ·   Noite: 19h às 07h do dia seguinte   ·   Letras A, B, C e D</t>
  </si>
  <si>
    <t>Ações do turno</t>
  </si>
  <si>
    <t>Situação do turno</t>
  </si>
  <si>
    <t>Informativo carregado (MES)</t>
  </si>
  <si>
    <t>Itens lançados na ocorrência</t>
  </si>
  <si>
    <t>Relatório Dia</t>
  </si>
  <si>
    <t>Relatório Noite</t>
  </si>
  <si>
    <t>Indicadores do Informativo carregado</t>
  </si>
  <si>
    <t>SiO2 - Pellet Feed (%)</t>
  </si>
  <si>
    <t>SiO2 - Mistura/Pelota (%)</t>
  </si>
  <si>
    <t>B2 - Mistura/Pelota (-)</t>
  </si>
  <si>
    <t>Carbono Fixo (%)</t>
  </si>
  <si>
    <t>Mais opções</t>
  </si>
  <si>
    <t>Campo da ocorrência</t>
  </si>
  <si>
    <t>Tipo</t>
  </si>
  <si>
    <t>Padrão</t>
  </si>
  <si>
    <t>ocReal</t>
  </si>
  <si>
    <t>lista</t>
  </si>
  <si>
    <t/>
  </si>
  <si>
    <t>ocSol</t>
  </si>
  <si>
    <t>ocEquip</t>
  </si>
  <si>
    <t>ocAReal</t>
  </si>
  <si>
    <t>ocProg</t>
  </si>
  <si>
    <t>campo</t>
  </si>
  <si>
    <t>ocPadroes</t>
  </si>
  <si>
    <t>ocPadroesQuais</t>
  </si>
  <si>
    <t>ocAr</t>
  </si>
  <si>
    <t>ocArStatus</t>
  </si>
  <si>
    <t>ocCompressor</t>
  </si>
  <si>
    <t>ocNitrogenio</t>
  </si>
  <si>
    <t>ocAus</t>
  </si>
  <si>
    <t>ocAusQuem</t>
  </si>
  <si>
    <t>ocTroca</t>
  </si>
  <si>
    <t>ocTrocaQuem</t>
  </si>
  <si>
    <t>ocHE</t>
  </si>
  <si>
    <t>ocHEQuem</t>
  </si>
  <si>
    <t>ocRecebe</t>
  </si>
  <si>
    <t>ocCadinhos</t>
  </si>
  <si>
    <t>ocReforma</t>
  </si>
  <si>
    <t>ocH2Carvao</t>
  </si>
  <si>
    <t>ocH2Coque</t>
  </si>
  <si>
    <t>ocCoque04</t>
  </si>
  <si>
    <t>ocObs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</si>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</sst>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dd/mm/yyyy hh:mm"/>
    <numFmt numFmtId="167" formatCode="0.000"/>
    <numFmt numFmtId="168" formatCode="0.0"/>
    <numFmt numFmtId="169" formatCode="hh:mm"/>
    <numFmt numFmtId="170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8"/>
      <color rgb="FFFFFFFF"/>
      <name val="Segoe UI"/>
      <family val="2"/>
    </font>
    <font>
      <sz val="6"/>
      <color rgb="FFFFFFFF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7.5"/>
      <color rgb="FF5B6B77"/>
      <name val="Segoe UI"/>
      <family val="2"/>
    </font>
    <font>
      <i/>
      <sz val="8"/>
      <color rgb="FF5B6B77"/>
      <name val="Segoe UI"/>
      <family val="2"/>
    </font>
    <font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65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166" fontId="1" fillId="0" borderId="0" xfId="0" applyNumberFormat="1" applyFont="1" applyAlignment="1">
      <alignment vertical="center"/>
    </xf>
    <xf numFmtId="0" fontId="11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vertical="top" indent="1" wrapText="1"/>
    </xf>
    <xf numFmtId="0" fontId="12" fillId="0" borderId="2" xfId="0" applyFont="1" applyBorder="1" applyAlignment="1">
      <alignment vertical="top" indent="1" wrapText="1"/>
    </xf>
    <xf numFmtId="0" fontId="5" fillId="0" borderId="0" xfId="0" applyFont="1" applyAlignment="1">
      <alignment vertical="top" indent="1" wrapText="1"/>
    </xf>
    <xf numFmtId="0" fontId="13" fillId="2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2" fillId="7" borderId="2" xfId="0" applyFont="1" applyFill="1" applyBorder="1" applyAlignment="1">
      <alignment horizontal="left" vertical="center" indent="1"/>
    </xf>
    <xf numFmtId="0" fontId="5" fillId="7" borderId="2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7" fillId="8" borderId="2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left" vertical="center" indent="1"/>
    </xf>
    <xf numFmtId="0" fontId="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7" fontId="12" fillId="9" borderId="2" xfId="0" applyNumberFormat="1" applyFont="1" applyFill="1" applyBorder="1" applyAlignment="1">
      <alignment horizontal="center" vertical="center"/>
    </xf>
    <xf numFmtId="167" fontId="7" fillId="8" borderId="2" xfId="0" applyNumberFormat="1" applyFont="1" applyFill="1" applyBorder="1" applyAlignment="1">
      <alignment horizontal="center" vertical="center"/>
    </xf>
    <xf numFmtId="167" fontId="16" fillId="9" borderId="2" xfId="0" applyNumberFormat="1" applyFont="1" applyFill="1" applyBorder="1" applyAlignment="1">
      <alignment horizontal="center" vertical="center"/>
    </xf>
    <xf numFmtId="167" fontId="12" fillId="7" borderId="2" xfId="0" applyNumberFormat="1" applyFont="1" applyFill="1" applyBorder="1" applyAlignment="1">
      <alignment horizontal="center" vertical="center"/>
    </xf>
    <xf numFmtId="167" fontId="16" fillId="7" borderId="2" xfId="0" applyNumberFormat="1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168" fontId="12" fillId="7" borderId="2" xfId="0" applyNumberFormat="1" applyFont="1" applyFill="1" applyBorder="1" applyAlignment="1">
      <alignment horizontal="center" vertical="center"/>
    </xf>
    <xf numFmtId="168" fontId="7" fillId="8" borderId="2" xfId="0" applyNumberFormat="1" applyFont="1" applyFill="1" applyBorder="1" applyAlignment="1">
      <alignment horizontal="center" vertical="center"/>
    </xf>
    <xf numFmtId="168" fontId="16" fillId="7" borderId="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/>
    </xf>
    <xf numFmtId="0" fontId="19" fillId="0" borderId="1" xfId="0" applyFont="1" applyBorder="1" applyAlignment="1">
      <alignment horizontal="right"/>
    </xf>
    <xf numFmtId="0" fontId="5" fillId="5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 applyProtection="1">
      <alignment horizontal="left" vertical="center" indent="1"/>
      <protection locked="0"/>
    </xf>
    <xf numFmtId="0" fontId="7" fillId="5" borderId="2" xfId="0" applyFont="1" applyFill="1" applyBorder="1" applyAlignment="1">
      <alignment horizontal="left" vertical="center" indent="1" wrapText="1"/>
    </xf>
    <xf numFmtId="0" fontId="12" fillId="4" borderId="2" xfId="0" applyFont="1" applyFill="1" applyBorder="1" applyAlignment="1" applyProtection="1">
      <alignment horizontal="left" vertical="center" indent="1" wrapText="1"/>
      <protection locked="0"/>
    </xf>
    <xf numFmtId="0" fontId="1" fillId="4" borderId="2" xfId="0" applyFont="1" applyFill="1" applyBorder="1" applyAlignment="1" applyProtection="1">
      <alignment vertical="top" indent="1" wrapText="1"/>
      <protection locked="0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166" fontId="4" fillId="5" borderId="2" xfId="0" applyNumberFormat="1" applyFont="1" applyFill="1" applyBorder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20" fillId="0" borderId="0" xfId="0" applyFont="1" applyAlignment="1">
      <alignment horizontal="right" vertical="center"/>
    </xf>
    <xf numFmtId="166" fontId="4" fillId="4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 wrapText="1"/>
    </xf>
    <xf numFmtId="0" fontId="20" fillId="0" borderId="0" xfId="0" applyFont="1" applyAlignment="1">
      <alignment vertical="center"/>
    </xf>
    <xf numFmtId="0" fontId="21" fillId="2" borderId="7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left" vertical="center" indent="1" wrapText="1"/>
    </xf>
    <xf numFmtId="165" fontId="12" fillId="7" borderId="2" xfId="0" applyNumberFormat="1" applyFont="1" applyFill="1" applyBorder="1" applyAlignment="1" applyProtection="1">
      <alignment horizontal="center" vertical="center"/>
      <protection locked="0"/>
    </xf>
    <xf numFmtId="165" fontId="11" fillId="8" borderId="2" xfId="0" applyNumberFormat="1" applyFont="1" applyFill="1" applyBorder="1" applyAlignment="1">
      <alignment horizontal="center" vertical="center"/>
    </xf>
    <xf numFmtId="165" fontId="22" fillId="7" borderId="2" xfId="0" applyNumberFormat="1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left" vertical="center" indent="1" wrapText="1"/>
    </xf>
    <xf numFmtId="165" fontId="12" fillId="9" borderId="2" xfId="0" applyNumberFormat="1" applyFont="1" applyFill="1" applyBorder="1" applyAlignment="1" applyProtection="1">
      <alignment horizontal="center" vertical="center"/>
      <protection locked="0"/>
    </xf>
    <xf numFmtId="165" fontId="22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167" fontId="12" fillId="9" borderId="2" xfId="0" applyNumberFormat="1" applyFont="1" applyFill="1" applyBorder="1" applyAlignment="1" applyProtection="1">
      <alignment horizontal="center" vertical="center"/>
      <protection locked="0"/>
    </xf>
    <xf numFmtId="167" fontId="11" fillId="8" borderId="2" xfId="0" applyNumberFormat="1" applyFont="1" applyFill="1" applyBorder="1" applyAlignment="1">
      <alignment horizontal="center" vertical="center"/>
    </xf>
    <xf numFmtId="167" fontId="22" fillId="9" borderId="2" xfId="0" applyNumberFormat="1" applyFont="1" applyFill="1" applyBorder="1" applyAlignment="1">
      <alignment horizontal="center" vertical="center"/>
    </xf>
    <xf numFmtId="167" fontId="12" fillId="7" borderId="2" xfId="0" applyNumberFormat="1" applyFont="1" applyFill="1" applyBorder="1" applyAlignment="1" applyProtection="1">
      <alignment horizontal="center" vertical="center"/>
      <protection locked="0"/>
    </xf>
    <xf numFmtId="167" fontId="22" fillId="7" borderId="2" xfId="0" applyNumberFormat="1" applyFont="1" applyFill="1" applyBorder="1" applyAlignment="1">
      <alignment horizontal="center" vertical="center"/>
    </xf>
    <xf numFmtId="168" fontId="12" fillId="7" borderId="2" xfId="0" applyNumberFormat="1" applyFont="1" applyFill="1" applyBorder="1" applyAlignment="1" applyProtection="1">
      <alignment horizontal="center" vertical="center"/>
      <protection locked="0"/>
    </xf>
    <xf numFmtId="168" fontId="11" fillId="8" borderId="2" xfId="0" applyNumberFormat="1" applyFont="1" applyFill="1" applyBorder="1" applyAlignment="1">
      <alignment horizontal="center" vertical="center"/>
    </xf>
    <xf numFmtId="168" fontId="22" fillId="7" borderId="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 indent="1" wrapText="1"/>
    </xf>
    <xf numFmtId="0" fontId="23" fillId="10" borderId="0" xfId="0" applyFont="1" applyFill="1" applyAlignment="1">
      <alignment horizontal="left" vertical="center" indent="1"/>
    </xf>
    <xf numFmtId="0" fontId="24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2" fillId="0" borderId="8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23" fillId="11" borderId="5" xfId="0" applyFont="1" applyFill="1" applyBorder="1" applyAlignment="1">
      <alignment horizontal="center" vertical="center" wrapText="1"/>
    </xf>
    <xf numFmtId="0" fontId="26" fillId="5" borderId="5" xfId="0" applyFont="1" applyFill="1" applyBorder="1" applyAlignment="1">
      <alignment horizontal="left" vertical="center" indent="1"/>
    </xf>
    <xf numFmtId="0" fontId="24" fillId="5" borderId="5" xfId="0" applyFont="1" applyFill="1" applyBorder="1" applyAlignment="1">
      <alignment horizontal="left" vertical="center" indent="1"/>
    </xf>
    <xf numFmtId="0" fontId="27" fillId="4" borderId="2" xfId="0" applyFont="1" applyFill="1" applyBorder="1" applyAlignment="1" applyProtection="1">
      <alignment vertical="center"/>
      <protection locked="0"/>
    </xf>
    <xf numFmtId="0" fontId="12" fillId="4" borderId="2" xfId="0" applyFont="1" applyFill="1" applyBorder="1" applyAlignment="1" applyProtection="1">
      <alignment vertical="center"/>
      <protection locked="0"/>
    </xf>
    <xf numFmtId="0" fontId="28" fillId="5" borderId="2" xfId="0" applyFont="1" applyFill="1" applyBorder="1" applyAlignment="1">
      <alignment vertical="center"/>
    </xf>
    <xf numFmtId="0" fontId="26" fillId="7" borderId="5" xfId="0" applyFont="1" applyFill="1" applyBorder="1" applyAlignment="1">
      <alignment horizontal="left" vertical="center" indent="1"/>
    </xf>
    <xf numFmtId="0" fontId="24" fillId="7" borderId="5" xfId="0" applyFont="1" applyFill="1" applyBorder="1" applyAlignment="1">
      <alignment horizontal="left" vertical="center" inden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23" fillId="2" borderId="0" xfId="0" applyFont="1" applyFill="1" applyAlignment="1">
      <alignment vertical="center"/>
    </xf>
    <xf numFmtId="0" fontId="13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5">
    <dxf>
      <fill>
        <patternFill>
          <bgColor rgb="FFFDE6D8"/>
        </patternFill>
      </fill>
    </dxf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4</xdr:col>
      <xdr:colOff>0</xdr:colOff>
      <xdr:row>8</xdr:row>
      <xdr:rowOff>28575</xdr:rowOff>
    </xdr:from>
    <xdr:to>
      <xdr:col>6</xdr:col>
      <xdr:colOff>0</xdr:colOff>
      <xdr:row>8</xdr:row>
      <xdr:rowOff>238125</xdr:rowOff>
    </xdr:to>
    <xdr:sp macro="[0]!SelecionarDia" textlink="">
      <xdr:nvSpPr>
        <xdr:cNvPr id="4" name="TextBox 3" descr="Botão: SelecionarDia"/>
        <xdr:cNvSpPr txBox="1"/>
      </xdr:nvSpPr>
      <xdr:spPr>
        <a:xfrm>
          <a:off x="2181225" y="1733550"/>
          <a:ext cx="133350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Editar turno Dia</a:t>
          </a:r>
        </a:p>
      </xdr:txBody>
    </xdr:sp>
    <xdr:clientData fPrintsWithSheet="0"/>
  </xdr:twoCellAnchor>
  <xdr:twoCellAnchor editAs="absolute">
    <xdr:from>
      <xdr:col>6</xdr:col>
      <xdr:colOff>114300</xdr:colOff>
      <xdr:row>8</xdr:row>
      <xdr:rowOff>28575</xdr:rowOff>
    </xdr:from>
    <xdr:to>
      <xdr:col>8</xdr:col>
      <xdr:colOff>114300</xdr:colOff>
      <xdr:row>8</xdr:row>
      <xdr:rowOff>238125</xdr:rowOff>
    </xdr:to>
    <xdr:sp macro="[0]!SelecionarNoite" textlink="">
      <xdr:nvSpPr>
        <xdr:cNvPr id="5" name="TextBox 4" descr="Botão: SelecionarNoite"/>
        <xdr:cNvSpPr txBox="1"/>
      </xdr:nvSpPr>
      <xdr:spPr>
        <a:xfrm>
          <a:off x="3629025" y="1733550"/>
          <a:ext cx="133350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Editar turno Noite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6" name="TextBox 5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Resultados químicos US3 e US4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Ocorrencia" textlink="">
      <xdr:nvSpPr>
        <xdr:cNvPr id="7" name="TextBox 6" descr="Botão: IrOcorrencia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Ocorrência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Tarefas, solicitações e equipamentos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Relatorio" textlink="">
      <xdr:nvSpPr>
        <xdr:cNvPr id="8" name="TextBox 7" descr="Botão: IrRelatori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Relatório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Uma página para o e-mail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9" name="TextBox 8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Finalizar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Fixa o relatório e salva o arquivo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Informativo" textlink="">
      <xdr:nvSpPr>
        <xdr:cNvPr id="10" name="TextBox 9" descr="Botão: IrInformativ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 (MES)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770572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latorioDia" textlink="">
      <xdr:nvSpPr>
        <xdr:cNvPr id="4" name="TextBox 3" descr="Botão: CopiarRelatorioDia"/>
        <xdr:cNvSpPr txBox="1"/>
      </xdr:nvSpPr>
      <xdr:spPr>
        <a:xfrm>
          <a:off x="770572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relatório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para o e-mail)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38100</xdr:rowOff>
    </xdr:from>
    <xdr:to>
      <xdr:col>15</xdr:col>
      <xdr:colOff>47625</xdr:colOff>
      <xdr:row>10</xdr:row>
      <xdr:rowOff>76200</xdr:rowOff>
    </xdr:to>
    <xdr:sp macro="[0]!AtualizarRelatorioDia" textlink="">
      <xdr:nvSpPr>
        <xdr:cNvPr id="5" name="TextBox 4" descr="Botão: AtualizarRelatorioDia"/>
        <xdr:cNvSpPr txBox="1"/>
      </xdr:nvSpPr>
      <xdr:spPr>
        <a:xfrm>
          <a:off x="7705725" y="1666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Atualizar este relatório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38100</xdr:rowOff>
    </xdr:from>
    <xdr:to>
      <xdr:col>15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770572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0</xdr:rowOff>
    </xdr:from>
    <xdr:to>
      <xdr:col>15</xdr:col>
      <xdr:colOff>47625</xdr:colOff>
      <xdr:row>7</xdr:row>
      <xdr:rowOff>66675</xdr:rowOff>
    </xdr:to>
    <xdr:sp macro="[0]!CopiarRelatorioNoite" textlink="">
      <xdr:nvSpPr>
        <xdr:cNvPr id="4" name="TextBox 3" descr="Botão: CopiarRelatorioNoite"/>
        <xdr:cNvSpPr txBox="1"/>
      </xdr:nvSpPr>
      <xdr:spPr>
        <a:xfrm>
          <a:off x="7705725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relatório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para o e-mail)</a:t>
          </a:r>
        </a:p>
      </xdr:txBody>
    </xdr:sp>
    <xdr:clientData fPrintsWithSheet="0"/>
  </xdr:twoCellAnchor>
  <xdr:twoCellAnchor editAs="absolute">
    <xdr:from>
      <xdr:col>14</xdr:col>
      <xdr:colOff>38100</xdr:colOff>
      <xdr:row>9</xdr:row>
      <xdr:rowOff>38100</xdr:rowOff>
    </xdr:from>
    <xdr:to>
      <xdr:col>15</xdr:col>
      <xdr:colOff>47625</xdr:colOff>
      <xdr:row>10</xdr:row>
      <xdr:rowOff>76200</xdr:rowOff>
    </xdr:to>
    <xdr:sp macro="[0]!AtualizarRelatorioNoite" textlink="">
      <xdr:nvSpPr>
        <xdr:cNvPr id="5" name="TextBox 4" descr="Botão: AtualizarRelatorioNoite"/>
        <xdr:cNvSpPr txBox="1"/>
      </xdr:nvSpPr>
      <xdr:spPr>
        <a:xfrm>
          <a:off x="7705725" y="166687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Atualizar este relatório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12</xdr:col>
      <xdr:colOff>38100</xdr:colOff>
      <xdr:row>1</xdr:row>
      <xdr:rowOff>38100</xdr:rowOff>
    </xdr:from>
    <xdr:to>
      <xdr:col>13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7448550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12</xdr:col>
      <xdr:colOff>38100</xdr:colOff>
      <xdr:row>5</xdr:row>
      <xdr:rowOff>0</xdr:rowOff>
    </xdr:from>
    <xdr:to>
      <xdr:col>13</xdr:col>
      <xdr:colOff>47625</xdr:colOff>
      <xdr:row>6</xdr:row>
      <xdr:rowOff>47625</xdr:rowOff>
    </xdr:to>
    <xdr:sp macro="[0]!IrRelatorio" textlink="">
      <xdr:nvSpPr>
        <xdr:cNvPr id="4" name="TextBox 3" descr="Botão: IrRelatorio"/>
        <xdr:cNvSpPr txBox="1"/>
      </xdr:nvSpPr>
      <xdr:spPr>
        <a:xfrm>
          <a:off x="7448550" y="771525"/>
          <a:ext cx="1857375" cy="3238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relatório do turno</a:t>
          </a:r>
        </a:p>
      </xdr:txBody>
    </xdr:sp>
    <xdr:clientData fPrintsWithSheet="0"/>
  </xdr:twoCellAnchor>
  <xdr:twoCellAnchor editAs="absolute">
    <xdr:from>
      <xdr:col>12</xdr:col>
      <xdr:colOff>38100</xdr:colOff>
      <xdr:row>8</xdr:row>
      <xdr:rowOff>57150</xdr:rowOff>
    </xdr:from>
    <xdr:to>
      <xdr:col>13</xdr:col>
      <xdr:colOff>47625</xdr:colOff>
      <xdr:row>9</xdr:row>
      <xdr:rowOff>85725</xdr:rowOff>
    </xdr:to>
    <xdr:sp macro="[0]!LimparOcorrencia" textlink="">
      <xdr:nvSpPr>
        <xdr:cNvPr id="5" name="TextBox 4" descr="Botão: LimparOcorrencia"/>
        <xdr:cNvSpPr txBox="1"/>
      </xdr:nvSpPr>
      <xdr:spPr>
        <a:xfrm>
          <a:off x="7448550" y="1571625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ocorrência</a:t>
          </a:r>
        </a:p>
      </xdr:txBody>
    </xdr:sp>
    <xdr:clientData fPrintsWithSheet="0"/>
  </xdr:twoCellAnchor>
  <xdr:twoCellAnchor editAs="absolute">
    <xdr:from>
      <xdr:col>12</xdr:col>
      <xdr:colOff>38100</xdr:colOff>
      <xdr:row>11</xdr:row>
      <xdr:rowOff>0</xdr:rowOff>
    </xdr:from>
    <xdr:to>
      <xdr:col>13</xdr:col>
      <xdr:colOff>47625</xdr:colOff>
      <xdr:row>12</xdr:row>
      <xdr:rowOff>85725</xdr:rowOff>
    </xdr:to>
    <xdr:sp macro="[0]!FecharTurno" textlink="">
      <xdr:nvSpPr>
        <xdr:cNvPr id="6" name="TextBox 5" descr="Botão: FecharTurno"/>
        <xdr:cNvSpPr txBox="1"/>
      </xdr:nvSpPr>
      <xdr:spPr>
        <a:xfrm>
          <a:off x="7448550" y="2228850"/>
          <a:ext cx="185737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Finalizar turno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23</xdr:col>
      <xdr:colOff>38100</xdr:colOff>
      <xdr:row>1</xdr:row>
      <xdr:rowOff>38100</xdr:rowOff>
    </xdr:from>
    <xdr:to>
      <xdr:col>24</xdr:col>
      <xdr:colOff>47625</xdr:colOff>
      <xdr:row>1</xdr:row>
      <xdr:rowOff>304800</xdr:rowOff>
    </xdr:to>
    <xdr:sp macro="[0]!IrPainel" textlink="">
      <xdr:nvSpPr>
        <xdr:cNvPr id="3" name="TextBox 2" descr="Botão: IrPainel"/>
        <xdr:cNvSpPr txBox="1"/>
      </xdr:nvSpPr>
      <xdr:spPr>
        <a:xfrm>
          <a:off x="11534775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23</xdr:col>
      <xdr:colOff>38100</xdr:colOff>
      <xdr:row>5</xdr:row>
      <xdr:rowOff>0</xdr:rowOff>
    </xdr:from>
    <xdr:to>
      <xdr:col>24</xdr:col>
      <xdr:colOff>47625</xdr:colOff>
      <xdr:row>6</xdr:row>
      <xdr:rowOff>209550</xdr:rowOff>
    </xdr:to>
    <xdr:sp macro="[0]!AtualizarMESPeriodo" textlink="">
      <xdr:nvSpPr>
        <xdr:cNvPr id="4" name="TextBox 3" descr="Botão: AtualizarMESPeriodo"/>
        <xdr:cNvSpPr txBox="1"/>
      </xdr:nvSpPr>
      <xdr:spPr>
        <a:xfrm>
          <a:off x="11534775" y="885825"/>
          <a:ext cx="1857375" cy="4000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(período escolhido)</a:t>
          </a:r>
        </a:p>
      </xdr:txBody>
    </xdr:sp>
    <xdr:clientData fPrintsWithSheet="0"/>
  </xdr:twoCellAnchor>
  <xdr:twoCellAnchor editAs="absolute">
    <xdr:from>
      <xdr:col>23</xdr:col>
      <xdr:colOff>38100</xdr:colOff>
      <xdr:row>8</xdr:row>
      <xdr:rowOff>19050</xdr:rowOff>
    </xdr:from>
    <xdr:to>
      <xdr:col>24</xdr:col>
      <xdr:colOff>47625</xdr:colOff>
      <xdr:row>8</xdr:row>
      <xdr:rowOff>304800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534775" y="1466850"/>
          <a:ext cx="185737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208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239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240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241</v>
      </c>
      <c r="C7" s="6"/>
      <c r="D7" s="6"/>
      <c r="E7" s="6" t="s">
        <v>242</v>
      </c>
      <c r="F7" s="6"/>
      <c r="G7" s="6"/>
      <c r="H7" s="6"/>
      <c r="I7" s="6" t="s">
        <v>243</v>
      </c>
      <c r="J7" s="6"/>
      <c r="K7" s="6" t="s">
        <v>244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J9" s="6" t="s">
        <v>245</v>
      </c>
      <c r="K9" s="6"/>
      <c r="L9" s="6"/>
      <c r="M9" s="6"/>
      <c r="N9" s="6"/>
      <c r="O9" s="6"/>
      <c r="P9" s="6"/>
      <c r="Q9" s="6"/>
    </row>
    <row r="11" spans="2:17" ht="22" customHeight="1">
      <c r="B11" s="5" t="s">
        <v>246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247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248</v>
      </c>
      <c r="C18" s="10"/>
      <c r="D18" s="10"/>
      <c r="E18" s="10"/>
      <c r="F18" s="10" t="s">
        <v>249</v>
      </c>
      <c r="G18" s="10"/>
      <c r="H18" s="10"/>
      <c r="I18" s="10"/>
      <c r="J18" s="10" t="s">
        <v>250</v>
      </c>
      <c r="K18" s="10"/>
      <c r="L18" s="10"/>
      <c r="M18" s="10"/>
      <c r="N18" s="10" t="s">
        <v>251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COUNTA(ocReal)+COUNTA(ocSol)+COUNTA(ocEquip)+COUNTA(ocAReal)</f>
        <v>0</v>
      </c>
      <c r="G19" s="12"/>
      <c r="H19" s="12"/>
      <c r="I19" s="12"/>
      <c r="J19" s="11">
        <f>IF(ISNUMBER(rlDFinal),"Finalizado "&amp;TEXT(rlDFinal,"hh:mm"),IF(ISNUMBER(rlDGerado),"Gerado "&amp;TEXT(rlDGerado,"hh:mm"),"— pendente —"))</f>
        <v>0</v>
      </c>
      <c r="K19" s="11"/>
      <c r="L19" s="11"/>
      <c r="M19" s="11"/>
      <c r="N19" s="11">
        <f>IF(ISNUMBER(rlNFinal),"Finalizado "&amp;TEXT(rlNFinal,"hh:mm"),IF(ISNUMBER(rlNGerado),"Gerado "&amp;TEXT(rlNGerado,"hh:mm"),"— pendente —"))</f>
        <v>0</v>
      </c>
      <c r="O19" s="11"/>
      <c r="P19" s="11"/>
      <c r="Q19" s="11"/>
    </row>
    <row r="21" spans="2:17" ht="22" customHeight="1">
      <c r="B21" s="5" t="s">
        <v>252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3" t="s">
        <v>253</v>
      </c>
      <c r="C22" s="13"/>
      <c r="D22" s="13"/>
      <c r="E22" s="13"/>
      <c r="F22" s="13" t="s">
        <v>254</v>
      </c>
      <c r="G22" s="13"/>
      <c r="H22" s="13"/>
      <c r="I22" s="13"/>
      <c r="J22" s="13" t="s">
        <v>255</v>
      </c>
      <c r="K22" s="13"/>
      <c r="L22" s="13"/>
      <c r="M22" s="13"/>
      <c r="N22" s="13" t="s">
        <v>256</v>
      </c>
      <c r="O22" s="13"/>
      <c r="P22" s="13"/>
      <c r="Q22" s="13"/>
    </row>
    <row r="23" spans="2:17" ht="24" customHeight="1">
      <c r="B23" s="14" t="s">
        <v>138</v>
      </c>
      <c r="C23" s="15">
        <f>IFERROR(INDEX(Informativo!$Q:$Q,MATCH("P02U3",Informativo!$A:$A,0)),"")</f>
        <v>0</v>
      </c>
      <c r="D23" s="15"/>
      <c r="E23" s="16">
        <f>IFERROR(INDEX(Informativo!$V:$V,MATCH("P02U3",Informativo!$A:$A,0)),"")</f>
        <v>0</v>
      </c>
      <c r="F23" s="14" t="s">
        <v>150</v>
      </c>
      <c r="G23" s="15">
        <f>IFERROR(INDEX(Informativo!$Q:$Q,MATCH("P12U3",Informativo!$A:$A,0)),"")</f>
        <v>0</v>
      </c>
      <c r="H23" s="15"/>
      <c r="I23" s="16">
        <f>IFERROR(INDEX(Informativo!$V:$V,MATCH("P12U3",Informativo!$A:$A,0)),"")</f>
        <v>0</v>
      </c>
      <c r="J23" s="14" t="s">
        <v>150</v>
      </c>
      <c r="K23" s="15">
        <f>IFERROR(INDEX(Informativo!$Q:$Q,MATCH("P16U3",Informativo!$A:$A,0)),"")</f>
        <v>0</v>
      </c>
      <c r="L23" s="15"/>
      <c r="M23" s="16">
        <f>IFERROR(INDEX(Informativo!$V:$V,MATCH("P16U3",Informativo!$A:$A,0)),"")</f>
        <v>0</v>
      </c>
      <c r="N23" s="14" t="s">
        <v>150</v>
      </c>
      <c r="O23" s="15">
        <f>IFERROR(INDEX(Informativo!$Q:$Q,MATCH("P18U3",Informativo!$A:$A,0)),"")</f>
        <v>0</v>
      </c>
      <c r="P23" s="15"/>
      <c r="Q23" s="16">
        <f>IFERROR(INDEX(Informativo!$V:$V,MATCH("P18U3",Informativo!$A:$A,0)),"")</f>
        <v>0</v>
      </c>
    </row>
    <row r="24" spans="2:17" ht="24" customHeight="1">
      <c r="B24" s="17"/>
      <c r="C24" s="17"/>
      <c r="D24" s="17"/>
      <c r="E24" s="17"/>
      <c r="F24" s="14" t="s">
        <v>152</v>
      </c>
      <c r="G24" s="15">
        <f>IFERROR(INDEX(Informativo!$Q:$Q,MATCH("P12U4",Informativo!$A:$A,0)),"")</f>
        <v>0</v>
      </c>
      <c r="H24" s="15"/>
      <c r="I24" s="16">
        <f>IFERROR(INDEX(Informativo!$V:$V,MATCH("P12U4",Informativo!$A:$A,0)),"")</f>
        <v>0</v>
      </c>
      <c r="J24" s="14" t="s">
        <v>152</v>
      </c>
      <c r="K24" s="15">
        <f>IFERROR(INDEX(Informativo!$Q:$Q,MATCH("P16U4",Informativo!$A:$A,0)),"")</f>
        <v>0</v>
      </c>
      <c r="L24" s="15"/>
      <c r="M24" s="16">
        <f>IFERROR(INDEX(Informativo!$V:$V,MATCH("P16U4",Informativo!$A:$A,0)),"")</f>
        <v>0</v>
      </c>
      <c r="N24" s="14" t="s">
        <v>152</v>
      </c>
      <c r="O24" s="15">
        <f>IFERROR(INDEX(Informativo!$Q:$Q,MATCH("P18U4",Informativo!$A:$A,0)),"")</f>
        <v>0</v>
      </c>
      <c r="P24" s="15"/>
      <c r="Q24" s="16">
        <f>IFERROR(INDEX(Informativo!$V:$V,MATCH("P18U4",Informativo!$A:$A,0)),"")</f>
        <v>0</v>
      </c>
    </row>
    <row r="26" spans="2:17" ht="22" customHeight="1">
      <c r="B26" s="5" t="s">
        <v>257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18">
        <f>"Fonte dos dados: "&amp;cfgFonte&amp;"   ·   Servidor MES: "&amp;cfgServidor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J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3" priority="4" operator="equal">
      <formula>"Fora"</formula>
    </cfRule>
    <cfRule type="cellIs" dxfId="4" priority="5" operator="equal">
      <formula>"OK"</formula>
    </cfRule>
  </conditionalFormatting>
  <conditionalFormatting sqref="F19">
    <cfRule type="cellIs" dxfId="2" priority="3" operator="greaterThanOrEqual">
      <formula>3</formula>
    </cfRule>
  </conditionalFormatting>
  <conditionalFormatting sqref="I23:I24">
    <cfRule type="cellIs" dxfId="3" priority="6" operator="equal">
      <formula>"Fora"</formula>
    </cfRule>
    <cfRule type="cellIs" dxfId="4" priority="7" operator="equal">
      <formula>"OK"</formula>
    </cfRule>
  </conditionalFormatting>
  <conditionalFormatting sqref="J19">
    <cfRule type="beginsWith" dxfId="2" priority="1" operator="beginsWith" text="Finalizado">
      <formula>LEFT(J19,10)="Finalizado"</formula>
    </cfRule>
  </conditionalFormatting>
  <conditionalFormatting sqref="M23:M24">
    <cfRule type="cellIs" dxfId="3" priority="8" operator="equal">
      <formula>"Fora"</formula>
    </cfRule>
    <cfRule type="cellIs" dxfId="4" priority="9" operator="equal">
      <formula>"OK"</formula>
    </cfRule>
  </conditionalFormatting>
  <conditionalFormatting sqref="N19">
    <cfRule type="beginsWith" dxfId="2" priority="2" operator="beginsWith" text="Finalizado">
      <formula>LEFT(N19,10)="Finalizado"</formula>
    </cfRule>
  </conditionalFormatting>
  <conditionalFormatting sqref="Q23:Q24">
    <cfRule type="cellIs" dxfId="3" priority="10" operator="equal">
      <formula>"Fora"</formula>
    </cfRule>
    <cfRule type="cellIs" dxfId="4" priority="11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lDia">
    <tabColor rgb="FFFFC000"/>
    <pageSetUpPr fitToPage="1"/>
  </sheetPr>
  <dimension ref="A1:S54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2:19" ht="6" customHeight="1">
      <c r="Q1" t="s">
        <v>205</v>
      </c>
      <c r="R1" t="s">
        <v>206</v>
      </c>
      <c r="S1" t="s">
        <v>207</v>
      </c>
    </row>
    <row r="2" spans="2:19" ht="26" customHeight="1">
      <c r="B2" s="1"/>
      <c r="C2" s="1"/>
      <c r="D2" s="2" t="s">
        <v>208</v>
      </c>
      <c r="E2" s="2"/>
      <c r="F2" s="2"/>
      <c r="G2" s="2"/>
      <c r="H2" s="2"/>
      <c r="I2" s="2"/>
      <c r="J2" s="2"/>
      <c r="K2" s="2"/>
      <c r="L2" s="2"/>
      <c r="M2" s="2"/>
      <c r="Q2" s="19"/>
      <c r="R2" s="19"/>
      <c r="S2" s="19"/>
    </row>
    <row r="3" spans="2:19" ht="20" customHeight="1">
      <c r="B3" s="1"/>
      <c r="C3" s="1"/>
      <c r="D3" s="3" t="s">
        <v>209</v>
      </c>
      <c r="E3" s="3"/>
      <c r="F3" s="3"/>
      <c r="G3" s="3"/>
      <c r="H3" s="3"/>
      <c r="I3" s="3"/>
      <c r="J3" s="3"/>
      <c r="K3" s="3"/>
      <c r="L3" s="3"/>
      <c r="M3" s="3"/>
    </row>
    <row r="4" spans="2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2:19" ht="6" customHeight="1"/>
    <row r="6" spans="2:19" ht="22" customHeight="1">
      <c r="B6" s="20" t="s">
        <v>210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2:19" ht="6" customHeight="1"/>
    <row r="8" spans="2:19" ht="22" customHeight="1">
      <c r="B8" s="5" t="s">
        <v>211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2:19" ht="18" customHeight="1">
      <c r="B9" s="21" t="s">
        <v>212</v>
      </c>
      <c r="C9" s="22" t="s">
        <v>50</v>
      </c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2:19" ht="18" customHeight="1">
      <c r="B10" s="21" t="s">
        <v>213</v>
      </c>
      <c r="C10" s="22" t="s">
        <v>50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2:19" ht="18" customHeight="1">
      <c r="B11" s="21" t="s">
        <v>214</v>
      </c>
      <c r="C11" s="22" t="s">
        <v>50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2:19" ht="18" customHeight="1">
      <c r="B12" s="21" t="s">
        <v>215</v>
      </c>
      <c r="C12" s="22" t="s">
        <v>50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2:19" ht="18" customHeight="1">
      <c r="B13" s="21" t="s">
        <v>216</v>
      </c>
      <c r="C13" s="22" t="s">
        <v>50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O13" s="23" t="s">
        <v>230</v>
      </c>
    </row>
    <row r="14" spans="2:19" ht="18" customHeight="1">
      <c r="B14" s="21" t="s">
        <v>217</v>
      </c>
      <c r="C14" s="22" t="s">
        <v>50</v>
      </c>
      <c r="D14" s="22"/>
      <c r="E14" s="22"/>
      <c r="F14" s="22"/>
      <c r="G14" s="22"/>
      <c r="H14" s="22"/>
      <c r="I14" s="22"/>
      <c r="J14" s="22"/>
      <c r="K14" s="22"/>
      <c r="L14" s="22"/>
      <c r="M14" s="22"/>
      <c r="O14" s="23"/>
    </row>
    <row r="15" spans="2:19" ht="18" customHeight="1">
      <c r="B15" s="21" t="s">
        <v>218</v>
      </c>
      <c r="C15" s="22" t="s">
        <v>50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O15" s="23"/>
    </row>
    <row r="16" spans="2:19" ht="18" customHeight="1">
      <c r="B16" s="21" t="s">
        <v>203</v>
      </c>
      <c r="C16" s="22" t="s">
        <v>50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O16" s="23"/>
    </row>
    <row r="17" spans="1:15" ht="8" customHeight="1">
      <c r="O17" s="23"/>
    </row>
    <row r="18" spans="1:15" ht="22" customHeight="1">
      <c r="B18" s="5" t="s">
        <v>219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O18" s="23"/>
    </row>
    <row r="19" spans="1:15" ht="26" customHeight="1">
      <c r="B19" s="24" t="s">
        <v>220</v>
      </c>
      <c r="C19" s="24" t="s">
        <v>221</v>
      </c>
      <c r="D19" s="24" t="s">
        <v>131</v>
      </c>
      <c r="E19" s="24" t="s">
        <v>222</v>
      </c>
      <c r="F19" s="24" t="s">
        <v>223</v>
      </c>
      <c r="G19" s="24" t="s">
        <v>224</v>
      </c>
      <c r="H19" s="24" t="s">
        <v>225</v>
      </c>
      <c r="I19" s="24" t="s">
        <v>226</v>
      </c>
      <c r="J19" s="24" t="s">
        <v>227</v>
      </c>
      <c r="K19" s="24" t="s">
        <v>228</v>
      </c>
      <c r="L19" s="24" t="s">
        <v>134</v>
      </c>
      <c r="M19" s="24" t="s">
        <v>135</v>
      </c>
    </row>
    <row r="20" spans="1:15">
      <c r="A20" s="25" t="s">
        <v>136</v>
      </c>
      <c r="B20" s="13" t="s">
        <v>33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5" ht="14" customHeight="1">
      <c r="A21" s="25" t="s">
        <v>137</v>
      </c>
      <c r="B21" s="26" t="s">
        <v>34</v>
      </c>
      <c r="C21" s="27" t="s">
        <v>35</v>
      </c>
      <c r="D21" s="28" t="s">
        <v>138</v>
      </c>
      <c r="E21" s="29" t="s">
        <v>50</v>
      </c>
      <c r="F21" s="29" t="s">
        <v>50</v>
      </c>
      <c r="G21" s="29" t="s">
        <v>50</v>
      </c>
      <c r="H21" s="29" t="s">
        <v>50</v>
      </c>
      <c r="I21" s="29" t="s">
        <v>50</v>
      </c>
      <c r="J21" s="29" t="s">
        <v>50</v>
      </c>
      <c r="K21" s="30" t="s">
        <v>50</v>
      </c>
      <c r="L21" s="31" t="s">
        <v>50</v>
      </c>
      <c r="M21" s="31" t="s">
        <v>50</v>
      </c>
    </row>
    <row r="22" spans="1:15" ht="14" customHeight="1">
      <c r="A22" s="25" t="s">
        <v>139</v>
      </c>
      <c r="B22" s="32" t="s">
        <v>38</v>
      </c>
      <c r="C22" s="33" t="s">
        <v>35</v>
      </c>
      <c r="D22" s="34" t="s">
        <v>138</v>
      </c>
      <c r="E22" s="35" t="s">
        <v>50</v>
      </c>
      <c r="F22" s="35" t="s">
        <v>50</v>
      </c>
      <c r="G22" s="35" t="s">
        <v>50</v>
      </c>
      <c r="H22" s="35" t="s">
        <v>50</v>
      </c>
      <c r="I22" s="35" t="s">
        <v>50</v>
      </c>
      <c r="J22" s="35" t="s">
        <v>50</v>
      </c>
      <c r="K22" s="30" t="s">
        <v>50</v>
      </c>
      <c r="L22" s="36" t="s">
        <v>50</v>
      </c>
      <c r="M22" s="36" t="s">
        <v>50</v>
      </c>
    </row>
    <row r="23" spans="1:15" ht="14" customHeight="1">
      <c r="A23" s="25" t="s">
        <v>140</v>
      </c>
      <c r="B23" s="26" t="s">
        <v>40</v>
      </c>
      <c r="C23" s="27" t="s">
        <v>35</v>
      </c>
      <c r="D23" s="28" t="s">
        <v>138</v>
      </c>
      <c r="E23" s="29" t="s">
        <v>50</v>
      </c>
      <c r="F23" s="29" t="s">
        <v>50</v>
      </c>
      <c r="G23" s="29" t="s">
        <v>50</v>
      </c>
      <c r="H23" s="29" t="s">
        <v>50</v>
      </c>
      <c r="I23" s="29" t="s">
        <v>50</v>
      </c>
      <c r="J23" s="29" t="s">
        <v>50</v>
      </c>
      <c r="K23" s="30" t="s">
        <v>50</v>
      </c>
      <c r="L23" s="31" t="s">
        <v>50</v>
      </c>
      <c r="M23" s="31" t="s">
        <v>50</v>
      </c>
    </row>
    <row r="24" spans="1:15" ht="14" customHeight="1">
      <c r="A24" s="25" t="s">
        <v>141</v>
      </c>
      <c r="B24" s="32" t="s">
        <v>41</v>
      </c>
      <c r="C24" s="33" t="s">
        <v>35</v>
      </c>
      <c r="D24" s="34" t="s">
        <v>138</v>
      </c>
      <c r="E24" s="35" t="s">
        <v>50</v>
      </c>
      <c r="F24" s="35" t="s">
        <v>50</v>
      </c>
      <c r="G24" s="35" t="s">
        <v>50</v>
      </c>
      <c r="H24" s="35" t="s">
        <v>50</v>
      </c>
      <c r="I24" s="35" t="s">
        <v>50</v>
      </c>
      <c r="J24" s="35" t="s">
        <v>50</v>
      </c>
      <c r="K24" s="30" t="s">
        <v>50</v>
      </c>
      <c r="L24" s="36" t="s">
        <v>50</v>
      </c>
      <c r="M24" s="36" t="s">
        <v>50</v>
      </c>
    </row>
    <row r="25" spans="1:15" ht="14" customHeight="1">
      <c r="A25" s="25" t="s">
        <v>142</v>
      </c>
      <c r="B25" s="26" t="s">
        <v>43</v>
      </c>
      <c r="C25" s="27" t="s">
        <v>35</v>
      </c>
      <c r="D25" s="28" t="s">
        <v>138</v>
      </c>
      <c r="E25" s="29" t="s">
        <v>50</v>
      </c>
      <c r="F25" s="29" t="s">
        <v>50</v>
      </c>
      <c r="G25" s="29" t="s">
        <v>50</v>
      </c>
      <c r="H25" s="29" t="s">
        <v>50</v>
      </c>
      <c r="I25" s="29" t="s">
        <v>50</v>
      </c>
      <c r="J25" s="29" t="s">
        <v>50</v>
      </c>
      <c r="K25" s="30" t="s">
        <v>50</v>
      </c>
      <c r="L25" s="31" t="s">
        <v>50</v>
      </c>
      <c r="M25" s="31" t="s">
        <v>50</v>
      </c>
    </row>
    <row r="26" spans="1:15" ht="14" customHeight="1">
      <c r="A26" s="25" t="s">
        <v>143</v>
      </c>
      <c r="B26" s="32" t="s">
        <v>44</v>
      </c>
      <c r="C26" s="33" t="s">
        <v>35</v>
      </c>
      <c r="D26" s="34" t="s">
        <v>138</v>
      </c>
      <c r="E26" s="37" t="s">
        <v>50</v>
      </c>
      <c r="F26" s="37" t="s">
        <v>50</v>
      </c>
      <c r="G26" s="37" t="s">
        <v>50</v>
      </c>
      <c r="H26" s="37" t="s">
        <v>50</v>
      </c>
      <c r="I26" s="37" t="s">
        <v>50</v>
      </c>
      <c r="J26" s="37" t="s">
        <v>50</v>
      </c>
      <c r="K26" s="38" t="s">
        <v>50</v>
      </c>
      <c r="L26" s="39" t="s">
        <v>50</v>
      </c>
      <c r="M26" s="39" t="s">
        <v>50</v>
      </c>
    </row>
    <row r="27" spans="1:15" ht="14" customHeight="1">
      <c r="A27" s="25" t="s">
        <v>144</v>
      </c>
      <c r="B27" s="26" t="s">
        <v>45</v>
      </c>
      <c r="C27" s="27" t="s">
        <v>35</v>
      </c>
      <c r="D27" s="28" t="s">
        <v>138</v>
      </c>
      <c r="E27" s="40" t="s">
        <v>50</v>
      </c>
      <c r="F27" s="40" t="s">
        <v>50</v>
      </c>
      <c r="G27" s="40" t="s">
        <v>50</v>
      </c>
      <c r="H27" s="40" t="s">
        <v>50</v>
      </c>
      <c r="I27" s="40" t="s">
        <v>50</v>
      </c>
      <c r="J27" s="40" t="s">
        <v>50</v>
      </c>
      <c r="K27" s="38" t="s">
        <v>50</v>
      </c>
      <c r="L27" s="41" t="s">
        <v>50</v>
      </c>
      <c r="M27" s="41" t="s">
        <v>50</v>
      </c>
    </row>
    <row r="28" spans="1:15" ht="14" customHeight="1">
      <c r="A28" s="25" t="s">
        <v>145</v>
      </c>
      <c r="B28" s="32" t="s">
        <v>46</v>
      </c>
      <c r="C28" s="33" t="s">
        <v>35</v>
      </c>
      <c r="D28" s="34" t="s">
        <v>138</v>
      </c>
      <c r="E28" s="37" t="s">
        <v>50</v>
      </c>
      <c r="F28" s="37" t="s">
        <v>50</v>
      </c>
      <c r="G28" s="37" t="s">
        <v>50</v>
      </c>
      <c r="H28" s="37" t="s">
        <v>50</v>
      </c>
      <c r="I28" s="37" t="s">
        <v>50</v>
      </c>
      <c r="J28" s="37" t="s">
        <v>50</v>
      </c>
      <c r="K28" s="38" t="s">
        <v>50</v>
      </c>
      <c r="L28" s="39" t="s">
        <v>50</v>
      </c>
      <c r="M28" s="39" t="s">
        <v>50</v>
      </c>
    </row>
    <row r="29" spans="1:15" ht="14" customHeight="1">
      <c r="A29" s="25" t="s">
        <v>146</v>
      </c>
      <c r="B29" s="26" t="s">
        <v>47</v>
      </c>
      <c r="C29" s="27" t="s">
        <v>35</v>
      </c>
      <c r="D29" s="28" t="s">
        <v>138</v>
      </c>
      <c r="E29" s="29" t="s">
        <v>50</v>
      </c>
      <c r="F29" s="29" t="s">
        <v>50</v>
      </c>
      <c r="G29" s="29" t="s">
        <v>50</v>
      </c>
      <c r="H29" s="29" t="s">
        <v>50</v>
      </c>
      <c r="I29" s="29" t="s">
        <v>50</v>
      </c>
      <c r="J29" s="29" t="s">
        <v>50</v>
      </c>
      <c r="K29" s="30" t="s">
        <v>50</v>
      </c>
      <c r="L29" s="31" t="s">
        <v>50</v>
      </c>
      <c r="M29" s="31" t="s">
        <v>50</v>
      </c>
    </row>
    <row r="30" spans="1:15" ht="14" customHeight="1">
      <c r="A30" s="25" t="s">
        <v>147</v>
      </c>
      <c r="B30" s="32" t="s">
        <v>49</v>
      </c>
      <c r="C30" s="33" t="s">
        <v>50</v>
      </c>
      <c r="D30" s="34" t="s">
        <v>138</v>
      </c>
      <c r="E30" s="35" t="s">
        <v>50</v>
      </c>
      <c r="F30" s="35" t="s">
        <v>50</v>
      </c>
      <c r="G30" s="35" t="s">
        <v>50</v>
      </c>
      <c r="H30" s="35" t="s">
        <v>50</v>
      </c>
      <c r="I30" s="35" t="s">
        <v>50</v>
      </c>
      <c r="J30" s="35" t="s">
        <v>50</v>
      </c>
      <c r="K30" s="30" t="s">
        <v>50</v>
      </c>
      <c r="L30" s="36" t="s">
        <v>50</v>
      </c>
      <c r="M30" s="36" t="s">
        <v>50</v>
      </c>
    </row>
    <row r="31" spans="1:15">
      <c r="A31" s="25" t="s">
        <v>148</v>
      </c>
      <c r="B31" s="13" t="s">
        <v>51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5" ht="14" customHeight="1">
      <c r="A32" s="25" t="s">
        <v>149</v>
      </c>
      <c r="B32" s="26" t="s">
        <v>34</v>
      </c>
      <c r="C32" s="27" t="s">
        <v>35</v>
      </c>
      <c r="D32" s="28" t="s">
        <v>150</v>
      </c>
      <c r="E32" s="29" t="s">
        <v>50</v>
      </c>
      <c r="F32" s="29" t="s">
        <v>50</v>
      </c>
      <c r="G32" s="29" t="s">
        <v>50</v>
      </c>
      <c r="H32" s="29" t="s">
        <v>50</v>
      </c>
      <c r="I32" s="29" t="s">
        <v>50</v>
      </c>
      <c r="J32" s="29" t="s">
        <v>50</v>
      </c>
      <c r="K32" s="30" t="s">
        <v>50</v>
      </c>
      <c r="L32" s="31" t="s">
        <v>50</v>
      </c>
      <c r="M32" s="31" t="s">
        <v>50</v>
      </c>
    </row>
    <row r="33" spans="1:13" ht="14" customHeight="1">
      <c r="A33" s="25" t="s">
        <v>151</v>
      </c>
      <c r="B33" s="26"/>
      <c r="C33" s="27"/>
      <c r="D33" s="42" t="s">
        <v>152</v>
      </c>
      <c r="E33" s="29" t="s">
        <v>50</v>
      </c>
      <c r="F33" s="29" t="s">
        <v>50</v>
      </c>
      <c r="G33" s="29" t="s">
        <v>50</v>
      </c>
      <c r="H33" s="29" t="s">
        <v>50</v>
      </c>
      <c r="I33" s="29" t="s">
        <v>50</v>
      </c>
      <c r="J33" s="29" t="s">
        <v>50</v>
      </c>
      <c r="K33" s="30" t="s">
        <v>50</v>
      </c>
      <c r="L33" s="31" t="s">
        <v>50</v>
      </c>
      <c r="M33" s="31" t="s">
        <v>50</v>
      </c>
    </row>
    <row r="34" spans="1:13" ht="14" customHeight="1">
      <c r="A34" s="25" t="s">
        <v>153</v>
      </c>
      <c r="B34" s="32" t="s">
        <v>38</v>
      </c>
      <c r="C34" s="33" t="s">
        <v>35</v>
      </c>
      <c r="D34" s="34" t="s">
        <v>150</v>
      </c>
      <c r="E34" s="35" t="s">
        <v>50</v>
      </c>
      <c r="F34" s="35" t="s">
        <v>50</v>
      </c>
      <c r="G34" s="35" t="s">
        <v>50</v>
      </c>
      <c r="H34" s="35" t="s">
        <v>50</v>
      </c>
      <c r="I34" s="35" t="s">
        <v>50</v>
      </c>
      <c r="J34" s="35" t="s">
        <v>50</v>
      </c>
      <c r="K34" s="30" t="s">
        <v>50</v>
      </c>
      <c r="L34" s="36" t="s">
        <v>50</v>
      </c>
      <c r="M34" s="36" t="s">
        <v>50</v>
      </c>
    </row>
    <row r="35" spans="1:13" ht="14" customHeight="1">
      <c r="A35" s="25" t="s">
        <v>154</v>
      </c>
      <c r="B35" s="32"/>
      <c r="C35" s="33"/>
      <c r="D35" s="43" t="s">
        <v>152</v>
      </c>
      <c r="E35" s="35" t="s">
        <v>50</v>
      </c>
      <c r="F35" s="35" t="s">
        <v>50</v>
      </c>
      <c r="G35" s="35" t="s">
        <v>50</v>
      </c>
      <c r="H35" s="35" t="s">
        <v>50</v>
      </c>
      <c r="I35" s="35" t="s">
        <v>50</v>
      </c>
      <c r="J35" s="35" t="s">
        <v>50</v>
      </c>
      <c r="K35" s="30" t="s">
        <v>50</v>
      </c>
      <c r="L35" s="36" t="s">
        <v>50</v>
      </c>
      <c r="M35" s="36" t="s">
        <v>50</v>
      </c>
    </row>
    <row r="36" spans="1:13" ht="14" customHeight="1">
      <c r="A36" s="25" t="s">
        <v>155</v>
      </c>
      <c r="B36" s="26" t="s">
        <v>40</v>
      </c>
      <c r="C36" s="27" t="s">
        <v>35</v>
      </c>
      <c r="D36" s="28" t="s">
        <v>150</v>
      </c>
      <c r="E36" s="29" t="s">
        <v>50</v>
      </c>
      <c r="F36" s="29" t="s">
        <v>50</v>
      </c>
      <c r="G36" s="29" t="s">
        <v>50</v>
      </c>
      <c r="H36" s="29" t="s">
        <v>50</v>
      </c>
      <c r="I36" s="29" t="s">
        <v>50</v>
      </c>
      <c r="J36" s="29" t="s">
        <v>50</v>
      </c>
      <c r="K36" s="30" t="s">
        <v>50</v>
      </c>
      <c r="L36" s="31" t="s">
        <v>50</v>
      </c>
      <c r="M36" s="31" t="s">
        <v>50</v>
      </c>
    </row>
    <row r="37" spans="1:13" ht="14" customHeight="1">
      <c r="A37" s="25" t="s">
        <v>156</v>
      </c>
      <c r="B37" s="26"/>
      <c r="C37" s="27"/>
      <c r="D37" s="42" t="s">
        <v>152</v>
      </c>
      <c r="E37" s="29" t="s">
        <v>50</v>
      </c>
      <c r="F37" s="29" t="s">
        <v>50</v>
      </c>
      <c r="G37" s="29" t="s">
        <v>50</v>
      </c>
      <c r="H37" s="29" t="s">
        <v>50</v>
      </c>
      <c r="I37" s="29" t="s">
        <v>50</v>
      </c>
      <c r="J37" s="29" t="s">
        <v>50</v>
      </c>
      <c r="K37" s="30" t="s">
        <v>50</v>
      </c>
      <c r="L37" s="31" t="s">
        <v>50</v>
      </c>
      <c r="M37" s="31" t="s">
        <v>50</v>
      </c>
    </row>
    <row r="38" spans="1:13" ht="14" customHeight="1">
      <c r="A38" s="25" t="s">
        <v>157</v>
      </c>
      <c r="B38" s="32" t="s">
        <v>41</v>
      </c>
      <c r="C38" s="33" t="s">
        <v>35</v>
      </c>
      <c r="D38" s="34" t="s">
        <v>150</v>
      </c>
      <c r="E38" s="35" t="s">
        <v>50</v>
      </c>
      <c r="F38" s="35" t="s">
        <v>50</v>
      </c>
      <c r="G38" s="35" t="s">
        <v>50</v>
      </c>
      <c r="H38" s="35" t="s">
        <v>50</v>
      </c>
      <c r="I38" s="35" t="s">
        <v>50</v>
      </c>
      <c r="J38" s="35" t="s">
        <v>50</v>
      </c>
      <c r="K38" s="30" t="s">
        <v>50</v>
      </c>
      <c r="L38" s="36" t="s">
        <v>50</v>
      </c>
      <c r="M38" s="36" t="s">
        <v>50</v>
      </c>
    </row>
    <row r="39" spans="1:13" ht="14" customHeight="1">
      <c r="A39" s="25" t="s">
        <v>158</v>
      </c>
      <c r="B39" s="32"/>
      <c r="C39" s="33"/>
      <c r="D39" s="43" t="s">
        <v>152</v>
      </c>
      <c r="E39" s="35" t="s">
        <v>50</v>
      </c>
      <c r="F39" s="35" t="s">
        <v>50</v>
      </c>
      <c r="G39" s="35" t="s">
        <v>50</v>
      </c>
      <c r="H39" s="35" t="s">
        <v>50</v>
      </c>
      <c r="I39" s="35" t="s">
        <v>50</v>
      </c>
      <c r="J39" s="35" t="s">
        <v>50</v>
      </c>
      <c r="K39" s="30" t="s">
        <v>50</v>
      </c>
      <c r="L39" s="36" t="s">
        <v>50</v>
      </c>
      <c r="M39" s="36" t="s">
        <v>50</v>
      </c>
    </row>
    <row r="40" spans="1:13" ht="14" customHeight="1">
      <c r="A40" s="25" t="s">
        <v>159</v>
      </c>
      <c r="B40" s="26" t="s">
        <v>43</v>
      </c>
      <c r="C40" s="27" t="s">
        <v>35</v>
      </c>
      <c r="D40" s="28" t="s">
        <v>150</v>
      </c>
      <c r="E40" s="29" t="s">
        <v>50</v>
      </c>
      <c r="F40" s="29" t="s">
        <v>50</v>
      </c>
      <c r="G40" s="29" t="s">
        <v>50</v>
      </c>
      <c r="H40" s="29" t="s">
        <v>50</v>
      </c>
      <c r="I40" s="29" t="s">
        <v>50</v>
      </c>
      <c r="J40" s="29" t="s">
        <v>50</v>
      </c>
      <c r="K40" s="30" t="s">
        <v>50</v>
      </c>
      <c r="L40" s="31" t="s">
        <v>50</v>
      </c>
      <c r="M40" s="31" t="s">
        <v>50</v>
      </c>
    </row>
    <row r="41" spans="1:13" ht="14" customHeight="1">
      <c r="A41" s="25" t="s">
        <v>160</v>
      </c>
      <c r="B41" s="26"/>
      <c r="C41" s="27"/>
      <c r="D41" s="42" t="s">
        <v>152</v>
      </c>
      <c r="E41" s="29" t="s">
        <v>50</v>
      </c>
      <c r="F41" s="29" t="s">
        <v>50</v>
      </c>
      <c r="G41" s="29" t="s">
        <v>50</v>
      </c>
      <c r="H41" s="29" t="s">
        <v>50</v>
      </c>
      <c r="I41" s="29" t="s">
        <v>50</v>
      </c>
      <c r="J41" s="29" t="s">
        <v>50</v>
      </c>
      <c r="K41" s="30" t="s">
        <v>50</v>
      </c>
      <c r="L41" s="31" t="s">
        <v>50</v>
      </c>
      <c r="M41" s="31" t="s">
        <v>50</v>
      </c>
    </row>
    <row r="42" spans="1:13" ht="14" customHeight="1">
      <c r="A42" s="25" t="s">
        <v>161</v>
      </c>
      <c r="B42" s="32" t="s">
        <v>56</v>
      </c>
      <c r="C42" s="33" t="s">
        <v>50</v>
      </c>
      <c r="D42" s="34" t="s">
        <v>150</v>
      </c>
      <c r="E42" s="35" t="s">
        <v>50</v>
      </c>
      <c r="F42" s="35" t="s">
        <v>50</v>
      </c>
      <c r="G42" s="35" t="s">
        <v>50</v>
      </c>
      <c r="H42" s="35" t="s">
        <v>50</v>
      </c>
      <c r="I42" s="35" t="s">
        <v>50</v>
      </c>
      <c r="J42" s="35" t="s">
        <v>50</v>
      </c>
      <c r="K42" s="30" t="s">
        <v>50</v>
      </c>
      <c r="L42" s="36" t="s">
        <v>50</v>
      </c>
      <c r="M42" s="36" t="s">
        <v>50</v>
      </c>
    </row>
    <row r="43" spans="1:13" ht="14" customHeight="1">
      <c r="A43" s="25" t="s">
        <v>162</v>
      </c>
      <c r="B43" s="32"/>
      <c r="C43" s="33"/>
      <c r="D43" s="43" t="s">
        <v>152</v>
      </c>
      <c r="E43" s="35" t="s">
        <v>50</v>
      </c>
      <c r="F43" s="35" t="s">
        <v>50</v>
      </c>
      <c r="G43" s="35" t="s">
        <v>50</v>
      </c>
      <c r="H43" s="35" t="s">
        <v>50</v>
      </c>
      <c r="I43" s="35" t="s">
        <v>50</v>
      </c>
      <c r="J43" s="35" t="s">
        <v>50</v>
      </c>
      <c r="K43" s="30" t="s">
        <v>50</v>
      </c>
      <c r="L43" s="36" t="s">
        <v>50</v>
      </c>
      <c r="M43" s="36" t="s">
        <v>50</v>
      </c>
    </row>
    <row r="44" spans="1:13" ht="14" customHeight="1">
      <c r="A44" s="25" t="s">
        <v>163</v>
      </c>
      <c r="B44" s="26" t="s">
        <v>59</v>
      </c>
      <c r="C44" s="27" t="s">
        <v>60</v>
      </c>
      <c r="D44" s="28" t="s">
        <v>150</v>
      </c>
      <c r="E44" s="44" t="s">
        <v>50</v>
      </c>
      <c r="F44" s="44" t="s">
        <v>50</v>
      </c>
      <c r="G44" s="44" t="s">
        <v>50</v>
      </c>
      <c r="H44" s="44" t="s">
        <v>50</v>
      </c>
      <c r="I44" s="44" t="s">
        <v>50</v>
      </c>
      <c r="J44" s="44" t="s">
        <v>50</v>
      </c>
      <c r="K44" s="45" t="s">
        <v>50</v>
      </c>
      <c r="L44" s="46" t="s">
        <v>50</v>
      </c>
      <c r="M44" s="46" t="s">
        <v>50</v>
      </c>
    </row>
    <row r="45" spans="1:13" ht="14" customHeight="1">
      <c r="A45" s="25" t="s">
        <v>164</v>
      </c>
      <c r="B45" s="26"/>
      <c r="C45" s="27"/>
      <c r="D45" s="42" t="s">
        <v>152</v>
      </c>
      <c r="E45" s="44" t="s">
        <v>50</v>
      </c>
      <c r="F45" s="44" t="s">
        <v>50</v>
      </c>
      <c r="G45" s="44" t="s">
        <v>50</v>
      </c>
      <c r="H45" s="44" t="s">
        <v>50</v>
      </c>
      <c r="I45" s="44" t="s">
        <v>50</v>
      </c>
      <c r="J45" s="44" t="s">
        <v>50</v>
      </c>
      <c r="K45" s="45" t="s">
        <v>50</v>
      </c>
      <c r="L45" s="46" t="s">
        <v>50</v>
      </c>
      <c r="M45" s="46" t="s">
        <v>50</v>
      </c>
    </row>
    <row r="46" spans="1:13" ht="14" customHeight="1">
      <c r="A46" s="25" t="s">
        <v>165</v>
      </c>
      <c r="B46" s="32" t="s">
        <v>63</v>
      </c>
      <c r="C46" s="33" t="s">
        <v>35</v>
      </c>
      <c r="D46" s="34" t="s">
        <v>150</v>
      </c>
      <c r="E46" s="35" t="s">
        <v>50</v>
      </c>
      <c r="F46" s="35" t="s">
        <v>50</v>
      </c>
      <c r="G46" s="35" t="s">
        <v>50</v>
      </c>
      <c r="H46" s="35" t="s">
        <v>50</v>
      </c>
      <c r="I46" s="35" t="s">
        <v>50</v>
      </c>
      <c r="J46" s="35" t="s">
        <v>50</v>
      </c>
      <c r="K46" s="30" t="s">
        <v>50</v>
      </c>
      <c r="L46" s="36" t="s">
        <v>50</v>
      </c>
      <c r="M46" s="36" t="s">
        <v>50</v>
      </c>
    </row>
    <row r="47" spans="1:13" ht="14" customHeight="1">
      <c r="A47" s="25" t="s">
        <v>166</v>
      </c>
      <c r="B47" s="32"/>
      <c r="C47" s="33"/>
      <c r="D47" s="43" t="s">
        <v>152</v>
      </c>
      <c r="E47" s="35" t="s">
        <v>50</v>
      </c>
      <c r="F47" s="35" t="s">
        <v>50</v>
      </c>
      <c r="G47" s="35" t="s">
        <v>50</v>
      </c>
      <c r="H47" s="35" t="s">
        <v>50</v>
      </c>
      <c r="I47" s="35" t="s">
        <v>50</v>
      </c>
      <c r="J47" s="35" t="s">
        <v>50</v>
      </c>
      <c r="K47" s="30" t="s">
        <v>50</v>
      </c>
      <c r="L47" s="36" t="s">
        <v>50</v>
      </c>
      <c r="M47" s="36" t="s">
        <v>50</v>
      </c>
    </row>
    <row r="48" spans="1:13" ht="14" customHeight="1">
      <c r="A48" s="25" t="s">
        <v>167</v>
      </c>
      <c r="B48" s="26" t="s">
        <v>44</v>
      </c>
      <c r="C48" s="27" t="s">
        <v>35</v>
      </c>
      <c r="D48" s="28" t="s">
        <v>150</v>
      </c>
      <c r="E48" s="40" t="s">
        <v>50</v>
      </c>
      <c r="F48" s="40" t="s">
        <v>50</v>
      </c>
      <c r="G48" s="40" t="s">
        <v>50</v>
      </c>
      <c r="H48" s="40" t="s">
        <v>50</v>
      </c>
      <c r="I48" s="40" t="s">
        <v>50</v>
      </c>
      <c r="J48" s="40" t="s">
        <v>50</v>
      </c>
      <c r="K48" s="38" t="s">
        <v>50</v>
      </c>
      <c r="L48" s="41" t="s">
        <v>50</v>
      </c>
      <c r="M48" s="41" t="s">
        <v>50</v>
      </c>
    </row>
    <row r="49" spans="1:13" ht="14" customHeight="1">
      <c r="A49" s="25" t="s">
        <v>168</v>
      </c>
      <c r="B49" s="26"/>
      <c r="C49" s="27"/>
      <c r="D49" s="42" t="s">
        <v>152</v>
      </c>
      <c r="E49" s="40" t="s">
        <v>50</v>
      </c>
      <c r="F49" s="40" t="s">
        <v>50</v>
      </c>
      <c r="G49" s="40" t="s">
        <v>50</v>
      </c>
      <c r="H49" s="40" t="s">
        <v>50</v>
      </c>
      <c r="I49" s="40" t="s">
        <v>50</v>
      </c>
      <c r="J49" s="40" t="s">
        <v>50</v>
      </c>
      <c r="K49" s="38" t="s">
        <v>50</v>
      </c>
      <c r="L49" s="41" t="s">
        <v>50</v>
      </c>
      <c r="M49" s="41" t="s">
        <v>50</v>
      </c>
    </row>
    <row r="50" spans="1:13" ht="14" customHeight="1">
      <c r="A50" s="25" t="s">
        <v>169</v>
      </c>
      <c r="B50" s="32" t="s">
        <v>45</v>
      </c>
      <c r="C50" s="33" t="s">
        <v>35</v>
      </c>
      <c r="D50" s="34" t="s">
        <v>150</v>
      </c>
      <c r="E50" s="37" t="s">
        <v>50</v>
      </c>
      <c r="F50" s="37" t="s">
        <v>50</v>
      </c>
      <c r="G50" s="37" t="s">
        <v>50</v>
      </c>
      <c r="H50" s="37" t="s">
        <v>50</v>
      </c>
      <c r="I50" s="37" t="s">
        <v>50</v>
      </c>
      <c r="J50" s="37" t="s">
        <v>50</v>
      </c>
      <c r="K50" s="38" t="s">
        <v>50</v>
      </c>
      <c r="L50" s="39" t="s">
        <v>50</v>
      </c>
      <c r="M50" s="39" t="s">
        <v>50</v>
      </c>
    </row>
    <row r="51" spans="1:13" ht="14" customHeight="1">
      <c r="A51" s="25" t="s">
        <v>170</v>
      </c>
      <c r="B51" s="32"/>
      <c r="C51" s="33"/>
      <c r="D51" s="43" t="s">
        <v>152</v>
      </c>
      <c r="E51" s="37" t="s">
        <v>50</v>
      </c>
      <c r="F51" s="37" t="s">
        <v>50</v>
      </c>
      <c r="G51" s="37" t="s">
        <v>50</v>
      </c>
      <c r="H51" s="37" t="s">
        <v>50</v>
      </c>
      <c r="I51" s="37" t="s">
        <v>50</v>
      </c>
      <c r="J51" s="37" t="s">
        <v>50</v>
      </c>
      <c r="K51" s="38" t="s">
        <v>50</v>
      </c>
      <c r="L51" s="39" t="s">
        <v>50</v>
      </c>
      <c r="M51" s="39" t="s">
        <v>50</v>
      </c>
    </row>
    <row r="52" spans="1:13" ht="14" customHeight="1">
      <c r="A52" s="25" t="s">
        <v>171</v>
      </c>
      <c r="B52" s="26" t="s">
        <v>46</v>
      </c>
      <c r="C52" s="27" t="s">
        <v>35</v>
      </c>
      <c r="D52" s="28" t="s">
        <v>150</v>
      </c>
      <c r="E52" s="40" t="s">
        <v>50</v>
      </c>
      <c r="F52" s="40" t="s">
        <v>50</v>
      </c>
      <c r="G52" s="40" t="s">
        <v>50</v>
      </c>
      <c r="H52" s="40" t="s">
        <v>50</v>
      </c>
      <c r="I52" s="40" t="s">
        <v>50</v>
      </c>
      <c r="J52" s="40" t="s">
        <v>50</v>
      </c>
      <c r="K52" s="38" t="s">
        <v>50</v>
      </c>
      <c r="L52" s="41" t="s">
        <v>50</v>
      </c>
      <c r="M52" s="41" t="s">
        <v>50</v>
      </c>
    </row>
    <row r="53" spans="1:13" ht="14" customHeight="1">
      <c r="A53" s="25" t="s">
        <v>172</v>
      </c>
      <c r="B53" s="26"/>
      <c r="C53" s="27"/>
      <c r="D53" s="42" t="s">
        <v>152</v>
      </c>
      <c r="E53" s="40" t="s">
        <v>50</v>
      </c>
      <c r="F53" s="40" t="s">
        <v>50</v>
      </c>
      <c r="G53" s="40" t="s">
        <v>50</v>
      </c>
      <c r="H53" s="40" t="s">
        <v>50</v>
      </c>
      <c r="I53" s="40" t="s">
        <v>50</v>
      </c>
      <c r="J53" s="40" t="s">
        <v>50</v>
      </c>
      <c r="K53" s="38" t="s">
        <v>50</v>
      </c>
      <c r="L53" s="41" t="s">
        <v>50</v>
      </c>
      <c r="M53" s="41" t="s">
        <v>50</v>
      </c>
    </row>
    <row r="54" spans="1:13" ht="16" customHeight="1">
      <c r="B54" s="47" t="s">
        <v>229</v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</sheetData>
  <sheetProtection sheet="1" objects="1" scenarios="1" formatColumns="0" formatRows="0"/>
  <mergeCells count="39">
    <mergeCell ref="D2:M2"/>
    <mergeCell ref="D3:M3"/>
    <mergeCell ref="B6:M6"/>
    <mergeCell ref="B8:M8"/>
    <mergeCell ref="C9:M9"/>
    <mergeCell ref="C10:M10"/>
    <mergeCell ref="C11:M11"/>
    <mergeCell ref="C12:M12"/>
    <mergeCell ref="C13:M13"/>
    <mergeCell ref="C14:M14"/>
    <mergeCell ref="C15:M15"/>
    <mergeCell ref="C16:M16"/>
    <mergeCell ref="B18:M18"/>
    <mergeCell ref="B20:M20"/>
    <mergeCell ref="B31:M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M54"/>
    <mergeCell ref="O13:O18"/>
  </mergeCells>
  <printOptions horizontalCentered="1"/>
  <pageMargins left="0.35" right="0.35" top="0.45" bottom="0.4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lNoite">
    <tabColor rgb="FFFFC000"/>
    <pageSetUpPr fitToPage="1"/>
  </sheetPr>
  <dimension ref="A1:S54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7.7109375" customWidth="1"/>
    <col min="17" max="19" width="16.7109375" hidden="1" customWidth="1"/>
  </cols>
  <sheetData>
    <row r="1" spans="2:19" ht="6" customHeight="1">
      <c r="Q1" t="s">
        <v>205</v>
      </c>
      <c r="R1" t="s">
        <v>206</v>
      </c>
      <c r="S1" t="s">
        <v>207</v>
      </c>
    </row>
    <row r="2" spans="2:19" ht="26" customHeight="1">
      <c r="B2" s="1"/>
      <c r="C2" s="1"/>
      <c r="D2" s="2" t="s">
        <v>208</v>
      </c>
      <c r="E2" s="2"/>
      <c r="F2" s="2"/>
      <c r="G2" s="2"/>
      <c r="H2" s="2"/>
      <c r="I2" s="2"/>
      <c r="J2" s="2"/>
      <c r="K2" s="2"/>
      <c r="L2" s="2"/>
      <c r="M2" s="2"/>
      <c r="Q2" s="19"/>
      <c r="R2" s="19"/>
      <c r="S2" s="19"/>
    </row>
    <row r="3" spans="2:19" ht="20" customHeight="1">
      <c r="B3" s="1"/>
      <c r="C3" s="1"/>
      <c r="D3" s="3" t="s">
        <v>231</v>
      </c>
      <c r="E3" s="3"/>
      <c r="F3" s="3"/>
      <c r="G3" s="3"/>
      <c r="H3" s="3"/>
      <c r="I3" s="3"/>
      <c r="J3" s="3"/>
      <c r="K3" s="3"/>
      <c r="L3" s="3"/>
      <c r="M3" s="3"/>
    </row>
    <row r="4" spans="2:19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2:19" ht="6" customHeight="1"/>
    <row r="6" spans="2:19" ht="22" customHeight="1">
      <c r="B6" s="20" t="s">
        <v>210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2:19" ht="6" customHeight="1"/>
    <row r="8" spans="2:19" ht="22" customHeight="1">
      <c r="B8" s="5" t="s">
        <v>211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2:19" ht="18" customHeight="1">
      <c r="B9" s="21" t="s">
        <v>212</v>
      </c>
      <c r="C9" s="22" t="s">
        <v>50</v>
      </c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2:19" ht="18" customHeight="1">
      <c r="B10" s="21" t="s">
        <v>213</v>
      </c>
      <c r="C10" s="22" t="s">
        <v>50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2:19" ht="18" customHeight="1">
      <c r="B11" s="21" t="s">
        <v>214</v>
      </c>
      <c r="C11" s="22" t="s">
        <v>50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2:19" ht="18" customHeight="1">
      <c r="B12" s="21" t="s">
        <v>215</v>
      </c>
      <c r="C12" s="22" t="s">
        <v>50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2:19" ht="18" customHeight="1">
      <c r="B13" s="21" t="s">
        <v>216</v>
      </c>
      <c r="C13" s="22" t="s">
        <v>50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O13" s="23" t="s">
        <v>238</v>
      </c>
    </row>
    <row r="14" spans="2:19" ht="18" customHeight="1">
      <c r="B14" s="21" t="s">
        <v>217</v>
      </c>
      <c r="C14" s="22" t="s">
        <v>50</v>
      </c>
      <c r="D14" s="22"/>
      <c r="E14" s="22"/>
      <c r="F14" s="22"/>
      <c r="G14" s="22"/>
      <c r="H14" s="22"/>
      <c r="I14" s="22"/>
      <c r="J14" s="22"/>
      <c r="K14" s="22"/>
      <c r="L14" s="22"/>
      <c r="M14" s="22"/>
      <c r="O14" s="23"/>
    </row>
    <row r="15" spans="2:19" ht="18" customHeight="1">
      <c r="B15" s="21" t="s">
        <v>218</v>
      </c>
      <c r="C15" s="22" t="s">
        <v>50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O15" s="23"/>
    </row>
    <row r="16" spans="2:19" ht="18" customHeight="1">
      <c r="B16" s="21" t="s">
        <v>203</v>
      </c>
      <c r="C16" s="22" t="s">
        <v>50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O16" s="23"/>
    </row>
    <row r="17" spans="1:15" ht="8" customHeight="1">
      <c r="O17" s="23"/>
    </row>
    <row r="18" spans="1:15" ht="22" customHeight="1">
      <c r="B18" s="5" t="s">
        <v>219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O18" s="23"/>
    </row>
    <row r="19" spans="1:15" ht="26" customHeight="1">
      <c r="B19" s="24" t="s">
        <v>220</v>
      </c>
      <c r="C19" s="24" t="s">
        <v>221</v>
      </c>
      <c r="D19" s="24" t="s">
        <v>131</v>
      </c>
      <c r="E19" s="24" t="s">
        <v>232</v>
      </c>
      <c r="F19" s="24" t="s">
        <v>233</v>
      </c>
      <c r="G19" s="24" t="s">
        <v>234</v>
      </c>
      <c r="H19" s="24" t="s">
        <v>235</v>
      </c>
      <c r="I19" s="24" t="s">
        <v>236</v>
      </c>
      <c r="J19" s="24" t="s">
        <v>237</v>
      </c>
      <c r="K19" s="24" t="s">
        <v>228</v>
      </c>
      <c r="L19" s="24" t="s">
        <v>134</v>
      </c>
      <c r="M19" s="24" t="s">
        <v>135</v>
      </c>
    </row>
    <row r="20" spans="1:15">
      <c r="A20" s="25" t="s">
        <v>136</v>
      </c>
      <c r="B20" s="13" t="s">
        <v>33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5" ht="14" customHeight="1">
      <c r="A21" s="25" t="s">
        <v>137</v>
      </c>
      <c r="B21" s="26" t="s">
        <v>34</v>
      </c>
      <c r="C21" s="27" t="s">
        <v>35</v>
      </c>
      <c r="D21" s="28" t="s">
        <v>138</v>
      </c>
      <c r="E21" s="29" t="s">
        <v>50</v>
      </c>
      <c r="F21" s="29" t="s">
        <v>50</v>
      </c>
      <c r="G21" s="29" t="s">
        <v>50</v>
      </c>
      <c r="H21" s="29" t="s">
        <v>50</v>
      </c>
      <c r="I21" s="29" t="s">
        <v>50</v>
      </c>
      <c r="J21" s="29" t="s">
        <v>50</v>
      </c>
      <c r="K21" s="30" t="s">
        <v>50</v>
      </c>
      <c r="L21" s="31" t="s">
        <v>50</v>
      </c>
      <c r="M21" s="31" t="s">
        <v>50</v>
      </c>
    </row>
    <row r="22" spans="1:15" ht="14" customHeight="1">
      <c r="A22" s="25" t="s">
        <v>139</v>
      </c>
      <c r="B22" s="32" t="s">
        <v>38</v>
      </c>
      <c r="C22" s="33" t="s">
        <v>35</v>
      </c>
      <c r="D22" s="34" t="s">
        <v>138</v>
      </c>
      <c r="E22" s="35" t="s">
        <v>50</v>
      </c>
      <c r="F22" s="35" t="s">
        <v>50</v>
      </c>
      <c r="G22" s="35" t="s">
        <v>50</v>
      </c>
      <c r="H22" s="35" t="s">
        <v>50</v>
      </c>
      <c r="I22" s="35" t="s">
        <v>50</v>
      </c>
      <c r="J22" s="35" t="s">
        <v>50</v>
      </c>
      <c r="K22" s="30" t="s">
        <v>50</v>
      </c>
      <c r="L22" s="36" t="s">
        <v>50</v>
      </c>
      <c r="M22" s="36" t="s">
        <v>50</v>
      </c>
    </row>
    <row r="23" spans="1:15" ht="14" customHeight="1">
      <c r="A23" s="25" t="s">
        <v>140</v>
      </c>
      <c r="B23" s="26" t="s">
        <v>40</v>
      </c>
      <c r="C23" s="27" t="s">
        <v>35</v>
      </c>
      <c r="D23" s="28" t="s">
        <v>138</v>
      </c>
      <c r="E23" s="29" t="s">
        <v>50</v>
      </c>
      <c r="F23" s="29" t="s">
        <v>50</v>
      </c>
      <c r="G23" s="29" t="s">
        <v>50</v>
      </c>
      <c r="H23" s="29" t="s">
        <v>50</v>
      </c>
      <c r="I23" s="29" t="s">
        <v>50</v>
      </c>
      <c r="J23" s="29" t="s">
        <v>50</v>
      </c>
      <c r="K23" s="30" t="s">
        <v>50</v>
      </c>
      <c r="L23" s="31" t="s">
        <v>50</v>
      </c>
      <c r="M23" s="31" t="s">
        <v>50</v>
      </c>
    </row>
    <row r="24" spans="1:15" ht="14" customHeight="1">
      <c r="A24" s="25" t="s">
        <v>141</v>
      </c>
      <c r="B24" s="32" t="s">
        <v>41</v>
      </c>
      <c r="C24" s="33" t="s">
        <v>35</v>
      </c>
      <c r="D24" s="34" t="s">
        <v>138</v>
      </c>
      <c r="E24" s="35" t="s">
        <v>50</v>
      </c>
      <c r="F24" s="35" t="s">
        <v>50</v>
      </c>
      <c r="G24" s="35" t="s">
        <v>50</v>
      </c>
      <c r="H24" s="35" t="s">
        <v>50</v>
      </c>
      <c r="I24" s="35" t="s">
        <v>50</v>
      </c>
      <c r="J24" s="35" t="s">
        <v>50</v>
      </c>
      <c r="K24" s="30" t="s">
        <v>50</v>
      </c>
      <c r="L24" s="36" t="s">
        <v>50</v>
      </c>
      <c r="M24" s="36" t="s">
        <v>50</v>
      </c>
    </row>
    <row r="25" spans="1:15" ht="14" customHeight="1">
      <c r="A25" s="25" t="s">
        <v>142</v>
      </c>
      <c r="B25" s="26" t="s">
        <v>43</v>
      </c>
      <c r="C25" s="27" t="s">
        <v>35</v>
      </c>
      <c r="D25" s="28" t="s">
        <v>138</v>
      </c>
      <c r="E25" s="29" t="s">
        <v>50</v>
      </c>
      <c r="F25" s="29" t="s">
        <v>50</v>
      </c>
      <c r="G25" s="29" t="s">
        <v>50</v>
      </c>
      <c r="H25" s="29" t="s">
        <v>50</v>
      </c>
      <c r="I25" s="29" t="s">
        <v>50</v>
      </c>
      <c r="J25" s="29" t="s">
        <v>50</v>
      </c>
      <c r="K25" s="30" t="s">
        <v>50</v>
      </c>
      <c r="L25" s="31" t="s">
        <v>50</v>
      </c>
      <c r="M25" s="31" t="s">
        <v>50</v>
      </c>
    </row>
    <row r="26" spans="1:15" ht="14" customHeight="1">
      <c r="A26" s="25" t="s">
        <v>143</v>
      </c>
      <c r="B26" s="32" t="s">
        <v>44</v>
      </c>
      <c r="C26" s="33" t="s">
        <v>35</v>
      </c>
      <c r="D26" s="34" t="s">
        <v>138</v>
      </c>
      <c r="E26" s="37" t="s">
        <v>50</v>
      </c>
      <c r="F26" s="37" t="s">
        <v>50</v>
      </c>
      <c r="G26" s="37" t="s">
        <v>50</v>
      </c>
      <c r="H26" s="37" t="s">
        <v>50</v>
      </c>
      <c r="I26" s="37" t="s">
        <v>50</v>
      </c>
      <c r="J26" s="37" t="s">
        <v>50</v>
      </c>
      <c r="K26" s="38" t="s">
        <v>50</v>
      </c>
      <c r="L26" s="39" t="s">
        <v>50</v>
      </c>
      <c r="M26" s="39" t="s">
        <v>50</v>
      </c>
    </row>
    <row r="27" spans="1:15" ht="14" customHeight="1">
      <c r="A27" s="25" t="s">
        <v>144</v>
      </c>
      <c r="B27" s="26" t="s">
        <v>45</v>
      </c>
      <c r="C27" s="27" t="s">
        <v>35</v>
      </c>
      <c r="D27" s="28" t="s">
        <v>138</v>
      </c>
      <c r="E27" s="40" t="s">
        <v>50</v>
      </c>
      <c r="F27" s="40" t="s">
        <v>50</v>
      </c>
      <c r="G27" s="40" t="s">
        <v>50</v>
      </c>
      <c r="H27" s="40" t="s">
        <v>50</v>
      </c>
      <c r="I27" s="40" t="s">
        <v>50</v>
      </c>
      <c r="J27" s="40" t="s">
        <v>50</v>
      </c>
      <c r="K27" s="38" t="s">
        <v>50</v>
      </c>
      <c r="L27" s="41" t="s">
        <v>50</v>
      </c>
      <c r="M27" s="41" t="s">
        <v>50</v>
      </c>
    </row>
    <row r="28" spans="1:15" ht="14" customHeight="1">
      <c r="A28" s="25" t="s">
        <v>145</v>
      </c>
      <c r="B28" s="32" t="s">
        <v>46</v>
      </c>
      <c r="C28" s="33" t="s">
        <v>35</v>
      </c>
      <c r="D28" s="34" t="s">
        <v>138</v>
      </c>
      <c r="E28" s="37" t="s">
        <v>50</v>
      </c>
      <c r="F28" s="37" t="s">
        <v>50</v>
      </c>
      <c r="G28" s="37" t="s">
        <v>50</v>
      </c>
      <c r="H28" s="37" t="s">
        <v>50</v>
      </c>
      <c r="I28" s="37" t="s">
        <v>50</v>
      </c>
      <c r="J28" s="37" t="s">
        <v>50</v>
      </c>
      <c r="K28" s="38" t="s">
        <v>50</v>
      </c>
      <c r="L28" s="39" t="s">
        <v>50</v>
      </c>
      <c r="M28" s="39" t="s">
        <v>50</v>
      </c>
    </row>
    <row r="29" spans="1:15" ht="14" customHeight="1">
      <c r="A29" s="25" t="s">
        <v>146</v>
      </c>
      <c r="B29" s="26" t="s">
        <v>47</v>
      </c>
      <c r="C29" s="27" t="s">
        <v>35</v>
      </c>
      <c r="D29" s="28" t="s">
        <v>138</v>
      </c>
      <c r="E29" s="29" t="s">
        <v>50</v>
      </c>
      <c r="F29" s="29" t="s">
        <v>50</v>
      </c>
      <c r="G29" s="29" t="s">
        <v>50</v>
      </c>
      <c r="H29" s="29" t="s">
        <v>50</v>
      </c>
      <c r="I29" s="29" t="s">
        <v>50</v>
      </c>
      <c r="J29" s="29" t="s">
        <v>50</v>
      </c>
      <c r="K29" s="30" t="s">
        <v>50</v>
      </c>
      <c r="L29" s="31" t="s">
        <v>50</v>
      </c>
      <c r="M29" s="31" t="s">
        <v>50</v>
      </c>
    </row>
    <row r="30" spans="1:15" ht="14" customHeight="1">
      <c r="A30" s="25" t="s">
        <v>147</v>
      </c>
      <c r="B30" s="32" t="s">
        <v>49</v>
      </c>
      <c r="C30" s="33" t="s">
        <v>50</v>
      </c>
      <c r="D30" s="34" t="s">
        <v>138</v>
      </c>
      <c r="E30" s="35" t="s">
        <v>50</v>
      </c>
      <c r="F30" s="35" t="s">
        <v>50</v>
      </c>
      <c r="G30" s="35" t="s">
        <v>50</v>
      </c>
      <c r="H30" s="35" t="s">
        <v>50</v>
      </c>
      <c r="I30" s="35" t="s">
        <v>50</v>
      </c>
      <c r="J30" s="35" t="s">
        <v>50</v>
      </c>
      <c r="K30" s="30" t="s">
        <v>50</v>
      </c>
      <c r="L30" s="36" t="s">
        <v>50</v>
      </c>
      <c r="M30" s="36" t="s">
        <v>50</v>
      </c>
    </row>
    <row r="31" spans="1:15">
      <c r="A31" s="25" t="s">
        <v>148</v>
      </c>
      <c r="B31" s="13" t="s">
        <v>51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5" ht="14" customHeight="1">
      <c r="A32" s="25" t="s">
        <v>149</v>
      </c>
      <c r="B32" s="26" t="s">
        <v>34</v>
      </c>
      <c r="C32" s="27" t="s">
        <v>35</v>
      </c>
      <c r="D32" s="28" t="s">
        <v>150</v>
      </c>
      <c r="E32" s="29" t="s">
        <v>50</v>
      </c>
      <c r="F32" s="29" t="s">
        <v>50</v>
      </c>
      <c r="G32" s="29" t="s">
        <v>50</v>
      </c>
      <c r="H32" s="29" t="s">
        <v>50</v>
      </c>
      <c r="I32" s="29" t="s">
        <v>50</v>
      </c>
      <c r="J32" s="29" t="s">
        <v>50</v>
      </c>
      <c r="K32" s="30" t="s">
        <v>50</v>
      </c>
      <c r="L32" s="31" t="s">
        <v>50</v>
      </c>
      <c r="M32" s="31" t="s">
        <v>50</v>
      </c>
    </row>
    <row r="33" spans="1:13" ht="14" customHeight="1">
      <c r="A33" s="25" t="s">
        <v>151</v>
      </c>
      <c r="B33" s="26"/>
      <c r="C33" s="27"/>
      <c r="D33" s="42" t="s">
        <v>152</v>
      </c>
      <c r="E33" s="29" t="s">
        <v>50</v>
      </c>
      <c r="F33" s="29" t="s">
        <v>50</v>
      </c>
      <c r="G33" s="29" t="s">
        <v>50</v>
      </c>
      <c r="H33" s="29" t="s">
        <v>50</v>
      </c>
      <c r="I33" s="29" t="s">
        <v>50</v>
      </c>
      <c r="J33" s="29" t="s">
        <v>50</v>
      </c>
      <c r="K33" s="30" t="s">
        <v>50</v>
      </c>
      <c r="L33" s="31" t="s">
        <v>50</v>
      </c>
      <c r="M33" s="31" t="s">
        <v>50</v>
      </c>
    </row>
    <row r="34" spans="1:13" ht="14" customHeight="1">
      <c r="A34" s="25" t="s">
        <v>153</v>
      </c>
      <c r="B34" s="32" t="s">
        <v>38</v>
      </c>
      <c r="C34" s="33" t="s">
        <v>35</v>
      </c>
      <c r="D34" s="34" t="s">
        <v>150</v>
      </c>
      <c r="E34" s="35" t="s">
        <v>50</v>
      </c>
      <c r="F34" s="35" t="s">
        <v>50</v>
      </c>
      <c r="G34" s="35" t="s">
        <v>50</v>
      </c>
      <c r="H34" s="35" t="s">
        <v>50</v>
      </c>
      <c r="I34" s="35" t="s">
        <v>50</v>
      </c>
      <c r="J34" s="35" t="s">
        <v>50</v>
      </c>
      <c r="K34" s="30" t="s">
        <v>50</v>
      </c>
      <c r="L34" s="36" t="s">
        <v>50</v>
      </c>
      <c r="M34" s="36" t="s">
        <v>50</v>
      </c>
    </row>
    <row r="35" spans="1:13" ht="14" customHeight="1">
      <c r="A35" s="25" t="s">
        <v>154</v>
      </c>
      <c r="B35" s="32"/>
      <c r="C35" s="33"/>
      <c r="D35" s="43" t="s">
        <v>152</v>
      </c>
      <c r="E35" s="35" t="s">
        <v>50</v>
      </c>
      <c r="F35" s="35" t="s">
        <v>50</v>
      </c>
      <c r="G35" s="35" t="s">
        <v>50</v>
      </c>
      <c r="H35" s="35" t="s">
        <v>50</v>
      </c>
      <c r="I35" s="35" t="s">
        <v>50</v>
      </c>
      <c r="J35" s="35" t="s">
        <v>50</v>
      </c>
      <c r="K35" s="30" t="s">
        <v>50</v>
      </c>
      <c r="L35" s="36" t="s">
        <v>50</v>
      </c>
      <c r="M35" s="36" t="s">
        <v>50</v>
      </c>
    </row>
    <row r="36" spans="1:13" ht="14" customHeight="1">
      <c r="A36" s="25" t="s">
        <v>155</v>
      </c>
      <c r="B36" s="26" t="s">
        <v>40</v>
      </c>
      <c r="C36" s="27" t="s">
        <v>35</v>
      </c>
      <c r="D36" s="28" t="s">
        <v>150</v>
      </c>
      <c r="E36" s="29" t="s">
        <v>50</v>
      </c>
      <c r="F36" s="29" t="s">
        <v>50</v>
      </c>
      <c r="G36" s="29" t="s">
        <v>50</v>
      </c>
      <c r="H36" s="29" t="s">
        <v>50</v>
      </c>
      <c r="I36" s="29" t="s">
        <v>50</v>
      </c>
      <c r="J36" s="29" t="s">
        <v>50</v>
      </c>
      <c r="K36" s="30" t="s">
        <v>50</v>
      </c>
      <c r="L36" s="31" t="s">
        <v>50</v>
      </c>
      <c r="M36" s="31" t="s">
        <v>50</v>
      </c>
    </row>
    <row r="37" spans="1:13" ht="14" customHeight="1">
      <c r="A37" s="25" t="s">
        <v>156</v>
      </c>
      <c r="B37" s="26"/>
      <c r="C37" s="27"/>
      <c r="D37" s="42" t="s">
        <v>152</v>
      </c>
      <c r="E37" s="29" t="s">
        <v>50</v>
      </c>
      <c r="F37" s="29" t="s">
        <v>50</v>
      </c>
      <c r="G37" s="29" t="s">
        <v>50</v>
      </c>
      <c r="H37" s="29" t="s">
        <v>50</v>
      </c>
      <c r="I37" s="29" t="s">
        <v>50</v>
      </c>
      <c r="J37" s="29" t="s">
        <v>50</v>
      </c>
      <c r="K37" s="30" t="s">
        <v>50</v>
      </c>
      <c r="L37" s="31" t="s">
        <v>50</v>
      </c>
      <c r="M37" s="31" t="s">
        <v>50</v>
      </c>
    </row>
    <row r="38" spans="1:13" ht="14" customHeight="1">
      <c r="A38" s="25" t="s">
        <v>157</v>
      </c>
      <c r="B38" s="32" t="s">
        <v>41</v>
      </c>
      <c r="C38" s="33" t="s">
        <v>35</v>
      </c>
      <c r="D38" s="34" t="s">
        <v>150</v>
      </c>
      <c r="E38" s="35" t="s">
        <v>50</v>
      </c>
      <c r="F38" s="35" t="s">
        <v>50</v>
      </c>
      <c r="G38" s="35" t="s">
        <v>50</v>
      </c>
      <c r="H38" s="35" t="s">
        <v>50</v>
      </c>
      <c r="I38" s="35" t="s">
        <v>50</v>
      </c>
      <c r="J38" s="35" t="s">
        <v>50</v>
      </c>
      <c r="K38" s="30" t="s">
        <v>50</v>
      </c>
      <c r="L38" s="36" t="s">
        <v>50</v>
      </c>
      <c r="M38" s="36" t="s">
        <v>50</v>
      </c>
    </row>
    <row r="39" spans="1:13" ht="14" customHeight="1">
      <c r="A39" s="25" t="s">
        <v>158</v>
      </c>
      <c r="B39" s="32"/>
      <c r="C39" s="33"/>
      <c r="D39" s="43" t="s">
        <v>152</v>
      </c>
      <c r="E39" s="35" t="s">
        <v>50</v>
      </c>
      <c r="F39" s="35" t="s">
        <v>50</v>
      </c>
      <c r="G39" s="35" t="s">
        <v>50</v>
      </c>
      <c r="H39" s="35" t="s">
        <v>50</v>
      </c>
      <c r="I39" s="35" t="s">
        <v>50</v>
      </c>
      <c r="J39" s="35" t="s">
        <v>50</v>
      </c>
      <c r="K39" s="30" t="s">
        <v>50</v>
      </c>
      <c r="L39" s="36" t="s">
        <v>50</v>
      </c>
      <c r="M39" s="36" t="s">
        <v>50</v>
      </c>
    </row>
    <row r="40" spans="1:13" ht="14" customHeight="1">
      <c r="A40" s="25" t="s">
        <v>159</v>
      </c>
      <c r="B40" s="26" t="s">
        <v>43</v>
      </c>
      <c r="C40" s="27" t="s">
        <v>35</v>
      </c>
      <c r="D40" s="28" t="s">
        <v>150</v>
      </c>
      <c r="E40" s="29" t="s">
        <v>50</v>
      </c>
      <c r="F40" s="29" t="s">
        <v>50</v>
      </c>
      <c r="G40" s="29" t="s">
        <v>50</v>
      </c>
      <c r="H40" s="29" t="s">
        <v>50</v>
      </c>
      <c r="I40" s="29" t="s">
        <v>50</v>
      </c>
      <c r="J40" s="29" t="s">
        <v>50</v>
      </c>
      <c r="K40" s="30" t="s">
        <v>50</v>
      </c>
      <c r="L40" s="31" t="s">
        <v>50</v>
      </c>
      <c r="M40" s="31" t="s">
        <v>50</v>
      </c>
    </row>
    <row r="41" spans="1:13" ht="14" customHeight="1">
      <c r="A41" s="25" t="s">
        <v>160</v>
      </c>
      <c r="B41" s="26"/>
      <c r="C41" s="27"/>
      <c r="D41" s="42" t="s">
        <v>152</v>
      </c>
      <c r="E41" s="29" t="s">
        <v>50</v>
      </c>
      <c r="F41" s="29" t="s">
        <v>50</v>
      </c>
      <c r="G41" s="29" t="s">
        <v>50</v>
      </c>
      <c r="H41" s="29" t="s">
        <v>50</v>
      </c>
      <c r="I41" s="29" t="s">
        <v>50</v>
      </c>
      <c r="J41" s="29" t="s">
        <v>50</v>
      </c>
      <c r="K41" s="30" t="s">
        <v>50</v>
      </c>
      <c r="L41" s="31" t="s">
        <v>50</v>
      </c>
      <c r="M41" s="31" t="s">
        <v>50</v>
      </c>
    </row>
    <row r="42" spans="1:13" ht="14" customHeight="1">
      <c r="A42" s="25" t="s">
        <v>161</v>
      </c>
      <c r="B42" s="32" t="s">
        <v>56</v>
      </c>
      <c r="C42" s="33" t="s">
        <v>50</v>
      </c>
      <c r="D42" s="34" t="s">
        <v>150</v>
      </c>
      <c r="E42" s="35" t="s">
        <v>50</v>
      </c>
      <c r="F42" s="35" t="s">
        <v>50</v>
      </c>
      <c r="G42" s="35" t="s">
        <v>50</v>
      </c>
      <c r="H42" s="35" t="s">
        <v>50</v>
      </c>
      <c r="I42" s="35" t="s">
        <v>50</v>
      </c>
      <c r="J42" s="35" t="s">
        <v>50</v>
      </c>
      <c r="K42" s="30" t="s">
        <v>50</v>
      </c>
      <c r="L42" s="36" t="s">
        <v>50</v>
      </c>
      <c r="M42" s="36" t="s">
        <v>50</v>
      </c>
    </row>
    <row r="43" spans="1:13" ht="14" customHeight="1">
      <c r="A43" s="25" t="s">
        <v>162</v>
      </c>
      <c r="B43" s="32"/>
      <c r="C43" s="33"/>
      <c r="D43" s="43" t="s">
        <v>152</v>
      </c>
      <c r="E43" s="35" t="s">
        <v>50</v>
      </c>
      <c r="F43" s="35" t="s">
        <v>50</v>
      </c>
      <c r="G43" s="35" t="s">
        <v>50</v>
      </c>
      <c r="H43" s="35" t="s">
        <v>50</v>
      </c>
      <c r="I43" s="35" t="s">
        <v>50</v>
      </c>
      <c r="J43" s="35" t="s">
        <v>50</v>
      </c>
      <c r="K43" s="30" t="s">
        <v>50</v>
      </c>
      <c r="L43" s="36" t="s">
        <v>50</v>
      </c>
      <c r="M43" s="36" t="s">
        <v>50</v>
      </c>
    </row>
    <row r="44" spans="1:13" ht="14" customHeight="1">
      <c r="A44" s="25" t="s">
        <v>163</v>
      </c>
      <c r="B44" s="26" t="s">
        <v>59</v>
      </c>
      <c r="C44" s="27" t="s">
        <v>60</v>
      </c>
      <c r="D44" s="28" t="s">
        <v>150</v>
      </c>
      <c r="E44" s="44" t="s">
        <v>50</v>
      </c>
      <c r="F44" s="44" t="s">
        <v>50</v>
      </c>
      <c r="G44" s="44" t="s">
        <v>50</v>
      </c>
      <c r="H44" s="44" t="s">
        <v>50</v>
      </c>
      <c r="I44" s="44" t="s">
        <v>50</v>
      </c>
      <c r="J44" s="44" t="s">
        <v>50</v>
      </c>
      <c r="K44" s="45" t="s">
        <v>50</v>
      </c>
      <c r="L44" s="46" t="s">
        <v>50</v>
      </c>
      <c r="M44" s="46" t="s">
        <v>50</v>
      </c>
    </row>
    <row r="45" spans="1:13" ht="14" customHeight="1">
      <c r="A45" s="25" t="s">
        <v>164</v>
      </c>
      <c r="B45" s="26"/>
      <c r="C45" s="27"/>
      <c r="D45" s="42" t="s">
        <v>152</v>
      </c>
      <c r="E45" s="44" t="s">
        <v>50</v>
      </c>
      <c r="F45" s="44" t="s">
        <v>50</v>
      </c>
      <c r="G45" s="44" t="s">
        <v>50</v>
      </c>
      <c r="H45" s="44" t="s">
        <v>50</v>
      </c>
      <c r="I45" s="44" t="s">
        <v>50</v>
      </c>
      <c r="J45" s="44" t="s">
        <v>50</v>
      </c>
      <c r="K45" s="45" t="s">
        <v>50</v>
      </c>
      <c r="L45" s="46" t="s">
        <v>50</v>
      </c>
      <c r="M45" s="46" t="s">
        <v>50</v>
      </c>
    </row>
    <row r="46" spans="1:13" ht="14" customHeight="1">
      <c r="A46" s="25" t="s">
        <v>165</v>
      </c>
      <c r="B46" s="32" t="s">
        <v>63</v>
      </c>
      <c r="C46" s="33" t="s">
        <v>35</v>
      </c>
      <c r="D46" s="34" t="s">
        <v>150</v>
      </c>
      <c r="E46" s="35" t="s">
        <v>50</v>
      </c>
      <c r="F46" s="35" t="s">
        <v>50</v>
      </c>
      <c r="G46" s="35" t="s">
        <v>50</v>
      </c>
      <c r="H46" s="35" t="s">
        <v>50</v>
      </c>
      <c r="I46" s="35" t="s">
        <v>50</v>
      </c>
      <c r="J46" s="35" t="s">
        <v>50</v>
      </c>
      <c r="K46" s="30" t="s">
        <v>50</v>
      </c>
      <c r="L46" s="36" t="s">
        <v>50</v>
      </c>
      <c r="M46" s="36" t="s">
        <v>50</v>
      </c>
    </row>
    <row r="47" spans="1:13" ht="14" customHeight="1">
      <c r="A47" s="25" t="s">
        <v>166</v>
      </c>
      <c r="B47" s="32"/>
      <c r="C47" s="33"/>
      <c r="D47" s="43" t="s">
        <v>152</v>
      </c>
      <c r="E47" s="35" t="s">
        <v>50</v>
      </c>
      <c r="F47" s="35" t="s">
        <v>50</v>
      </c>
      <c r="G47" s="35" t="s">
        <v>50</v>
      </c>
      <c r="H47" s="35" t="s">
        <v>50</v>
      </c>
      <c r="I47" s="35" t="s">
        <v>50</v>
      </c>
      <c r="J47" s="35" t="s">
        <v>50</v>
      </c>
      <c r="K47" s="30" t="s">
        <v>50</v>
      </c>
      <c r="L47" s="36" t="s">
        <v>50</v>
      </c>
      <c r="M47" s="36" t="s">
        <v>50</v>
      </c>
    </row>
    <row r="48" spans="1:13" ht="14" customHeight="1">
      <c r="A48" s="25" t="s">
        <v>167</v>
      </c>
      <c r="B48" s="26" t="s">
        <v>44</v>
      </c>
      <c r="C48" s="27" t="s">
        <v>35</v>
      </c>
      <c r="D48" s="28" t="s">
        <v>150</v>
      </c>
      <c r="E48" s="40" t="s">
        <v>50</v>
      </c>
      <c r="F48" s="40" t="s">
        <v>50</v>
      </c>
      <c r="G48" s="40" t="s">
        <v>50</v>
      </c>
      <c r="H48" s="40" t="s">
        <v>50</v>
      </c>
      <c r="I48" s="40" t="s">
        <v>50</v>
      </c>
      <c r="J48" s="40" t="s">
        <v>50</v>
      </c>
      <c r="K48" s="38" t="s">
        <v>50</v>
      </c>
      <c r="L48" s="41" t="s">
        <v>50</v>
      </c>
      <c r="M48" s="41" t="s">
        <v>50</v>
      </c>
    </row>
    <row r="49" spans="1:13" ht="14" customHeight="1">
      <c r="A49" s="25" t="s">
        <v>168</v>
      </c>
      <c r="B49" s="26"/>
      <c r="C49" s="27"/>
      <c r="D49" s="42" t="s">
        <v>152</v>
      </c>
      <c r="E49" s="40" t="s">
        <v>50</v>
      </c>
      <c r="F49" s="40" t="s">
        <v>50</v>
      </c>
      <c r="G49" s="40" t="s">
        <v>50</v>
      </c>
      <c r="H49" s="40" t="s">
        <v>50</v>
      </c>
      <c r="I49" s="40" t="s">
        <v>50</v>
      </c>
      <c r="J49" s="40" t="s">
        <v>50</v>
      </c>
      <c r="K49" s="38" t="s">
        <v>50</v>
      </c>
      <c r="L49" s="41" t="s">
        <v>50</v>
      </c>
      <c r="M49" s="41" t="s">
        <v>50</v>
      </c>
    </row>
    <row r="50" spans="1:13" ht="14" customHeight="1">
      <c r="A50" s="25" t="s">
        <v>169</v>
      </c>
      <c r="B50" s="32" t="s">
        <v>45</v>
      </c>
      <c r="C50" s="33" t="s">
        <v>35</v>
      </c>
      <c r="D50" s="34" t="s">
        <v>150</v>
      </c>
      <c r="E50" s="37" t="s">
        <v>50</v>
      </c>
      <c r="F50" s="37" t="s">
        <v>50</v>
      </c>
      <c r="G50" s="37" t="s">
        <v>50</v>
      </c>
      <c r="H50" s="37" t="s">
        <v>50</v>
      </c>
      <c r="I50" s="37" t="s">
        <v>50</v>
      </c>
      <c r="J50" s="37" t="s">
        <v>50</v>
      </c>
      <c r="K50" s="38" t="s">
        <v>50</v>
      </c>
      <c r="L50" s="39" t="s">
        <v>50</v>
      </c>
      <c r="M50" s="39" t="s">
        <v>50</v>
      </c>
    </row>
    <row r="51" spans="1:13" ht="14" customHeight="1">
      <c r="A51" s="25" t="s">
        <v>170</v>
      </c>
      <c r="B51" s="32"/>
      <c r="C51" s="33"/>
      <c r="D51" s="43" t="s">
        <v>152</v>
      </c>
      <c r="E51" s="37" t="s">
        <v>50</v>
      </c>
      <c r="F51" s="37" t="s">
        <v>50</v>
      </c>
      <c r="G51" s="37" t="s">
        <v>50</v>
      </c>
      <c r="H51" s="37" t="s">
        <v>50</v>
      </c>
      <c r="I51" s="37" t="s">
        <v>50</v>
      </c>
      <c r="J51" s="37" t="s">
        <v>50</v>
      </c>
      <c r="K51" s="38" t="s">
        <v>50</v>
      </c>
      <c r="L51" s="39" t="s">
        <v>50</v>
      </c>
      <c r="M51" s="39" t="s">
        <v>50</v>
      </c>
    </row>
    <row r="52" spans="1:13" ht="14" customHeight="1">
      <c r="A52" s="25" t="s">
        <v>171</v>
      </c>
      <c r="B52" s="26" t="s">
        <v>46</v>
      </c>
      <c r="C52" s="27" t="s">
        <v>35</v>
      </c>
      <c r="D52" s="28" t="s">
        <v>150</v>
      </c>
      <c r="E52" s="40" t="s">
        <v>50</v>
      </c>
      <c r="F52" s="40" t="s">
        <v>50</v>
      </c>
      <c r="G52" s="40" t="s">
        <v>50</v>
      </c>
      <c r="H52" s="40" t="s">
        <v>50</v>
      </c>
      <c r="I52" s="40" t="s">
        <v>50</v>
      </c>
      <c r="J52" s="40" t="s">
        <v>50</v>
      </c>
      <c r="K52" s="38" t="s">
        <v>50</v>
      </c>
      <c r="L52" s="41" t="s">
        <v>50</v>
      </c>
      <c r="M52" s="41" t="s">
        <v>50</v>
      </c>
    </row>
    <row r="53" spans="1:13" ht="14" customHeight="1">
      <c r="A53" s="25" t="s">
        <v>172</v>
      </c>
      <c r="B53" s="26"/>
      <c r="C53" s="27"/>
      <c r="D53" s="42" t="s">
        <v>152</v>
      </c>
      <c r="E53" s="40" t="s">
        <v>50</v>
      </c>
      <c r="F53" s="40" t="s">
        <v>50</v>
      </c>
      <c r="G53" s="40" t="s">
        <v>50</v>
      </c>
      <c r="H53" s="40" t="s">
        <v>50</v>
      </c>
      <c r="I53" s="40" t="s">
        <v>50</v>
      </c>
      <c r="J53" s="40" t="s">
        <v>50</v>
      </c>
      <c r="K53" s="38" t="s">
        <v>50</v>
      </c>
      <c r="L53" s="41" t="s">
        <v>50</v>
      </c>
      <c r="M53" s="41" t="s">
        <v>50</v>
      </c>
    </row>
    <row r="54" spans="1:13" ht="16" customHeight="1">
      <c r="B54" s="47" t="s">
        <v>229</v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</sheetData>
  <sheetProtection sheet="1" objects="1" scenarios="1" formatColumns="0" formatRows="0"/>
  <mergeCells count="39">
    <mergeCell ref="D2:M2"/>
    <mergeCell ref="D3:M3"/>
    <mergeCell ref="B6:M6"/>
    <mergeCell ref="B8:M8"/>
    <mergeCell ref="C9:M9"/>
    <mergeCell ref="C10:M10"/>
    <mergeCell ref="C11:M11"/>
    <mergeCell ref="C12:M12"/>
    <mergeCell ref="C13:M13"/>
    <mergeCell ref="C14:M14"/>
    <mergeCell ref="C15:M15"/>
    <mergeCell ref="C16:M16"/>
    <mergeCell ref="B18:M18"/>
    <mergeCell ref="B20:M20"/>
    <mergeCell ref="B31:M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M54"/>
    <mergeCell ref="O13:O18"/>
  </mergeCells>
  <printOptions horizontalCentered="1"/>
  <pageMargins left="0.35" right="0.35" top="0.45" bottom="0.4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Ocorrencia">
    <tabColor rgb="FFFDB913"/>
    <pageSetUpPr fitToPage="1"/>
  </sheetPr>
  <dimension ref="A1:M65"/>
  <sheetViews>
    <sheetView showGridLines="0" workbookViewId="0"/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27.7109375" customWidth="1"/>
  </cols>
  <sheetData>
    <row r="1" spans="2:13" ht="6" customHeight="1"/>
    <row r="2" spans="2:13" ht="26" customHeight="1">
      <c r="B2" s="1"/>
      <c r="C2" s="1"/>
      <c r="D2" s="1"/>
      <c r="E2" s="2" t="s">
        <v>174</v>
      </c>
      <c r="F2" s="2"/>
      <c r="G2" s="2"/>
      <c r="H2" s="2"/>
      <c r="I2" s="2"/>
      <c r="J2" s="2"/>
      <c r="K2" s="2"/>
    </row>
    <row r="3" spans="2:13" ht="20" customHeight="1">
      <c r="B3" s="1"/>
      <c r="C3" s="1"/>
      <c r="D3" s="1"/>
      <c r="E3" s="3" t="s">
        <v>175</v>
      </c>
      <c r="F3" s="3"/>
      <c r="G3" s="3"/>
      <c r="H3" s="3"/>
      <c r="I3" s="3"/>
      <c r="J3" s="3"/>
      <c r="K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6" customHeight="1"/>
    <row r="6" spans="2:13" ht="22" customHeight="1">
      <c r="B6" s="20">
        <f>IF(pData="","Selecione o turno no Painel",TEXT(DAY(pData),"00")&amp;"/"&amp;TEXT(MONTH(pData),"00")&amp;"/"&amp;YEAR(pData)&amp;"   ·   "&amp;pTurno&amp;"   ·   Letra "&amp;pTurma&amp;"   ·   "&amp;pResp)</f>
        <v>0</v>
      </c>
      <c r="C6" s="20"/>
      <c r="D6" s="20"/>
      <c r="E6" s="20"/>
      <c r="F6" s="20"/>
      <c r="G6" s="20"/>
      <c r="H6" s="20"/>
      <c r="I6" s="20"/>
      <c r="J6" s="20"/>
      <c r="K6" s="20"/>
    </row>
    <row r="8" spans="2:13" ht="22" customHeight="1">
      <c r="B8" s="5" t="s">
        <v>176</v>
      </c>
      <c r="C8" s="5"/>
      <c r="D8" s="5"/>
      <c r="E8" s="5"/>
      <c r="F8" s="5"/>
      <c r="G8" s="5"/>
      <c r="H8" s="48" t="s">
        <v>177</v>
      </c>
      <c r="I8" s="48"/>
      <c r="J8" s="48"/>
      <c r="K8" s="48"/>
    </row>
    <row r="9" spans="2:13" ht="19" customHeight="1">
      <c r="B9" s="49">
        <v>1</v>
      </c>
      <c r="C9" s="50"/>
      <c r="D9" s="50"/>
      <c r="E9" s="50"/>
      <c r="F9" s="50"/>
      <c r="G9" s="50"/>
      <c r="H9" s="50"/>
      <c r="I9" s="50"/>
      <c r="J9" s="50"/>
      <c r="K9" s="50"/>
    </row>
    <row r="10" spans="2:13" ht="19" customHeight="1">
      <c r="B10" s="49">
        <v>2</v>
      </c>
      <c r="C10" s="50"/>
      <c r="D10" s="50"/>
      <c r="E10" s="50"/>
      <c r="F10" s="50"/>
      <c r="G10" s="50"/>
      <c r="H10" s="50"/>
      <c r="I10" s="50"/>
      <c r="J10" s="50"/>
      <c r="K10" s="50"/>
    </row>
    <row r="11" spans="2:13" ht="19" customHeight="1">
      <c r="B11" s="49">
        <v>3</v>
      </c>
      <c r="C11" s="50"/>
      <c r="D11" s="50"/>
      <c r="E11" s="50"/>
      <c r="F11" s="50"/>
      <c r="G11" s="50"/>
      <c r="H11" s="50"/>
      <c r="I11" s="50"/>
      <c r="J11" s="50"/>
      <c r="K11" s="50"/>
    </row>
    <row r="12" spans="2:13" ht="19" customHeight="1">
      <c r="B12" s="49">
        <v>4</v>
      </c>
      <c r="C12" s="50"/>
      <c r="D12" s="50"/>
      <c r="E12" s="50"/>
      <c r="F12" s="50"/>
      <c r="G12" s="50"/>
      <c r="H12" s="50"/>
      <c r="I12" s="50"/>
      <c r="J12" s="50"/>
      <c r="K12" s="50"/>
    </row>
    <row r="13" spans="2:13" ht="19" customHeight="1">
      <c r="B13" s="49">
        <v>5</v>
      </c>
      <c r="C13" s="50"/>
      <c r="D13" s="50"/>
      <c r="E13" s="50"/>
      <c r="F13" s="50"/>
      <c r="G13" s="50"/>
      <c r="H13" s="50"/>
      <c r="I13" s="50"/>
      <c r="J13" s="50"/>
      <c r="K13" s="50"/>
    </row>
    <row r="14" spans="2:13" ht="19" customHeight="1">
      <c r="B14" s="49">
        <v>6</v>
      </c>
      <c r="C14" s="50"/>
      <c r="D14" s="50"/>
      <c r="E14" s="50"/>
      <c r="F14" s="50"/>
      <c r="G14" s="50"/>
      <c r="H14" s="50"/>
      <c r="I14" s="50"/>
      <c r="J14" s="50"/>
      <c r="K14" s="50"/>
    </row>
    <row r="15" spans="2:13" ht="19" customHeight="1">
      <c r="B15" s="49">
        <v>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3" ht="19" customHeight="1">
      <c r="B16" s="49">
        <v>8</v>
      </c>
      <c r="C16" s="50"/>
      <c r="D16" s="50"/>
      <c r="E16" s="50"/>
      <c r="F16" s="50"/>
      <c r="G16" s="50"/>
      <c r="H16" s="50"/>
      <c r="I16" s="50"/>
      <c r="J16" s="50"/>
      <c r="K16" s="50"/>
      <c r="M16" s="23" t="s">
        <v>204</v>
      </c>
    </row>
    <row r="17" spans="2:13" ht="19" customHeight="1">
      <c r="B17" s="49">
        <v>9</v>
      </c>
      <c r="C17" s="50"/>
      <c r="D17" s="50"/>
      <c r="E17" s="50"/>
      <c r="F17" s="50"/>
      <c r="G17" s="50"/>
      <c r="H17" s="50"/>
      <c r="I17" s="50"/>
      <c r="J17" s="50"/>
      <c r="K17" s="50"/>
      <c r="M17" s="23"/>
    </row>
    <row r="18" spans="2:13" ht="19" customHeight="1">
      <c r="B18" s="49">
        <v>10</v>
      </c>
      <c r="C18" s="50"/>
      <c r="D18" s="50"/>
      <c r="E18" s="50"/>
      <c r="F18" s="50"/>
      <c r="G18" s="50"/>
      <c r="H18" s="50"/>
      <c r="I18" s="50"/>
      <c r="J18" s="50"/>
      <c r="K18" s="50"/>
      <c r="M18" s="23"/>
    </row>
    <row r="19" spans="2:13" ht="19" customHeight="1">
      <c r="B19" s="49">
        <v>11</v>
      </c>
      <c r="C19" s="50"/>
      <c r="D19" s="50"/>
      <c r="E19" s="50"/>
      <c r="F19" s="50"/>
      <c r="G19" s="50"/>
      <c r="H19" s="50"/>
      <c r="I19" s="50"/>
      <c r="J19" s="50"/>
      <c r="K19" s="50"/>
      <c r="M19" s="23"/>
    </row>
    <row r="20" spans="2:13" ht="19" customHeight="1">
      <c r="B20" s="49">
        <v>12</v>
      </c>
      <c r="C20" s="50"/>
      <c r="D20" s="50"/>
      <c r="E20" s="50"/>
      <c r="F20" s="50"/>
      <c r="G20" s="50"/>
      <c r="H20" s="50"/>
      <c r="I20" s="50"/>
      <c r="J20" s="50"/>
      <c r="K20" s="50"/>
      <c r="M20" s="23"/>
    </row>
    <row r="21" spans="2:13">
      <c r="M21" s="23"/>
    </row>
    <row r="22" spans="2:13" ht="22" customHeight="1">
      <c r="B22" s="5" t="s">
        <v>178</v>
      </c>
      <c r="C22" s="5"/>
      <c r="D22" s="5"/>
      <c r="E22" s="5"/>
      <c r="F22" s="5"/>
      <c r="G22" s="5"/>
      <c r="H22" s="48" t="s">
        <v>179</v>
      </c>
      <c r="I22" s="48"/>
      <c r="J22" s="48"/>
      <c r="K22" s="48"/>
    </row>
    <row r="23" spans="2:13" ht="19" customHeight="1">
      <c r="B23" s="49">
        <v>1</v>
      </c>
      <c r="C23" s="50"/>
      <c r="D23" s="50"/>
      <c r="E23" s="50"/>
      <c r="F23" s="50"/>
      <c r="G23" s="50"/>
      <c r="H23" s="50"/>
      <c r="I23" s="50"/>
      <c r="J23" s="50"/>
      <c r="K23" s="50"/>
    </row>
    <row r="24" spans="2:13" ht="19" customHeight="1">
      <c r="B24" s="49">
        <v>2</v>
      </c>
      <c r="C24" s="50"/>
      <c r="D24" s="50"/>
      <c r="E24" s="50"/>
      <c r="F24" s="50"/>
      <c r="G24" s="50"/>
      <c r="H24" s="50"/>
      <c r="I24" s="50"/>
      <c r="J24" s="50"/>
      <c r="K24" s="50"/>
    </row>
    <row r="25" spans="2:13" ht="19" customHeight="1">
      <c r="B25" s="49">
        <v>3</v>
      </c>
      <c r="C25" s="50"/>
      <c r="D25" s="50"/>
      <c r="E25" s="50"/>
      <c r="F25" s="50"/>
      <c r="G25" s="50"/>
      <c r="H25" s="50"/>
      <c r="I25" s="50"/>
      <c r="J25" s="50"/>
      <c r="K25" s="50"/>
    </row>
    <row r="26" spans="2:13" ht="19" customHeight="1">
      <c r="B26" s="49">
        <v>4</v>
      </c>
      <c r="C26" s="50"/>
      <c r="D26" s="50"/>
      <c r="E26" s="50"/>
      <c r="F26" s="50"/>
      <c r="G26" s="50"/>
      <c r="H26" s="50"/>
      <c r="I26" s="50"/>
      <c r="J26" s="50"/>
      <c r="K26" s="50"/>
    </row>
    <row r="28" spans="2:13" ht="22" customHeight="1">
      <c r="B28" s="5" t="s">
        <v>180</v>
      </c>
      <c r="C28" s="5"/>
      <c r="D28" s="5"/>
      <c r="E28" s="5"/>
      <c r="F28" s="5"/>
      <c r="G28" s="5"/>
      <c r="H28" s="48" t="s">
        <v>181</v>
      </c>
      <c r="I28" s="48"/>
      <c r="J28" s="48"/>
      <c r="K28" s="48"/>
    </row>
    <row r="29" spans="2:13" ht="19" customHeight="1">
      <c r="B29" s="49">
        <v>1</v>
      </c>
      <c r="C29" s="50"/>
      <c r="D29" s="50"/>
      <c r="E29" s="50"/>
      <c r="F29" s="50"/>
      <c r="G29" s="50"/>
      <c r="H29" s="50"/>
      <c r="I29" s="50"/>
      <c r="J29" s="50"/>
      <c r="K29" s="50"/>
    </row>
    <row r="30" spans="2:13" ht="19" customHeight="1">
      <c r="B30" s="49">
        <v>2</v>
      </c>
      <c r="C30" s="50"/>
      <c r="D30" s="50"/>
      <c r="E30" s="50"/>
      <c r="F30" s="50"/>
      <c r="G30" s="50"/>
      <c r="H30" s="50"/>
      <c r="I30" s="50"/>
      <c r="J30" s="50"/>
      <c r="K30" s="50"/>
    </row>
    <row r="31" spans="2:13" ht="19" customHeight="1">
      <c r="B31" s="49">
        <v>3</v>
      </c>
      <c r="C31" s="50"/>
      <c r="D31" s="50"/>
      <c r="E31" s="50"/>
      <c r="F31" s="50"/>
      <c r="G31" s="50"/>
      <c r="H31" s="50"/>
      <c r="I31" s="50"/>
      <c r="J31" s="50"/>
      <c r="K31" s="50"/>
    </row>
    <row r="32" spans="2:13" ht="19" customHeight="1">
      <c r="B32" s="49">
        <v>4</v>
      </c>
      <c r="C32" s="50"/>
      <c r="D32" s="50"/>
      <c r="E32" s="50"/>
      <c r="F32" s="50"/>
      <c r="G32" s="50"/>
      <c r="H32" s="50"/>
      <c r="I32" s="50"/>
      <c r="J32" s="50"/>
      <c r="K32" s="50"/>
    </row>
    <row r="34" spans="2:11" ht="22" customHeight="1">
      <c r="B34" s="5" t="s">
        <v>182</v>
      </c>
      <c r="C34" s="5"/>
      <c r="D34" s="5"/>
      <c r="E34" s="5"/>
      <c r="F34" s="5"/>
      <c r="G34" s="5"/>
      <c r="H34" s="48" t="s">
        <v>177</v>
      </c>
      <c r="I34" s="48"/>
      <c r="J34" s="48"/>
      <c r="K34" s="48"/>
    </row>
    <row r="35" spans="2:11" ht="19" customHeight="1">
      <c r="B35" s="49">
        <v>1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1" ht="19" customHeight="1">
      <c r="B36" s="49">
        <v>2</v>
      </c>
      <c r="C36" s="50"/>
      <c r="D36" s="50"/>
      <c r="E36" s="50"/>
      <c r="F36" s="50"/>
      <c r="G36" s="50"/>
      <c r="H36" s="50"/>
      <c r="I36" s="50"/>
      <c r="J36" s="50"/>
      <c r="K36" s="50"/>
    </row>
    <row r="37" spans="2:11" ht="19" customHeight="1">
      <c r="B37" s="49">
        <v>3</v>
      </c>
      <c r="C37" s="50"/>
      <c r="D37" s="50"/>
      <c r="E37" s="50"/>
      <c r="F37" s="50"/>
      <c r="G37" s="50"/>
      <c r="H37" s="50"/>
      <c r="I37" s="50"/>
      <c r="J37" s="50"/>
      <c r="K37" s="50"/>
    </row>
    <row r="38" spans="2:11" ht="19" customHeight="1">
      <c r="B38" s="49">
        <v>4</v>
      </c>
      <c r="C38" s="50"/>
      <c r="D38" s="50"/>
      <c r="E38" s="50"/>
      <c r="F38" s="50"/>
      <c r="G38" s="50"/>
      <c r="H38" s="50"/>
      <c r="I38" s="50"/>
      <c r="J38" s="50"/>
      <c r="K38" s="50"/>
    </row>
    <row r="39" spans="2:11" ht="19" customHeight="1">
      <c r="B39" s="49">
        <v>5</v>
      </c>
      <c r="C39" s="50"/>
      <c r="D39" s="50"/>
      <c r="E39" s="50"/>
      <c r="F39" s="50"/>
      <c r="G39" s="50"/>
      <c r="H39" s="50"/>
      <c r="I39" s="50"/>
      <c r="J39" s="50"/>
      <c r="K39" s="50"/>
    </row>
    <row r="40" spans="2:11" ht="19" customHeight="1">
      <c r="B40" s="49">
        <v>6</v>
      </c>
      <c r="C40" s="50"/>
      <c r="D40" s="50"/>
      <c r="E40" s="50"/>
      <c r="F40" s="50"/>
      <c r="G40" s="50"/>
      <c r="H40" s="50"/>
      <c r="I40" s="50"/>
      <c r="J40" s="50"/>
      <c r="K40" s="50"/>
    </row>
    <row r="41" spans="2:11" ht="19" customHeight="1">
      <c r="B41" s="49">
        <v>7</v>
      </c>
      <c r="C41" s="50"/>
      <c r="D41" s="50"/>
      <c r="E41" s="50"/>
      <c r="F41" s="50"/>
      <c r="G41" s="50"/>
      <c r="H41" s="50"/>
      <c r="I41" s="50"/>
      <c r="J41" s="50"/>
      <c r="K41" s="50"/>
    </row>
    <row r="42" spans="2:11" ht="19" customHeight="1">
      <c r="B42" s="49">
        <v>8</v>
      </c>
      <c r="C42" s="50"/>
      <c r="D42" s="50"/>
      <c r="E42" s="50"/>
      <c r="F42" s="50"/>
      <c r="G42" s="50"/>
      <c r="H42" s="50"/>
      <c r="I42" s="50"/>
      <c r="J42" s="50"/>
      <c r="K42" s="50"/>
    </row>
    <row r="44" spans="2:11" ht="22" customHeight="1">
      <c r="B44" s="5" t="s">
        <v>183</v>
      </c>
      <c r="C44" s="5"/>
      <c r="D44" s="5"/>
      <c r="E44" s="5"/>
      <c r="F44" s="5"/>
      <c r="G44" s="5"/>
      <c r="H44" s="5"/>
      <c r="I44" s="5"/>
      <c r="J44" s="5"/>
      <c r="K44" s="5"/>
    </row>
    <row r="45" spans="2:11" ht="32" customHeight="1">
      <c r="B45" s="51" t="s">
        <v>184</v>
      </c>
      <c r="C45" s="51"/>
      <c r="D45" s="51"/>
      <c r="E45" s="52" t="s">
        <v>185</v>
      </c>
      <c r="F45" s="52"/>
      <c r="G45" s="52"/>
      <c r="H45" s="52"/>
      <c r="I45" s="52"/>
      <c r="J45" s="52"/>
      <c r="K45" s="52"/>
    </row>
    <row r="46" spans="2:11" ht="20" customHeight="1">
      <c r="B46" s="51" t="s">
        <v>186</v>
      </c>
      <c r="C46" s="51"/>
      <c r="D46" s="51"/>
      <c r="E46" s="50" t="s">
        <v>92</v>
      </c>
      <c r="F46" s="50"/>
      <c r="G46" s="51" t="s">
        <v>187</v>
      </c>
      <c r="H46" s="50"/>
      <c r="I46" s="50"/>
      <c r="J46" s="50"/>
      <c r="K46" s="50"/>
    </row>
    <row r="47" spans="2:11" ht="20" customHeight="1">
      <c r="B47" s="51" t="s">
        <v>188</v>
      </c>
      <c r="C47" s="51"/>
      <c r="D47" s="51"/>
      <c r="E47" s="50" t="s">
        <v>77</v>
      </c>
      <c r="F47" s="50"/>
      <c r="G47" s="51" t="s">
        <v>79</v>
      </c>
      <c r="H47" s="50"/>
      <c r="I47" s="50"/>
    </row>
    <row r="48" spans="2:11" ht="20" customHeight="1">
      <c r="B48" s="51" t="s">
        <v>189</v>
      </c>
      <c r="C48" s="51"/>
      <c r="D48" s="51"/>
      <c r="E48" s="50"/>
      <c r="F48" s="50"/>
      <c r="G48" s="51" t="s">
        <v>78</v>
      </c>
      <c r="H48" s="50"/>
      <c r="I48" s="50"/>
    </row>
    <row r="50" spans="2:11" ht="22" customHeight="1">
      <c r="B50" s="5" t="s">
        <v>190</v>
      </c>
      <c r="C50" s="5"/>
      <c r="D50" s="5"/>
      <c r="E50" s="5"/>
      <c r="F50" s="5"/>
      <c r="G50" s="5"/>
      <c r="H50" s="5"/>
      <c r="I50" s="5"/>
      <c r="J50" s="5"/>
      <c r="K50" s="5"/>
    </row>
    <row r="51" spans="2:11" ht="20" customHeight="1">
      <c r="B51" s="51" t="s">
        <v>191</v>
      </c>
      <c r="C51" s="51"/>
      <c r="D51" s="51"/>
      <c r="E51" s="50" t="s">
        <v>92</v>
      </c>
      <c r="F51" s="50"/>
      <c r="G51" s="51" t="s">
        <v>192</v>
      </c>
      <c r="H51" s="50"/>
      <c r="I51" s="50"/>
      <c r="J51" s="50"/>
      <c r="K51" s="50"/>
    </row>
    <row r="52" spans="2:11" ht="20" customHeight="1">
      <c r="B52" s="51" t="s">
        <v>193</v>
      </c>
      <c r="C52" s="51"/>
      <c r="D52" s="51"/>
      <c r="E52" s="50" t="s">
        <v>92</v>
      </c>
      <c r="F52" s="50"/>
      <c r="G52" s="51" t="s">
        <v>192</v>
      </c>
      <c r="H52" s="50"/>
      <c r="I52" s="50"/>
      <c r="J52" s="50"/>
      <c r="K52" s="50"/>
    </row>
    <row r="53" spans="2:11" ht="20" customHeight="1">
      <c r="B53" s="51" t="s">
        <v>194</v>
      </c>
      <c r="C53" s="51"/>
      <c r="D53" s="51"/>
      <c r="E53" s="50" t="s">
        <v>92</v>
      </c>
      <c r="F53" s="50"/>
      <c r="G53" s="51" t="s">
        <v>192</v>
      </c>
      <c r="H53" s="50"/>
      <c r="I53" s="50"/>
      <c r="J53" s="50"/>
      <c r="K53" s="50"/>
    </row>
    <row r="54" spans="2:11" ht="20" customHeight="1">
      <c r="B54" s="51" t="s">
        <v>195</v>
      </c>
      <c r="C54" s="51"/>
      <c r="D54" s="51"/>
      <c r="E54" s="50"/>
      <c r="F54" s="50"/>
    </row>
    <row r="56" spans="2:11" ht="22" customHeight="1">
      <c r="B56" s="5" t="s">
        <v>196</v>
      </c>
      <c r="C56" s="5"/>
      <c r="D56" s="5"/>
      <c r="E56" s="5"/>
      <c r="F56" s="5"/>
      <c r="G56" s="5"/>
      <c r="H56" s="5"/>
      <c r="I56" s="5"/>
      <c r="J56" s="5"/>
      <c r="K56" s="5"/>
    </row>
    <row r="57" spans="2:11" ht="20" customHeight="1">
      <c r="B57" s="51" t="s">
        <v>197</v>
      </c>
      <c r="C57" s="51"/>
      <c r="D57" s="51"/>
      <c r="E57" s="50"/>
      <c r="F57" s="50"/>
      <c r="G57" s="50"/>
      <c r="H57" s="50"/>
      <c r="I57" s="50"/>
      <c r="J57" s="50"/>
      <c r="K57" s="50"/>
    </row>
    <row r="58" spans="2:11" ht="20" customHeight="1">
      <c r="B58" s="51" t="s">
        <v>198</v>
      </c>
      <c r="C58" s="51"/>
      <c r="D58" s="51"/>
      <c r="E58" s="50"/>
      <c r="F58" s="50"/>
      <c r="G58" s="50"/>
      <c r="H58" s="50"/>
      <c r="I58" s="50"/>
      <c r="J58" s="50"/>
      <c r="K58" s="50"/>
    </row>
    <row r="60" spans="2:11" ht="22" customHeight="1">
      <c r="B60" s="5" t="s">
        <v>199</v>
      </c>
      <c r="C60" s="5"/>
      <c r="D60" s="5"/>
      <c r="E60" s="5"/>
      <c r="F60" s="5"/>
      <c r="G60" s="5"/>
      <c r="H60" s="5"/>
      <c r="I60" s="5"/>
      <c r="J60" s="5"/>
      <c r="K60" s="5"/>
    </row>
    <row r="61" spans="2:11" ht="20" customHeight="1">
      <c r="B61" s="51" t="s">
        <v>200</v>
      </c>
      <c r="C61" s="51"/>
      <c r="D61" s="51"/>
      <c r="E61" s="50"/>
      <c r="F61" s="50"/>
      <c r="G61" s="51" t="s">
        <v>201</v>
      </c>
      <c r="H61" s="51"/>
      <c r="I61" s="50"/>
      <c r="J61" s="50"/>
      <c r="K61" s="50"/>
    </row>
    <row r="62" spans="2:11" ht="20" customHeight="1">
      <c r="B62" s="51" t="s">
        <v>202</v>
      </c>
      <c r="C62" s="51"/>
      <c r="D62" s="51"/>
      <c r="E62" s="50"/>
      <c r="F62" s="50"/>
      <c r="G62" s="50"/>
      <c r="H62" s="50"/>
      <c r="I62" s="50"/>
      <c r="J62" s="50"/>
      <c r="K62" s="50"/>
    </row>
    <row r="63" spans="2:11">
      <c r="B63" s="51" t="s">
        <v>203</v>
      </c>
      <c r="C63" s="51"/>
      <c r="D63" s="51"/>
      <c r="E63" s="53"/>
      <c r="F63" s="53"/>
      <c r="G63" s="53"/>
      <c r="H63" s="53"/>
      <c r="I63" s="53"/>
      <c r="J63" s="53"/>
      <c r="K63" s="53"/>
    </row>
    <row r="64" spans="2:11">
      <c r="B64" s="51"/>
      <c r="C64" s="51"/>
      <c r="D64" s="51"/>
      <c r="E64" s="53"/>
      <c r="F64" s="53"/>
      <c r="G64" s="53"/>
      <c r="H64" s="53"/>
      <c r="I64" s="53"/>
      <c r="J64" s="53"/>
      <c r="K64" s="53"/>
    </row>
    <row r="65" spans="2:11">
      <c r="B65" s="51"/>
      <c r="C65" s="51"/>
      <c r="D65" s="51"/>
      <c r="E65" s="53"/>
      <c r="F65" s="53"/>
      <c r="G65" s="53"/>
      <c r="H65" s="53"/>
      <c r="I65" s="53"/>
      <c r="J65" s="53"/>
      <c r="K65" s="53"/>
    </row>
  </sheetData>
  <sheetProtection sheet="1" objects="1" scenarios="1" formatColumns="0" formatRows="0"/>
  <mergeCells count="78">
    <mergeCell ref="E2:K2"/>
    <mergeCell ref="E3:K3"/>
    <mergeCell ref="B6:K6"/>
    <mergeCell ref="B8:G8"/>
    <mergeCell ref="H8:K8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0:K20"/>
    <mergeCell ref="B22:G22"/>
    <mergeCell ref="H22:K22"/>
    <mergeCell ref="C23:K23"/>
    <mergeCell ref="C24:K24"/>
    <mergeCell ref="C25:K25"/>
    <mergeCell ref="C26:K26"/>
    <mergeCell ref="B28:G28"/>
    <mergeCell ref="H28:K28"/>
    <mergeCell ref="C29:K29"/>
    <mergeCell ref="C30:K30"/>
    <mergeCell ref="C31:K31"/>
    <mergeCell ref="C32:K32"/>
    <mergeCell ref="B34:G34"/>
    <mergeCell ref="H34:K34"/>
    <mergeCell ref="C35:K35"/>
    <mergeCell ref="C36:K36"/>
    <mergeCell ref="C37:K37"/>
    <mergeCell ref="C38:K38"/>
    <mergeCell ref="C39:K39"/>
    <mergeCell ref="C40:K40"/>
    <mergeCell ref="C41:K41"/>
    <mergeCell ref="C42:K42"/>
    <mergeCell ref="B44:K44"/>
    <mergeCell ref="B45:D45"/>
    <mergeCell ref="E45:K45"/>
    <mergeCell ref="B46:D46"/>
    <mergeCell ref="E46:F46"/>
    <mergeCell ref="H46:K46"/>
    <mergeCell ref="B47:D47"/>
    <mergeCell ref="E47:F47"/>
    <mergeCell ref="H47:I47"/>
    <mergeCell ref="B48:D48"/>
    <mergeCell ref="E48:F48"/>
    <mergeCell ref="H48:I48"/>
    <mergeCell ref="B50:K50"/>
    <mergeCell ref="B51:D51"/>
    <mergeCell ref="E51:F51"/>
    <mergeCell ref="H51:K51"/>
    <mergeCell ref="B52:D52"/>
    <mergeCell ref="E52:F52"/>
    <mergeCell ref="H52:K52"/>
    <mergeCell ref="B53:D53"/>
    <mergeCell ref="E53:F53"/>
    <mergeCell ref="H53:K53"/>
    <mergeCell ref="B54:D54"/>
    <mergeCell ref="E54:F54"/>
    <mergeCell ref="B56:K56"/>
    <mergeCell ref="B57:D57"/>
    <mergeCell ref="E57:K57"/>
    <mergeCell ref="B58:D58"/>
    <mergeCell ref="E58:K58"/>
    <mergeCell ref="B60:K60"/>
    <mergeCell ref="B61:D61"/>
    <mergeCell ref="E61:F61"/>
    <mergeCell ref="G61:H61"/>
    <mergeCell ref="I61:K61"/>
    <mergeCell ref="B62:D62"/>
    <mergeCell ref="E62:K62"/>
    <mergeCell ref="B63:D65"/>
    <mergeCell ref="E63:K65"/>
    <mergeCell ref="M16:M21"/>
  </mergeCells>
  <dataValidations count="9">
    <dataValidation type="list" allowBlank="1" showInputMessage="1" showErrorMessage="1" sqref="E46">
      <formula1>lstSN</formula1>
    </dataValidation>
    <dataValidation type="list" allowBlank="1" showInputMessage="1" showErrorMessage="1" sqref="E47">
      <formula1>lstAr</formula1>
    </dataValidation>
    <dataValidation type="list" allowBlank="1" showInputMessage="1" showErrorMessage="1" sqref="H47">
      <formula1>lstLigado</formula1>
    </dataValidation>
    <dataValidation type="list" allowBlank="1" showInputMessage="1" showErrorMessage="1" sqref="E48">
      <formula1>lstCond</formula1>
    </dataValidation>
    <dataValidation type="list" allowBlank="1" showInputMessage="1" showErrorMessage="1" sqref="H48">
      <formula1>lstCond</formula1>
    </dataValidation>
    <dataValidation type="list" allowBlank="1" showInputMessage="1" showErrorMessage="1" sqref="E51">
      <formula1>lstSN</formula1>
    </dataValidation>
    <dataValidation type="list" allowBlank="1" showInputMessage="1" showErrorMessage="1" sqref="E52">
      <formula1>lstSN</formula1>
    </dataValidation>
    <dataValidation type="list" allowBlank="1" showInputMessage="1" showErrorMessage="1" sqref="E53">
      <formula1>lstSN</formula1>
    </dataValidation>
    <dataValidation type="list" allowBlank="1" showInputMessage="1" showErrorMessage="1" sqref="E54">
      <formula1>lstTurma</formula1>
    </dataValidation>
  </dataValidations>
  <pageMargins left="0.4" right="0.4" top="0.5" bottom="0.5" header="0.3" footer="0.3"/>
  <pageSetup paperSize="9" fitToHeight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V47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3.7109375" hidden="1" customWidth="1"/>
    <col min="2" max="2" width="32.7109375" customWidth="1"/>
    <col min="3" max="3" width="7.7109375" customWidth="1"/>
    <col min="4" max="4" width="6.7109375" customWidth="1"/>
    <col min="5" max="16" width="7.85546875" customWidth="1"/>
    <col min="17" max="17" width="10.7109375" customWidth="1"/>
    <col min="18" max="19" width="8.28515625" customWidth="1"/>
    <col min="20" max="22" width="7.7109375" hidden="1" customWidth="1"/>
    <col min="23" max="23" width="3.7109375" customWidth="1"/>
    <col min="24" max="24" width="27.7109375" customWidth="1"/>
  </cols>
  <sheetData>
    <row r="1" spans="1:22" ht="6" customHeight="1"/>
    <row r="2" spans="1:22" ht="26" customHeight="1">
      <c r="B2" s="1"/>
      <c r="C2" s="1"/>
      <c r="D2" s="2" t="s">
        <v>119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20" customHeight="1">
      <c r="B3" s="1"/>
      <c r="C3" s="1"/>
      <c r="D3" s="3" t="s">
        <v>120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6" spans="1:22">
      <c r="B6" s="6" t="s">
        <v>121</v>
      </c>
      <c r="C6" s="6" t="s">
        <v>122</v>
      </c>
      <c r="D6" s="6"/>
      <c r="E6" s="6"/>
      <c r="F6" s="6"/>
      <c r="G6" s="6"/>
      <c r="H6" s="6" t="s">
        <v>123</v>
      </c>
      <c r="I6" s="6"/>
      <c r="J6" s="6" t="s">
        <v>124</v>
      </c>
      <c r="K6" s="6"/>
      <c r="L6" s="6"/>
      <c r="M6" s="6"/>
      <c r="N6" s="6" t="s">
        <v>125</v>
      </c>
      <c r="O6" s="6"/>
      <c r="P6" s="6"/>
      <c r="Q6" s="6" t="s">
        <v>88</v>
      </c>
      <c r="R6" s="6"/>
      <c r="S6" s="6"/>
      <c r="T6" s="6"/>
      <c r="U6" s="6"/>
      <c r="V6" s="6"/>
    </row>
    <row r="7" spans="1:22" ht="22" customHeight="1"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6"/>
      <c r="O7" s="56"/>
      <c r="P7" s="56"/>
      <c r="Q7" s="55"/>
      <c r="R7" s="55"/>
      <c r="S7" s="55"/>
      <c r="T7" s="55"/>
      <c r="U7" s="55"/>
      <c r="V7" s="55"/>
    </row>
    <row r="8" spans="1:22" ht="8" customHeight="1"/>
    <row r="9" spans="1:22" ht="26" customHeight="1">
      <c r="B9" s="57" t="s">
        <v>126</v>
      </c>
      <c r="C9" s="58" t="s">
        <v>99</v>
      </c>
      <c r="D9" s="58"/>
      <c r="E9" s="59"/>
      <c r="F9" s="59"/>
      <c r="G9" s="59"/>
      <c r="H9" s="60" t="s">
        <v>100</v>
      </c>
      <c r="I9" s="59"/>
      <c r="J9" s="59"/>
      <c r="K9" s="59"/>
      <c r="L9" s="61" t="s">
        <v>127</v>
      </c>
      <c r="M9" s="61"/>
      <c r="N9" s="61"/>
      <c r="O9" s="61"/>
      <c r="P9" s="61"/>
      <c r="Q9" s="61"/>
      <c r="R9" s="61"/>
      <c r="S9" s="61"/>
      <c r="T9" s="61"/>
      <c r="U9" s="61"/>
      <c r="V9" s="61"/>
    </row>
    <row r="10" spans="1:22" ht="16" customHeight="1">
      <c r="B10" s="6" t="s">
        <v>128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</row>
    <row r="12" spans="1:22" ht="30" customHeight="1">
      <c r="B12" s="63" t="s">
        <v>129</v>
      </c>
      <c r="C12" s="63" t="s">
        <v>130</v>
      </c>
      <c r="D12" s="63" t="s">
        <v>131</v>
      </c>
      <c r="E12" s="63" t="s">
        <v>132</v>
      </c>
      <c r="F12" s="63" t="s">
        <v>132</v>
      </c>
      <c r="G12" s="63" t="s">
        <v>132</v>
      </c>
      <c r="H12" s="63" t="s">
        <v>132</v>
      </c>
      <c r="I12" s="63" t="s">
        <v>132</v>
      </c>
      <c r="J12" s="63" t="s">
        <v>132</v>
      </c>
      <c r="K12" s="63" t="s">
        <v>132</v>
      </c>
      <c r="L12" s="63" t="s">
        <v>132</v>
      </c>
      <c r="M12" s="63" t="s">
        <v>132</v>
      </c>
      <c r="N12" s="63" t="s">
        <v>132</v>
      </c>
      <c r="O12" s="63" t="s">
        <v>132</v>
      </c>
      <c r="P12" s="63" t="s">
        <v>132</v>
      </c>
      <c r="Q12" s="63" t="s">
        <v>133</v>
      </c>
      <c r="R12" s="63" t="s">
        <v>134</v>
      </c>
      <c r="S12" s="63" t="s">
        <v>135</v>
      </c>
      <c r="T12" s="63" t="s">
        <v>27</v>
      </c>
      <c r="U12" s="63" t="s">
        <v>28</v>
      </c>
      <c r="V12" s="63" t="s">
        <v>79</v>
      </c>
    </row>
    <row r="13" spans="1:22" ht="17" customHeight="1">
      <c r="A13" s="25" t="s">
        <v>136</v>
      </c>
      <c r="B13" s="13" t="s">
        <v>33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>
      <c r="A14" s="25" t="s">
        <v>137</v>
      </c>
      <c r="B14" s="64" t="s">
        <v>34</v>
      </c>
      <c r="C14" s="27" t="s">
        <v>35</v>
      </c>
      <c r="D14" s="28" t="s">
        <v>138</v>
      </c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6">
        <f>IFERROR(IF(COUNT(E14:P14)=0,"",IF('Configurações'!$F$18="Soma",SUM(E14:P14),IF('Configurações'!$F$18="Último valor",LOOKUP(2,1/(E14:P14&lt;&gt;""),E14:P14),AVERAGE(E14:P14)))),"")</f>
        <v>0</v>
      </c>
      <c r="R14" s="67">
        <f>IF(COUNT(E14:P14)=0,"",MIN(E14:P14))</f>
        <v>0</v>
      </c>
      <c r="S14" s="67">
        <f>IF(COUNT(E14:P14)=0,"",MAX(E14:P14))</f>
        <v>0</v>
      </c>
      <c r="T14" s="67">
        <f>IF('Configurações'!$K$18="","",'Configurações'!$K$18)</f>
        <v>0</v>
      </c>
      <c r="U14" s="67">
        <f>IF('Configurações'!$L$18="","",'Configurações'!$L$18)</f>
        <v>0</v>
      </c>
      <c r="V14" s="16">
        <f>IF(OR(Q14="",AND(T14="",U14="")),"",IF(OR(AND(T14&lt;&gt;"",Q14&lt;T14),AND(U14&lt;&gt;"",Q14&gt;U14)),"Fora","OK"))</f>
        <v>0</v>
      </c>
    </row>
    <row r="15" spans="1:22">
      <c r="A15" s="25" t="s">
        <v>139</v>
      </c>
      <c r="B15" s="68" t="s">
        <v>38</v>
      </c>
      <c r="C15" s="33" t="s">
        <v>35</v>
      </c>
      <c r="D15" s="34" t="s">
        <v>138</v>
      </c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6">
        <f>IFERROR(IF(COUNT(E15:P15)=0,"",IF('Configurações'!$F$19="Soma",SUM(E15:P15),IF('Configurações'!$F$19="Último valor",LOOKUP(2,1/(E15:P15&lt;&gt;""),E15:P15),AVERAGE(E15:P15)))),"")</f>
        <v>0</v>
      </c>
      <c r="R15" s="70">
        <f>IF(COUNT(E15:P15)=0,"",MIN(E15:P15))</f>
        <v>0</v>
      </c>
      <c r="S15" s="70">
        <f>IF(COUNT(E15:P15)=0,"",MAX(E15:P15))</f>
        <v>0</v>
      </c>
      <c r="T15" s="70">
        <f>IF('Configurações'!$K$19="","",'Configurações'!$K$19)</f>
        <v>0</v>
      </c>
      <c r="U15" s="70">
        <f>IF('Configurações'!$L$19="","",'Configurações'!$L$19)</f>
        <v>0</v>
      </c>
      <c r="V15" s="71">
        <f>IF(OR(Q15="",AND(T15="",U15="")),"",IF(OR(AND(T15&lt;&gt;"",Q15&lt;T15),AND(U15&lt;&gt;"",Q15&gt;U15)),"Fora","OK"))</f>
        <v>0</v>
      </c>
    </row>
    <row r="16" spans="1:22">
      <c r="A16" s="25" t="s">
        <v>140</v>
      </c>
      <c r="B16" s="64" t="s">
        <v>40</v>
      </c>
      <c r="C16" s="27" t="s">
        <v>35</v>
      </c>
      <c r="D16" s="28" t="s">
        <v>138</v>
      </c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6">
        <f>IFERROR(IF(COUNT(E16:P16)=0,"",IF('Configurações'!$F$20="Soma",SUM(E16:P16),IF('Configurações'!$F$20="Último valor",LOOKUP(2,1/(E16:P16&lt;&gt;""),E16:P16),AVERAGE(E16:P16)))),"")</f>
        <v>0</v>
      </c>
      <c r="R16" s="67">
        <f>IF(COUNT(E16:P16)=0,"",MIN(E16:P16))</f>
        <v>0</v>
      </c>
      <c r="S16" s="67">
        <f>IF(COUNT(E16:P16)=0,"",MAX(E16:P16))</f>
        <v>0</v>
      </c>
      <c r="T16" s="67">
        <f>IF('Configurações'!$K$20="","",'Configurações'!$K$20)</f>
        <v>0</v>
      </c>
      <c r="U16" s="67">
        <f>IF('Configurações'!$L$20="","",'Configurações'!$L$20)</f>
        <v>0</v>
      </c>
      <c r="V16" s="16">
        <f>IF(OR(Q16="",AND(T16="",U16="")),"",IF(OR(AND(T16&lt;&gt;"",Q16&lt;T16),AND(U16&lt;&gt;"",Q16&gt;U16)),"Fora","OK"))</f>
        <v>0</v>
      </c>
    </row>
    <row r="17" spans="1:22">
      <c r="A17" s="25" t="s">
        <v>141</v>
      </c>
      <c r="B17" s="68" t="s">
        <v>41</v>
      </c>
      <c r="C17" s="33" t="s">
        <v>35</v>
      </c>
      <c r="D17" s="34" t="s">
        <v>138</v>
      </c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6">
        <f>IFERROR(IF(COUNT(E17:P17)=0,"",IF('Configurações'!$F$21="Soma",SUM(E17:P17),IF('Configurações'!$F$21="Último valor",LOOKUP(2,1/(E17:P17&lt;&gt;""),E17:P17),AVERAGE(E17:P17)))),"")</f>
        <v>0</v>
      </c>
      <c r="R17" s="70">
        <f>IF(COUNT(E17:P17)=0,"",MIN(E17:P17))</f>
        <v>0</v>
      </c>
      <c r="S17" s="70">
        <f>IF(COUNT(E17:P17)=0,"",MAX(E17:P17))</f>
        <v>0</v>
      </c>
      <c r="T17" s="70">
        <f>IF('Configurações'!$K$21="","",'Configurações'!$K$21)</f>
        <v>0</v>
      </c>
      <c r="U17" s="70">
        <f>IF('Configurações'!$L$21="","",'Configurações'!$L$21)</f>
        <v>0</v>
      </c>
      <c r="V17" s="71">
        <f>IF(OR(Q17="",AND(T17="",U17="")),"",IF(OR(AND(T17&lt;&gt;"",Q17&lt;T17),AND(U17&lt;&gt;"",Q17&gt;U17)),"Fora","OK"))</f>
        <v>0</v>
      </c>
    </row>
    <row r="18" spans="1:22">
      <c r="A18" s="25" t="s">
        <v>142</v>
      </c>
      <c r="B18" s="64" t="s">
        <v>43</v>
      </c>
      <c r="C18" s="27" t="s">
        <v>35</v>
      </c>
      <c r="D18" s="28" t="s">
        <v>138</v>
      </c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6">
        <f>IFERROR(IF(COUNT(E18:P18)=0,"",IF('Configurações'!$F$22="Soma",SUM(E18:P18),IF('Configurações'!$F$22="Último valor",LOOKUP(2,1/(E18:P18&lt;&gt;""),E18:P18),AVERAGE(E18:P18)))),"")</f>
        <v>0</v>
      </c>
      <c r="R18" s="67">
        <f>IF(COUNT(E18:P18)=0,"",MIN(E18:P18))</f>
        <v>0</v>
      </c>
      <c r="S18" s="67">
        <f>IF(COUNT(E18:P18)=0,"",MAX(E18:P18))</f>
        <v>0</v>
      </c>
      <c r="T18" s="67">
        <f>IF('Configurações'!$K$22="","",'Configurações'!$K$22)</f>
        <v>0</v>
      </c>
      <c r="U18" s="67">
        <f>IF('Configurações'!$L$22="","",'Configurações'!$L$22)</f>
        <v>0</v>
      </c>
      <c r="V18" s="16">
        <f>IF(OR(Q18="",AND(T18="",U18="")),"",IF(OR(AND(T18&lt;&gt;"",Q18&lt;T18),AND(U18&lt;&gt;"",Q18&gt;U18)),"Fora","OK"))</f>
        <v>0</v>
      </c>
    </row>
    <row r="19" spans="1:22">
      <c r="A19" s="25" t="s">
        <v>143</v>
      </c>
      <c r="B19" s="68" t="s">
        <v>44</v>
      </c>
      <c r="C19" s="33" t="s">
        <v>35</v>
      </c>
      <c r="D19" s="34" t="s">
        <v>138</v>
      </c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3">
        <f>IFERROR(IF(COUNT(E19:P19)=0,"",IF('Configurações'!$F$23="Soma",SUM(E19:P19),IF('Configurações'!$F$23="Último valor",LOOKUP(2,1/(E19:P19&lt;&gt;""),E19:P19),AVERAGE(E19:P19)))),"")</f>
        <v>0</v>
      </c>
      <c r="R19" s="74">
        <f>IF(COUNT(E19:P19)=0,"",MIN(E19:P19))</f>
        <v>0</v>
      </c>
      <c r="S19" s="74">
        <f>IF(COUNT(E19:P19)=0,"",MAX(E19:P19))</f>
        <v>0</v>
      </c>
      <c r="T19" s="74">
        <f>IF('Configurações'!$K$23="","",'Configurações'!$K$23)</f>
        <v>0</v>
      </c>
      <c r="U19" s="74">
        <f>IF('Configurações'!$L$23="","",'Configurações'!$L$23)</f>
        <v>0</v>
      </c>
      <c r="V19" s="71">
        <f>IF(OR(Q19="",AND(T19="",U19="")),"",IF(OR(AND(T19&lt;&gt;"",Q19&lt;T19),AND(U19&lt;&gt;"",Q19&gt;U19)),"Fora","OK"))</f>
        <v>0</v>
      </c>
    </row>
    <row r="20" spans="1:22">
      <c r="A20" s="25" t="s">
        <v>144</v>
      </c>
      <c r="B20" s="64" t="s">
        <v>45</v>
      </c>
      <c r="C20" s="27" t="s">
        <v>35</v>
      </c>
      <c r="D20" s="28" t="s">
        <v>138</v>
      </c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3">
        <f>IFERROR(IF(COUNT(E20:P20)=0,"",IF('Configurações'!$F$24="Soma",SUM(E20:P20),IF('Configurações'!$F$24="Último valor",LOOKUP(2,1/(E20:P20&lt;&gt;""),E20:P20),AVERAGE(E20:P20)))),"")</f>
        <v>0</v>
      </c>
      <c r="R20" s="76">
        <f>IF(COUNT(E20:P20)=0,"",MIN(E20:P20))</f>
        <v>0</v>
      </c>
      <c r="S20" s="76">
        <f>IF(COUNT(E20:P20)=0,"",MAX(E20:P20))</f>
        <v>0</v>
      </c>
      <c r="T20" s="76">
        <f>IF('Configurações'!$K$24="","",'Configurações'!$K$24)</f>
        <v>0</v>
      </c>
      <c r="U20" s="76">
        <f>IF('Configurações'!$L$24="","",'Configurações'!$L$24)</f>
        <v>0</v>
      </c>
      <c r="V20" s="16">
        <f>IF(OR(Q20="",AND(T20="",U20="")),"",IF(OR(AND(T20&lt;&gt;"",Q20&lt;T20),AND(U20&lt;&gt;"",Q20&gt;U20)),"Fora","OK"))</f>
        <v>0</v>
      </c>
    </row>
    <row r="21" spans="1:22">
      <c r="A21" s="25" t="s">
        <v>145</v>
      </c>
      <c r="B21" s="68" t="s">
        <v>46</v>
      </c>
      <c r="C21" s="33" t="s">
        <v>35</v>
      </c>
      <c r="D21" s="34" t="s">
        <v>138</v>
      </c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3">
        <f>IFERROR(IF(COUNT(E21:P21)=0,"",IF('Configurações'!$F$25="Soma",SUM(E21:P21),IF('Configurações'!$F$25="Último valor",LOOKUP(2,1/(E21:P21&lt;&gt;""),E21:P21),AVERAGE(E21:P21)))),"")</f>
        <v>0</v>
      </c>
      <c r="R21" s="74">
        <f>IF(COUNT(E21:P21)=0,"",MIN(E21:P21))</f>
        <v>0</v>
      </c>
      <c r="S21" s="74">
        <f>IF(COUNT(E21:P21)=0,"",MAX(E21:P21))</f>
        <v>0</v>
      </c>
      <c r="T21" s="74">
        <f>IF('Configurações'!$K$25="","",'Configurações'!$K$25)</f>
        <v>0</v>
      </c>
      <c r="U21" s="74">
        <f>IF('Configurações'!$L$25="","",'Configurações'!$L$25)</f>
        <v>0</v>
      </c>
      <c r="V21" s="71">
        <f>IF(OR(Q21="",AND(T21="",U21="")),"",IF(OR(AND(T21&lt;&gt;"",Q21&lt;T21),AND(U21&lt;&gt;"",Q21&gt;U21)),"Fora","OK"))</f>
        <v>0</v>
      </c>
    </row>
    <row r="22" spans="1:22">
      <c r="A22" s="25" t="s">
        <v>146</v>
      </c>
      <c r="B22" s="64" t="s">
        <v>47</v>
      </c>
      <c r="C22" s="27" t="s">
        <v>35</v>
      </c>
      <c r="D22" s="28" t="s">
        <v>138</v>
      </c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6">
        <f>IFERROR(IF(COUNT(E22:P22)=0,"",IF('Configurações'!$F$26="Soma",SUM(E22:P22),IF('Configurações'!$F$26="Último valor",LOOKUP(2,1/(E22:P22&lt;&gt;""),E22:P22),AVERAGE(E22:P22)))),"")</f>
        <v>0</v>
      </c>
      <c r="R22" s="67">
        <f>IF(COUNT(E22:P22)=0,"",MIN(E22:P22))</f>
        <v>0</v>
      </c>
      <c r="S22" s="67">
        <f>IF(COUNT(E22:P22)=0,"",MAX(E22:P22))</f>
        <v>0</v>
      </c>
      <c r="T22" s="67">
        <f>IF('Configurações'!$K$26="","",'Configurações'!$K$26)</f>
        <v>0</v>
      </c>
      <c r="U22" s="67">
        <f>IF('Configurações'!$L$26="","",'Configurações'!$L$26)</f>
        <v>0</v>
      </c>
      <c r="V22" s="16">
        <f>IF(OR(Q22="",AND(T22="",U22="")),"",IF(OR(AND(T22&lt;&gt;"",Q22&lt;T22),AND(U22&lt;&gt;"",Q22&gt;U22)),"Fora","OK"))</f>
        <v>0</v>
      </c>
    </row>
    <row r="23" spans="1:22">
      <c r="A23" s="25" t="s">
        <v>147</v>
      </c>
      <c r="B23" s="68" t="s">
        <v>49</v>
      </c>
      <c r="C23" s="33" t="s">
        <v>50</v>
      </c>
      <c r="D23" s="34" t="s">
        <v>138</v>
      </c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6">
        <f>IFERROR(IF(COUNT(E23:P23)=0,"",IF('Configurações'!$F$27="Soma",SUM(E23:P23),IF('Configurações'!$F$27="Último valor",LOOKUP(2,1/(E23:P23&lt;&gt;""),E23:P23),AVERAGE(E23:P23)))),"")</f>
        <v>0</v>
      </c>
      <c r="R23" s="70">
        <f>IF(COUNT(E23:P23)=0,"",MIN(E23:P23))</f>
        <v>0</v>
      </c>
      <c r="S23" s="70">
        <f>IF(COUNT(E23:P23)=0,"",MAX(E23:P23))</f>
        <v>0</v>
      </c>
      <c r="T23" s="70">
        <f>IF('Configurações'!$K$27="","",'Configurações'!$K$27)</f>
        <v>0</v>
      </c>
      <c r="U23" s="70">
        <f>IF('Configurações'!$L$27="","",'Configurações'!$L$27)</f>
        <v>0</v>
      </c>
      <c r="V23" s="71">
        <f>IF(OR(Q23="",AND(T23="",U23="")),"",IF(OR(AND(T23&lt;&gt;"",Q23&lt;T23),AND(U23&lt;&gt;"",Q23&gt;U23)),"Fora","OK"))</f>
        <v>0</v>
      </c>
    </row>
    <row r="24" spans="1:22" ht="17" customHeight="1">
      <c r="A24" s="25" t="s">
        <v>148</v>
      </c>
      <c r="B24" s="13" t="s">
        <v>51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>
      <c r="A25" s="25" t="s">
        <v>149</v>
      </c>
      <c r="B25" s="64" t="s">
        <v>34</v>
      </c>
      <c r="C25" s="27" t="s">
        <v>35</v>
      </c>
      <c r="D25" s="28" t="s">
        <v>150</v>
      </c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6">
        <f>IFERROR(IF(COUNT(E25:P25)=0,"",IF('Configurações'!$F$28="Soma",SUM(E25:P25),IF('Configurações'!$F$28="Último valor",LOOKUP(2,1/(E25:P25&lt;&gt;""),E25:P25),AVERAGE(E25:P25)))),"")</f>
        <v>0</v>
      </c>
      <c r="R25" s="67">
        <f>IF(COUNT(E25:P25)=0,"",MIN(E25:P25))</f>
        <v>0</v>
      </c>
      <c r="S25" s="67">
        <f>IF(COUNT(E25:P25)=0,"",MAX(E25:P25))</f>
        <v>0</v>
      </c>
      <c r="T25" s="67">
        <f>IF('Configurações'!$K$28="","",'Configurações'!$K$28)</f>
        <v>0</v>
      </c>
      <c r="U25" s="67">
        <f>IF('Configurações'!$L$28="","",'Configurações'!$L$28)</f>
        <v>0</v>
      </c>
      <c r="V25" s="16">
        <f>IF(OR(Q25="",AND(T25="",U25="")),"",IF(OR(AND(T25&lt;&gt;"",Q25&lt;T25),AND(U25&lt;&gt;"",Q25&gt;U25)),"Fora","OK"))</f>
        <v>0</v>
      </c>
    </row>
    <row r="26" spans="1:22">
      <c r="A26" s="25" t="s">
        <v>151</v>
      </c>
      <c r="B26" s="64"/>
      <c r="C26" s="27"/>
      <c r="D26" s="42" t="s">
        <v>152</v>
      </c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6">
        <f>IFERROR(IF(COUNT(E26:P26)=0,"",IF('Configurações'!$F$28="Soma",SUM(E26:P26),IF('Configurações'!$F$28="Último valor",LOOKUP(2,1/(E26:P26&lt;&gt;""),E26:P26),AVERAGE(E26:P26)))),"")</f>
        <v>0</v>
      </c>
      <c r="R26" s="67">
        <f>IF(COUNT(E26:P26)=0,"",MIN(E26:P26))</f>
        <v>0</v>
      </c>
      <c r="S26" s="67">
        <f>IF(COUNT(E26:P26)=0,"",MAX(E26:P26))</f>
        <v>0</v>
      </c>
      <c r="T26" s="67">
        <f>IF('Configurações'!$K$28="","",'Configurações'!$K$28)</f>
        <v>0</v>
      </c>
      <c r="U26" s="67">
        <f>IF('Configurações'!$L$28="","",'Configurações'!$L$28)</f>
        <v>0</v>
      </c>
      <c r="V26" s="16">
        <f>IF(OR(Q26="",AND(T26="",U26="")),"",IF(OR(AND(T26&lt;&gt;"",Q26&lt;T26),AND(U26&lt;&gt;"",Q26&gt;U26)),"Fora","OK"))</f>
        <v>0</v>
      </c>
    </row>
    <row r="27" spans="1:22">
      <c r="A27" s="25" t="s">
        <v>153</v>
      </c>
      <c r="B27" s="68" t="s">
        <v>38</v>
      </c>
      <c r="C27" s="33" t="s">
        <v>35</v>
      </c>
      <c r="D27" s="34" t="s">
        <v>150</v>
      </c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6">
        <f>IFERROR(IF(COUNT(E27:P27)=0,"",IF('Configurações'!$F$29="Soma",SUM(E27:P27),IF('Configurações'!$F$29="Último valor",LOOKUP(2,1/(E27:P27&lt;&gt;""),E27:P27),AVERAGE(E27:P27)))),"")</f>
        <v>0</v>
      </c>
      <c r="R27" s="70">
        <f>IF(COUNT(E27:P27)=0,"",MIN(E27:P27))</f>
        <v>0</v>
      </c>
      <c r="S27" s="70">
        <f>IF(COUNT(E27:P27)=0,"",MAX(E27:P27))</f>
        <v>0</v>
      </c>
      <c r="T27" s="70">
        <f>IF('Configurações'!$K$29="","",'Configurações'!$K$29)</f>
        <v>0</v>
      </c>
      <c r="U27" s="70">
        <f>IF('Configurações'!$L$29="","",'Configurações'!$L$29)</f>
        <v>0</v>
      </c>
      <c r="V27" s="71">
        <f>IF(OR(Q27="",AND(T27="",U27="")),"",IF(OR(AND(T27&lt;&gt;"",Q27&lt;T27),AND(U27&lt;&gt;"",Q27&gt;U27)),"Fora","OK"))</f>
        <v>0</v>
      </c>
    </row>
    <row r="28" spans="1:22">
      <c r="A28" s="25" t="s">
        <v>154</v>
      </c>
      <c r="B28" s="68"/>
      <c r="C28" s="33"/>
      <c r="D28" s="43" t="s">
        <v>152</v>
      </c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6">
        <f>IFERROR(IF(COUNT(E28:P28)=0,"",IF('Configurações'!$F$29="Soma",SUM(E28:P28),IF('Configurações'!$F$29="Último valor",LOOKUP(2,1/(E28:P28&lt;&gt;""),E28:P28),AVERAGE(E28:P28)))),"")</f>
        <v>0</v>
      </c>
      <c r="R28" s="70">
        <f>IF(COUNT(E28:P28)=0,"",MIN(E28:P28))</f>
        <v>0</v>
      </c>
      <c r="S28" s="70">
        <f>IF(COUNT(E28:P28)=0,"",MAX(E28:P28))</f>
        <v>0</v>
      </c>
      <c r="T28" s="70">
        <f>IF('Configurações'!$K$29="","",'Configurações'!$K$29)</f>
        <v>0</v>
      </c>
      <c r="U28" s="70">
        <f>IF('Configurações'!$L$29="","",'Configurações'!$L$29)</f>
        <v>0</v>
      </c>
      <c r="V28" s="71">
        <f>IF(OR(Q28="",AND(T28="",U28="")),"",IF(OR(AND(T28&lt;&gt;"",Q28&lt;T28),AND(U28&lt;&gt;"",Q28&gt;U28)),"Fora","OK"))</f>
        <v>0</v>
      </c>
    </row>
    <row r="29" spans="1:22">
      <c r="A29" s="25" t="s">
        <v>155</v>
      </c>
      <c r="B29" s="64" t="s">
        <v>40</v>
      </c>
      <c r="C29" s="27" t="s">
        <v>35</v>
      </c>
      <c r="D29" s="28" t="s">
        <v>150</v>
      </c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6">
        <f>IFERROR(IF(COUNT(E29:P29)=0,"",IF('Configurações'!$F$30="Soma",SUM(E29:P29),IF('Configurações'!$F$30="Último valor",LOOKUP(2,1/(E29:P29&lt;&gt;""),E29:P29),AVERAGE(E29:P29)))),"")</f>
        <v>0</v>
      </c>
      <c r="R29" s="67">
        <f>IF(COUNT(E29:P29)=0,"",MIN(E29:P29))</f>
        <v>0</v>
      </c>
      <c r="S29" s="67">
        <f>IF(COUNT(E29:P29)=0,"",MAX(E29:P29))</f>
        <v>0</v>
      </c>
      <c r="T29" s="67">
        <f>IF('Configurações'!$K$30="","",'Configurações'!$K$30)</f>
        <v>0</v>
      </c>
      <c r="U29" s="67">
        <f>IF('Configurações'!$L$30="","",'Configurações'!$L$30)</f>
        <v>0</v>
      </c>
      <c r="V29" s="16">
        <f>IF(OR(Q29="",AND(T29="",U29="")),"",IF(OR(AND(T29&lt;&gt;"",Q29&lt;T29),AND(U29&lt;&gt;"",Q29&gt;U29)),"Fora","OK"))</f>
        <v>0</v>
      </c>
    </row>
    <row r="30" spans="1:22">
      <c r="A30" s="25" t="s">
        <v>156</v>
      </c>
      <c r="B30" s="64"/>
      <c r="C30" s="27"/>
      <c r="D30" s="42" t="s">
        <v>152</v>
      </c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6">
        <f>IFERROR(IF(COUNT(E30:P30)=0,"",IF('Configurações'!$F$30="Soma",SUM(E30:P30),IF('Configurações'!$F$30="Último valor",LOOKUP(2,1/(E30:P30&lt;&gt;""),E30:P30),AVERAGE(E30:P30)))),"")</f>
        <v>0</v>
      </c>
      <c r="R30" s="67">
        <f>IF(COUNT(E30:P30)=0,"",MIN(E30:P30))</f>
        <v>0</v>
      </c>
      <c r="S30" s="67">
        <f>IF(COUNT(E30:P30)=0,"",MAX(E30:P30))</f>
        <v>0</v>
      </c>
      <c r="T30" s="67">
        <f>IF('Configurações'!$K$30="","",'Configurações'!$K$30)</f>
        <v>0</v>
      </c>
      <c r="U30" s="67">
        <f>IF('Configurações'!$L$30="","",'Configurações'!$L$30)</f>
        <v>0</v>
      </c>
      <c r="V30" s="16">
        <f>IF(OR(Q30="",AND(T30="",U30="")),"",IF(OR(AND(T30&lt;&gt;"",Q30&lt;T30),AND(U30&lt;&gt;"",Q30&gt;U30)),"Fora","OK"))</f>
        <v>0</v>
      </c>
    </row>
    <row r="31" spans="1:22">
      <c r="A31" s="25" t="s">
        <v>157</v>
      </c>
      <c r="B31" s="68" t="s">
        <v>41</v>
      </c>
      <c r="C31" s="33" t="s">
        <v>35</v>
      </c>
      <c r="D31" s="34" t="s">
        <v>150</v>
      </c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6">
        <f>IFERROR(IF(COUNT(E31:P31)=0,"",IF('Configurações'!$F$31="Soma",SUM(E31:P31),IF('Configurações'!$F$31="Último valor",LOOKUP(2,1/(E31:P31&lt;&gt;""),E31:P31),AVERAGE(E31:P31)))),"")</f>
        <v>0</v>
      </c>
      <c r="R31" s="70">
        <f>IF(COUNT(E31:P31)=0,"",MIN(E31:P31))</f>
        <v>0</v>
      </c>
      <c r="S31" s="70">
        <f>IF(COUNT(E31:P31)=0,"",MAX(E31:P31))</f>
        <v>0</v>
      </c>
      <c r="T31" s="70">
        <f>IF('Configurações'!$K$31="","",'Configurações'!$K$31)</f>
        <v>0</v>
      </c>
      <c r="U31" s="70">
        <f>IF('Configurações'!$L$31="","",'Configurações'!$L$31)</f>
        <v>0</v>
      </c>
      <c r="V31" s="71">
        <f>IF(OR(Q31="",AND(T31="",U31="")),"",IF(OR(AND(T31&lt;&gt;"",Q31&lt;T31),AND(U31&lt;&gt;"",Q31&gt;U31)),"Fora","OK"))</f>
        <v>0</v>
      </c>
    </row>
    <row r="32" spans="1:22">
      <c r="A32" s="25" t="s">
        <v>158</v>
      </c>
      <c r="B32" s="68"/>
      <c r="C32" s="33"/>
      <c r="D32" s="43" t="s">
        <v>152</v>
      </c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6">
        <f>IFERROR(IF(COUNT(E32:P32)=0,"",IF('Configurações'!$F$31="Soma",SUM(E32:P32),IF('Configurações'!$F$31="Último valor",LOOKUP(2,1/(E32:P32&lt;&gt;""),E32:P32),AVERAGE(E32:P32)))),"")</f>
        <v>0</v>
      </c>
      <c r="R32" s="70">
        <f>IF(COUNT(E32:P32)=0,"",MIN(E32:P32))</f>
        <v>0</v>
      </c>
      <c r="S32" s="70">
        <f>IF(COUNT(E32:P32)=0,"",MAX(E32:P32))</f>
        <v>0</v>
      </c>
      <c r="T32" s="70">
        <f>IF('Configurações'!$K$31="","",'Configurações'!$K$31)</f>
        <v>0</v>
      </c>
      <c r="U32" s="70">
        <f>IF('Configurações'!$L$31="","",'Configurações'!$L$31)</f>
        <v>0</v>
      </c>
      <c r="V32" s="71">
        <f>IF(OR(Q32="",AND(T32="",U32="")),"",IF(OR(AND(T32&lt;&gt;"",Q32&lt;T32),AND(U32&lt;&gt;"",Q32&gt;U32)),"Fora","OK"))</f>
        <v>0</v>
      </c>
    </row>
    <row r="33" spans="1:22">
      <c r="A33" s="25" t="s">
        <v>159</v>
      </c>
      <c r="B33" s="64" t="s">
        <v>43</v>
      </c>
      <c r="C33" s="27" t="s">
        <v>35</v>
      </c>
      <c r="D33" s="28" t="s">
        <v>150</v>
      </c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6">
        <f>IFERROR(IF(COUNT(E33:P33)=0,"",IF('Configurações'!$F$32="Soma",SUM(E33:P33),IF('Configurações'!$F$32="Último valor",LOOKUP(2,1/(E33:P33&lt;&gt;""),E33:P33),AVERAGE(E33:P33)))),"")</f>
        <v>0</v>
      </c>
      <c r="R33" s="67">
        <f>IF(COUNT(E33:P33)=0,"",MIN(E33:P33))</f>
        <v>0</v>
      </c>
      <c r="S33" s="67">
        <f>IF(COUNT(E33:P33)=0,"",MAX(E33:P33))</f>
        <v>0</v>
      </c>
      <c r="T33" s="67">
        <f>IF('Configurações'!$K$32="","",'Configurações'!$K$32)</f>
        <v>0</v>
      </c>
      <c r="U33" s="67">
        <f>IF('Configurações'!$L$32="","",'Configurações'!$L$32)</f>
        <v>0</v>
      </c>
      <c r="V33" s="16">
        <f>IF(OR(Q33="",AND(T33="",U33="")),"",IF(OR(AND(T33&lt;&gt;"",Q33&lt;T33),AND(U33&lt;&gt;"",Q33&gt;U33)),"Fora","OK"))</f>
        <v>0</v>
      </c>
    </row>
    <row r="34" spans="1:22">
      <c r="A34" s="25" t="s">
        <v>160</v>
      </c>
      <c r="B34" s="64"/>
      <c r="C34" s="27"/>
      <c r="D34" s="42" t="s">
        <v>152</v>
      </c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6">
        <f>IFERROR(IF(COUNT(E34:P34)=0,"",IF('Configurações'!$F$32="Soma",SUM(E34:P34),IF('Configurações'!$F$32="Último valor",LOOKUP(2,1/(E34:P34&lt;&gt;""),E34:P34),AVERAGE(E34:P34)))),"")</f>
        <v>0</v>
      </c>
      <c r="R34" s="67">
        <f>IF(COUNT(E34:P34)=0,"",MIN(E34:P34))</f>
        <v>0</v>
      </c>
      <c r="S34" s="67">
        <f>IF(COUNT(E34:P34)=0,"",MAX(E34:P34))</f>
        <v>0</v>
      </c>
      <c r="T34" s="67">
        <f>IF('Configurações'!$K$32="","",'Configurações'!$K$32)</f>
        <v>0</v>
      </c>
      <c r="U34" s="67">
        <f>IF('Configurações'!$L$32="","",'Configurações'!$L$32)</f>
        <v>0</v>
      </c>
      <c r="V34" s="16">
        <f>IF(OR(Q34="",AND(T34="",U34="")),"",IF(OR(AND(T34&lt;&gt;"",Q34&lt;T34),AND(U34&lt;&gt;"",Q34&gt;U34)),"Fora","OK"))</f>
        <v>0</v>
      </c>
    </row>
    <row r="35" spans="1:22">
      <c r="A35" s="25" t="s">
        <v>161</v>
      </c>
      <c r="B35" s="68" t="s">
        <v>56</v>
      </c>
      <c r="C35" s="33" t="s">
        <v>50</v>
      </c>
      <c r="D35" s="34" t="s">
        <v>150</v>
      </c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6">
        <f>IFERROR(IF(COUNT(E35:P35)=0,"",IF('Configurações'!$F$33="Soma",SUM(E35:P35),IF('Configurações'!$F$33="Último valor",LOOKUP(2,1/(E35:P35&lt;&gt;""),E35:P35),AVERAGE(E35:P35)))),"")</f>
        <v>0</v>
      </c>
      <c r="R35" s="70">
        <f>IF(COUNT(E35:P35)=0,"",MIN(E35:P35))</f>
        <v>0</v>
      </c>
      <c r="S35" s="70">
        <f>IF(COUNT(E35:P35)=0,"",MAX(E35:P35))</f>
        <v>0</v>
      </c>
      <c r="T35" s="70">
        <f>IF('Configurações'!$K$33="","",'Configurações'!$K$33)</f>
        <v>0</v>
      </c>
      <c r="U35" s="70">
        <f>IF('Configurações'!$L$33="","",'Configurações'!$L$33)</f>
        <v>0</v>
      </c>
      <c r="V35" s="71">
        <f>IF(OR(Q35="",AND(T35="",U35="")),"",IF(OR(AND(T35&lt;&gt;"",Q35&lt;T35),AND(U35&lt;&gt;"",Q35&gt;U35)),"Fora","OK"))</f>
        <v>0</v>
      </c>
    </row>
    <row r="36" spans="1:22">
      <c r="A36" s="25" t="s">
        <v>162</v>
      </c>
      <c r="B36" s="68"/>
      <c r="C36" s="33"/>
      <c r="D36" s="43" t="s">
        <v>152</v>
      </c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6">
        <f>IFERROR(IF(COUNT(E36:P36)=0,"",IF('Configurações'!$F$33="Soma",SUM(E36:P36),IF('Configurações'!$F$33="Último valor",LOOKUP(2,1/(E36:P36&lt;&gt;""),E36:P36),AVERAGE(E36:P36)))),"")</f>
        <v>0</v>
      </c>
      <c r="R36" s="70">
        <f>IF(COUNT(E36:P36)=0,"",MIN(E36:P36))</f>
        <v>0</v>
      </c>
      <c r="S36" s="70">
        <f>IF(COUNT(E36:P36)=0,"",MAX(E36:P36))</f>
        <v>0</v>
      </c>
      <c r="T36" s="70">
        <f>IF('Configurações'!$K$33="","",'Configurações'!$K$33)</f>
        <v>0</v>
      </c>
      <c r="U36" s="70">
        <f>IF('Configurações'!$L$33="","",'Configurações'!$L$33)</f>
        <v>0</v>
      </c>
      <c r="V36" s="71">
        <f>IF(OR(Q36="",AND(T36="",U36="")),"",IF(OR(AND(T36&lt;&gt;"",Q36&lt;T36),AND(U36&lt;&gt;"",Q36&gt;U36)),"Fora","OK"))</f>
        <v>0</v>
      </c>
    </row>
    <row r="37" spans="1:22">
      <c r="A37" s="25" t="s">
        <v>163</v>
      </c>
      <c r="B37" s="64" t="s">
        <v>59</v>
      </c>
      <c r="C37" s="27" t="s">
        <v>60</v>
      </c>
      <c r="D37" s="28" t="s">
        <v>150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8">
        <f>IFERROR(IF(COUNT(E37:P37)=0,"",IF('Configurações'!$F$34="Soma",SUM(E37:P37),IF('Configurações'!$F$34="Último valor",LOOKUP(2,1/(E37:P37&lt;&gt;""),E37:P37),AVERAGE(E37:P37)))),"")</f>
        <v>0</v>
      </c>
      <c r="R37" s="79">
        <f>IF(COUNT(E37:P37)=0,"",MIN(E37:P37))</f>
        <v>0</v>
      </c>
      <c r="S37" s="79">
        <f>IF(COUNT(E37:P37)=0,"",MAX(E37:P37))</f>
        <v>0</v>
      </c>
      <c r="T37" s="79">
        <f>IF('Configurações'!$K$34="","",'Configurações'!$K$34)</f>
        <v>0</v>
      </c>
      <c r="U37" s="79">
        <f>IF('Configurações'!$L$34="","",'Configurações'!$L$34)</f>
        <v>0</v>
      </c>
      <c r="V37" s="16">
        <f>IF(OR(Q37="",AND(T37="",U37="")),"",IF(OR(AND(T37&lt;&gt;"",Q37&lt;T37),AND(U37&lt;&gt;"",Q37&gt;U37)),"Fora","OK"))</f>
        <v>0</v>
      </c>
    </row>
    <row r="38" spans="1:22">
      <c r="A38" s="25" t="s">
        <v>164</v>
      </c>
      <c r="B38" s="64"/>
      <c r="C38" s="27"/>
      <c r="D38" s="42" t="s">
        <v>152</v>
      </c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8">
        <f>IFERROR(IF(COUNT(E38:P38)=0,"",IF('Configurações'!$F$34="Soma",SUM(E38:P38),IF('Configurações'!$F$34="Último valor",LOOKUP(2,1/(E38:P38&lt;&gt;""),E38:P38),AVERAGE(E38:P38)))),"")</f>
        <v>0</v>
      </c>
      <c r="R38" s="79">
        <f>IF(COUNT(E38:P38)=0,"",MIN(E38:P38))</f>
        <v>0</v>
      </c>
      <c r="S38" s="79">
        <f>IF(COUNT(E38:P38)=0,"",MAX(E38:P38))</f>
        <v>0</v>
      </c>
      <c r="T38" s="79">
        <f>IF('Configurações'!$K$34="","",'Configurações'!$K$34)</f>
        <v>0</v>
      </c>
      <c r="U38" s="79">
        <f>IF('Configurações'!$L$34="","",'Configurações'!$L$34)</f>
        <v>0</v>
      </c>
      <c r="V38" s="16">
        <f>IF(OR(Q38="",AND(T38="",U38="")),"",IF(OR(AND(T38&lt;&gt;"",Q38&lt;T38),AND(U38&lt;&gt;"",Q38&gt;U38)),"Fora","OK"))</f>
        <v>0</v>
      </c>
    </row>
    <row r="39" spans="1:22">
      <c r="A39" s="25" t="s">
        <v>165</v>
      </c>
      <c r="B39" s="68" t="s">
        <v>63</v>
      </c>
      <c r="C39" s="33" t="s">
        <v>35</v>
      </c>
      <c r="D39" s="34" t="s">
        <v>150</v>
      </c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6">
        <f>IFERROR(IF(COUNT(E39:P39)=0,"",IF('Configurações'!$F$35="Soma",SUM(E39:P39),IF('Configurações'!$F$35="Último valor",LOOKUP(2,1/(E39:P39&lt;&gt;""),E39:P39),AVERAGE(E39:P39)))),"")</f>
        <v>0</v>
      </c>
      <c r="R39" s="70">
        <f>IF(COUNT(E39:P39)=0,"",MIN(E39:P39))</f>
        <v>0</v>
      </c>
      <c r="S39" s="70">
        <f>IF(COUNT(E39:P39)=0,"",MAX(E39:P39))</f>
        <v>0</v>
      </c>
      <c r="T39" s="70">
        <f>IF('Configurações'!$K$35="","",'Configurações'!$K$35)</f>
        <v>0</v>
      </c>
      <c r="U39" s="70">
        <f>IF('Configurações'!$L$35="","",'Configurações'!$L$35)</f>
        <v>0</v>
      </c>
      <c r="V39" s="71">
        <f>IF(OR(Q39="",AND(T39="",U39="")),"",IF(OR(AND(T39&lt;&gt;"",Q39&lt;T39),AND(U39&lt;&gt;"",Q39&gt;U39)),"Fora","OK"))</f>
        <v>0</v>
      </c>
    </row>
    <row r="40" spans="1:22">
      <c r="A40" s="25" t="s">
        <v>166</v>
      </c>
      <c r="B40" s="68"/>
      <c r="C40" s="33"/>
      <c r="D40" s="43" t="s">
        <v>152</v>
      </c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6">
        <f>IFERROR(IF(COUNT(E40:P40)=0,"",IF('Configurações'!$F$35="Soma",SUM(E40:P40),IF('Configurações'!$F$35="Último valor",LOOKUP(2,1/(E40:P40&lt;&gt;""),E40:P40),AVERAGE(E40:P40)))),"")</f>
        <v>0</v>
      </c>
      <c r="R40" s="70">
        <f>IF(COUNT(E40:P40)=0,"",MIN(E40:P40))</f>
        <v>0</v>
      </c>
      <c r="S40" s="70">
        <f>IF(COUNT(E40:P40)=0,"",MAX(E40:P40))</f>
        <v>0</v>
      </c>
      <c r="T40" s="70">
        <f>IF('Configurações'!$K$35="","",'Configurações'!$K$35)</f>
        <v>0</v>
      </c>
      <c r="U40" s="70">
        <f>IF('Configurações'!$L$35="","",'Configurações'!$L$35)</f>
        <v>0</v>
      </c>
      <c r="V40" s="71">
        <f>IF(OR(Q40="",AND(T40="",U40="")),"",IF(OR(AND(T40&lt;&gt;"",Q40&lt;T40),AND(U40&lt;&gt;"",Q40&gt;U40)),"Fora","OK"))</f>
        <v>0</v>
      </c>
    </row>
    <row r="41" spans="1:22">
      <c r="A41" s="25" t="s">
        <v>167</v>
      </c>
      <c r="B41" s="64" t="s">
        <v>44</v>
      </c>
      <c r="C41" s="27" t="s">
        <v>35</v>
      </c>
      <c r="D41" s="28" t="s">
        <v>150</v>
      </c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3">
        <f>IFERROR(IF(COUNT(E41:P41)=0,"",IF('Configurações'!$F$36="Soma",SUM(E41:P41),IF('Configurações'!$F$36="Último valor",LOOKUP(2,1/(E41:P41&lt;&gt;""),E41:P41),AVERAGE(E41:P41)))),"")</f>
        <v>0</v>
      </c>
      <c r="R41" s="76">
        <f>IF(COUNT(E41:P41)=0,"",MIN(E41:P41))</f>
        <v>0</v>
      </c>
      <c r="S41" s="76">
        <f>IF(COUNT(E41:P41)=0,"",MAX(E41:P41))</f>
        <v>0</v>
      </c>
      <c r="T41" s="76">
        <f>IF('Configurações'!$K$36="","",'Configurações'!$K$36)</f>
        <v>0</v>
      </c>
      <c r="U41" s="76">
        <f>IF('Configurações'!$L$36="","",'Configurações'!$L$36)</f>
        <v>0</v>
      </c>
      <c r="V41" s="16">
        <f>IF(OR(Q41="",AND(T41="",U41="")),"",IF(OR(AND(T41&lt;&gt;"",Q41&lt;T41),AND(U41&lt;&gt;"",Q41&gt;U41)),"Fora","OK"))</f>
        <v>0</v>
      </c>
    </row>
    <row r="42" spans="1:22">
      <c r="A42" s="25" t="s">
        <v>168</v>
      </c>
      <c r="B42" s="64"/>
      <c r="C42" s="27"/>
      <c r="D42" s="42" t="s">
        <v>152</v>
      </c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3">
        <f>IFERROR(IF(COUNT(E42:P42)=0,"",IF('Configurações'!$F$36="Soma",SUM(E42:P42),IF('Configurações'!$F$36="Último valor",LOOKUP(2,1/(E42:P42&lt;&gt;""),E42:P42),AVERAGE(E42:P42)))),"")</f>
        <v>0</v>
      </c>
      <c r="R42" s="76">
        <f>IF(COUNT(E42:P42)=0,"",MIN(E42:P42))</f>
        <v>0</v>
      </c>
      <c r="S42" s="76">
        <f>IF(COUNT(E42:P42)=0,"",MAX(E42:P42))</f>
        <v>0</v>
      </c>
      <c r="T42" s="76">
        <f>IF('Configurações'!$K$36="","",'Configurações'!$K$36)</f>
        <v>0</v>
      </c>
      <c r="U42" s="76">
        <f>IF('Configurações'!$L$36="","",'Configurações'!$L$36)</f>
        <v>0</v>
      </c>
      <c r="V42" s="16">
        <f>IF(OR(Q42="",AND(T42="",U42="")),"",IF(OR(AND(T42&lt;&gt;"",Q42&lt;T42),AND(U42&lt;&gt;"",Q42&gt;U42)),"Fora","OK"))</f>
        <v>0</v>
      </c>
    </row>
    <row r="43" spans="1:22">
      <c r="A43" s="25" t="s">
        <v>169</v>
      </c>
      <c r="B43" s="68" t="s">
        <v>45</v>
      </c>
      <c r="C43" s="33" t="s">
        <v>35</v>
      </c>
      <c r="D43" s="34" t="s">
        <v>150</v>
      </c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3">
        <f>IFERROR(IF(COUNT(E43:P43)=0,"",IF('Configurações'!$F$37="Soma",SUM(E43:P43),IF('Configurações'!$F$37="Último valor",LOOKUP(2,1/(E43:P43&lt;&gt;""),E43:P43),AVERAGE(E43:P43)))),"")</f>
        <v>0</v>
      </c>
      <c r="R43" s="74">
        <f>IF(COUNT(E43:P43)=0,"",MIN(E43:P43))</f>
        <v>0</v>
      </c>
      <c r="S43" s="74">
        <f>IF(COUNT(E43:P43)=0,"",MAX(E43:P43))</f>
        <v>0</v>
      </c>
      <c r="T43" s="74">
        <f>IF('Configurações'!$K$37="","",'Configurações'!$K$37)</f>
        <v>0</v>
      </c>
      <c r="U43" s="74">
        <f>IF('Configurações'!$L$37="","",'Configurações'!$L$37)</f>
        <v>0</v>
      </c>
      <c r="V43" s="71">
        <f>IF(OR(Q43="",AND(T43="",U43="")),"",IF(OR(AND(T43&lt;&gt;"",Q43&lt;T43),AND(U43&lt;&gt;"",Q43&gt;U43)),"Fora","OK"))</f>
        <v>0</v>
      </c>
    </row>
    <row r="44" spans="1:22">
      <c r="A44" s="25" t="s">
        <v>170</v>
      </c>
      <c r="B44" s="68"/>
      <c r="C44" s="33"/>
      <c r="D44" s="43" t="s">
        <v>152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3">
        <f>IFERROR(IF(COUNT(E44:P44)=0,"",IF('Configurações'!$F$37="Soma",SUM(E44:P44),IF('Configurações'!$F$37="Último valor",LOOKUP(2,1/(E44:P44&lt;&gt;""),E44:P44),AVERAGE(E44:P44)))),"")</f>
        <v>0</v>
      </c>
      <c r="R44" s="74">
        <f>IF(COUNT(E44:P44)=0,"",MIN(E44:P44))</f>
        <v>0</v>
      </c>
      <c r="S44" s="74">
        <f>IF(COUNT(E44:P44)=0,"",MAX(E44:P44))</f>
        <v>0</v>
      </c>
      <c r="T44" s="74">
        <f>IF('Configurações'!$K$37="","",'Configurações'!$K$37)</f>
        <v>0</v>
      </c>
      <c r="U44" s="74">
        <f>IF('Configurações'!$L$37="","",'Configurações'!$L$37)</f>
        <v>0</v>
      </c>
      <c r="V44" s="71">
        <f>IF(OR(Q44="",AND(T44="",U44="")),"",IF(OR(AND(T44&lt;&gt;"",Q44&lt;T44),AND(U44&lt;&gt;"",Q44&gt;U44)),"Fora","OK"))</f>
        <v>0</v>
      </c>
    </row>
    <row r="45" spans="1:22">
      <c r="A45" s="25" t="s">
        <v>171</v>
      </c>
      <c r="B45" s="64" t="s">
        <v>46</v>
      </c>
      <c r="C45" s="27" t="s">
        <v>35</v>
      </c>
      <c r="D45" s="28" t="s">
        <v>150</v>
      </c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3">
        <f>IFERROR(IF(COUNT(E45:P45)=0,"",IF('Configurações'!$F$38="Soma",SUM(E45:P45),IF('Configurações'!$F$38="Último valor",LOOKUP(2,1/(E45:P45&lt;&gt;""),E45:P45),AVERAGE(E45:P45)))),"")</f>
        <v>0</v>
      </c>
      <c r="R45" s="76">
        <f>IF(COUNT(E45:P45)=0,"",MIN(E45:P45))</f>
        <v>0</v>
      </c>
      <c r="S45" s="76">
        <f>IF(COUNT(E45:P45)=0,"",MAX(E45:P45))</f>
        <v>0</v>
      </c>
      <c r="T45" s="76">
        <f>IF('Configurações'!$K$38="","",'Configurações'!$K$38)</f>
        <v>0</v>
      </c>
      <c r="U45" s="76">
        <f>IF('Configurações'!$L$38="","",'Configurações'!$L$38)</f>
        <v>0</v>
      </c>
      <c r="V45" s="16">
        <f>IF(OR(Q45="",AND(T45="",U45="")),"",IF(OR(AND(T45&lt;&gt;"",Q45&lt;T45),AND(U45&lt;&gt;"",Q45&gt;U45)),"Fora","OK"))</f>
        <v>0</v>
      </c>
    </row>
    <row r="46" spans="1:22">
      <c r="A46" s="25" t="s">
        <v>172</v>
      </c>
      <c r="B46" s="64"/>
      <c r="C46" s="27"/>
      <c r="D46" s="42" t="s">
        <v>152</v>
      </c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3">
        <f>IFERROR(IF(COUNT(E46:P46)=0,"",IF('Configurações'!$F$38="Soma",SUM(E46:P46),IF('Configurações'!$F$38="Último valor",LOOKUP(2,1/(E46:P46&lt;&gt;""),E46:P46),AVERAGE(E46:P46)))),"")</f>
        <v>0</v>
      </c>
      <c r="R46" s="76">
        <f>IF(COUNT(E46:P46)=0,"",MIN(E46:P46))</f>
        <v>0</v>
      </c>
      <c r="S46" s="76">
        <f>IF(COUNT(E46:P46)=0,"",MAX(E46:P46))</f>
        <v>0</v>
      </c>
      <c r="T46" s="76">
        <f>IF('Configurações'!$K$38="","",'Configurações'!$K$38)</f>
        <v>0</v>
      </c>
      <c r="U46" s="76">
        <f>IF('Configurações'!$L$38="","",'Configurações'!$L$38)</f>
        <v>0</v>
      </c>
      <c r="V46" s="16">
        <f>IF(OR(Q46="",AND(T46="",U46="")),"",IF(OR(AND(T46&lt;&gt;"",Q46&lt;T46),AND(U46&lt;&gt;"",Q46&gt;U46)),"Fora","OK"))</f>
        <v>0</v>
      </c>
    </row>
    <row r="47" spans="1:22" ht="22" customHeight="1">
      <c r="B47" s="80" t="s">
        <v>173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</row>
  </sheetData>
  <sheetProtection sheet="1" objects="1" scenarios="1" formatColumns="0" formatRows="0"/>
  <mergeCells count="42">
    <mergeCell ref="D2:V2"/>
    <mergeCell ref="D3:V3"/>
    <mergeCell ref="C6:G6"/>
    <mergeCell ref="C7:G7"/>
    <mergeCell ref="H6:I6"/>
    <mergeCell ref="H7:I7"/>
    <mergeCell ref="J6:M6"/>
    <mergeCell ref="J7:M7"/>
    <mergeCell ref="N6:P6"/>
    <mergeCell ref="N7:P7"/>
    <mergeCell ref="Q6:V6"/>
    <mergeCell ref="Q7:V7"/>
    <mergeCell ref="C9:D9"/>
    <mergeCell ref="E9:G9"/>
    <mergeCell ref="I9:K9"/>
    <mergeCell ref="L9:V9"/>
    <mergeCell ref="C10:V10"/>
    <mergeCell ref="B13:V13"/>
    <mergeCell ref="B24:V24"/>
    <mergeCell ref="B25:B26"/>
    <mergeCell ref="C25:C26"/>
    <mergeCell ref="B27:B28"/>
    <mergeCell ref="C27:C28"/>
    <mergeCell ref="B29:B30"/>
    <mergeCell ref="C29:C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B44"/>
    <mergeCell ref="C43:C44"/>
    <mergeCell ref="B45:B46"/>
    <mergeCell ref="C45:C46"/>
    <mergeCell ref="B47:V47"/>
  </mergeCells>
  <conditionalFormatting sqref="E13:Q46">
    <cfRule type="expression" dxfId="1" priority="1">
      <formula>AND(ISNUMBER(E13),OR(AND(ISNUMBER($T13),E13&lt;$T13),AND(ISNUMBER($U13),E13&gt;$U13)))</formula>
    </cfRule>
  </conditionalFormatting>
  <dataValidations count="2">
    <dataValidation type="date" operator="greaterThan" allowBlank="1" showInputMessage="1" showErrorMessage="1" error="Digite data e hora: dd/mm/aaaa hh:mm" sqref="E9">
      <formula1>43831</formula1>
    </dataValidation>
    <dataValidation type="date" operator="greaterThan" allowBlank="1" showInputMessage="1" showErrorMessage="1" error="Digite data e hora: dd/mm/aaaa hh:mm" sqref="I9">
      <formula1>43831</formula1>
    </dataValidation>
  </dataValidations>
  <printOptions horizontalCentered="1"/>
  <pageMargins left="0.3" right="0.3" top="0.4" bottom="0.4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6" customHeight="1"/>
    <row r="2" spans="2:28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81" t="s">
        <v>67</v>
      </c>
      <c r="T5" s="81"/>
      <c r="U5" s="81"/>
      <c r="V5" s="81"/>
      <c r="W5" s="81"/>
      <c r="X5" s="81"/>
      <c r="Y5" s="81"/>
      <c r="Z5" s="81"/>
      <c r="AA5" s="81"/>
      <c r="AB5" s="81"/>
    </row>
    <row r="6" spans="2:28" ht="20" customHeight="1">
      <c r="B6" s="82" t="s">
        <v>3</v>
      </c>
      <c r="C6" s="82"/>
      <c r="D6" s="83" t="s">
        <v>4</v>
      </c>
      <c r="E6" s="83"/>
      <c r="F6" s="83"/>
      <c r="G6" s="84" t="s">
        <v>5</v>
      </c>
      <c r="H6" s="84"/>
      <c r="I6" s="84"/>
      <c r="J6" s="84"/>
      <c r="S6" s="85" t="s">
        <v>68</v>
      </c>
      <c r="T6" s="85" t="s">
        <v>71</v>
      </c>
      <c r="U6" s="85" t="s">
        <v>76</v>
      </c>
      <c r="V6" s="85" t="s">
        <v>79</v>
      </c>
      <c r="W6" s="85" t="s">
        <v>82</v>
      </c>
      <c r="X6" s="85" t="s">
        <v>22</v>
      </c>
      <c r="Y6" s="85" t="s">
        <v>88</v>
      </c>
      <c r="Z6" s="85" t="s">
        <v>90</v>
      </c>
      <c r="AA6" s="85" t="s">
        <v>93</v>
      </c>
      <c r="AB6" s="85" t="s">
        <v>95</v>
      </c>
    </row>
    <row r="7" spans="2:28" ht="20" customHeight="1">
      <c r="B7" s="82" t="s">
        <v>6</v>
      </c>
      <c r="C7" s="82"/>
      <c r="D7" s="83" t="s">
        <v>7</v>
      </c>
      <c r="E7" s="83"/>
      <c r="F7" s="83"/>
      <c r="G7" s="84" t="s">
        <v>8</v>
      </c>
      <c r="H7" s="84"/>
      <c r="I7" s="84"/>
      <c r="J7" s="84"/>
      <c r="S7" s="86" t="s">
        <v>69</v>
      </c>
      <c r="T7" s="86" t="s">
        <v>72</v>
      </c>
      <c r="U7" s="86" t="s">
        <v>77</v>
      </c>
      <c r="V7" s="86" t="s">
        <v>80</v>
      </c>
      <c r="W7" s="86" t="s">
        <v>83</v>
      </c>
      <c r="X7" s="86" t="s">
        <v>36</v>
      </c>
      <c r="Y7" s="86" t="s">
        <v>4</v>
      </c>
      <c r="Z7" s="86" t="s">
        <v>91</v>
      </c>
      <c r="AA7" s="86" t="s">
        <v>37</v>
      </c>
      <c r="AB7" s="86" t="s">
        <v>96</v>
      </c>
    </row>
    <row r="8" spans="2:28" ht="20" customHeight="1">
      <c r="B8" s="82" t="s">
        <v>9</v>
      </c>
      <c r="C8" s="82"/>
      <c r="D8" s="87">
        <v>0.2916666666666667</v>
      </c>
      <c r="E8" s="87"/>
      <c r="F8" s="87"/>
      <c r="G8" s="84" t="s">
        <v>10</v>
      </c>
      <c r="H8" s="84"/>
      <c r="I8" s="84"/>
      <c r="J8" s="84"/>
      <c r="S8" s="86" t="s">
        <v>70</v>
      </c>
      <c r="T8" s="86" t="s">
        <v>73</v>
      </c>
      <c r="U8" s="86" t="s">
        <v>78</v>
      </c>
      <c r="V8" s="86" t="s">
        <v>81</v>
      </c>
      <c r="W8" s="86" t="s">
        <v>84</v>
      </c>
      <c r="X8" s="86" t="s">
        <v>86</v>
      </c>
      <c r="Y8" s="86" t="s">
        <v>89</v>
      </c>
      <c r="Z8" s="86" t="s">
        <v>92</v>
      </c>
      <c r="AA8" s="86" t="s">
        <v>94</v>
      </c>
      <c r="AB8" s="86" t="s">
        <v>14</v>
      </c>
    </row>
    <row r="9" spans="2:28" ht="20" customHeight="1">
      <c r="B9" s="82" t="s">
        <v>11</v>
      </c>
      <c r="C9" s="82"/>
      <c r="D9" s="83">
        <v>60</v>
      </c>
      <c r="E9" s="83"/>
      <c r="F9" s="83"/>
      <c r="G9" s="84" t="s">
        <v>12</v>
      </c>
      <c r="H9" s="84"/>
      <c r="I9" s="84"/>
      <c r="J9" s="84"/>
      <c r="T9" s="86" t="s">
        <v>74</v>
      </c>
      <c r="W9" s="86" t="s">
        <v>85</v>
      </c>
      <c r="X9" s="86" t="s">
        <v>87</v>
      </c>
      <c r="AB9" s="86" t="s">
        <v>97</v>
      </c>
    </row>
    <row r="10" spans="2:28" ht="20" customHeight="1">
      <c r="B10" s="82" t="s">
        <v>13</v>
      </c>
      <c r="C10" s="82"/>
      <c r="D10" s="83" t="s">
        <v>14</v>
      </c>
      <c r="E10" s="83"/>
      <c r="F10" s="83"/>
      <c r="G10" s="84" t="s">
        <v>15</v>
      </c>
      <c r="H10" s="84"/>
      <c r="I10" s="84"/>
      <c r="J10" s="84"/>
      <c r="T10" s="86" t="s">
        <v>75</v>
      </c>
    </row>
    <row r="15" spans="2:28" ht="28" customHeight="1">
      <c r="B15" s="88" t="s">
        <v>16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</row>
    <row r="16" spans="2:28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89" t="s">
        <v>18</v>
      </c>
      <c r="C17" s="89" t="s">
        <v>19</v>
      </c>
      <c r="D17" s="89" t="s">
        <v>20</v>
      </c>
      <c r="E17" s="89" t="s">
        <v>21</v>
      </c>
      <c r="F17" s="89" t="s">
        <v>22</v>
      </c>
      <c r="G17" s="89" t="s">
        <v>23</v>
      </c>
      <c r="H17" s="89" t="s">
        <v>24</v>
      </c>
      <c r="I17" s="89" t="s">
        <v>25</v>
      </c>
      <c r="J17" s="89" t="s">
        <v>26</v>
      </c>
      <c r="K17" s="89" t="s">
        <v>27</v>
      </c>
      <c r="L17" s="89" t="s">
        <v>28</v>
      </c>
      <c r="M17" s="89" t="s">
        <v>29</v>
      </c>
      <c r="N17" s="89" t="s">
        <v>30</v>
      </c>
      <c r="O17" s="89" t="s">
        <v>31</v>
      </c>
      <c r="P17" s="89" t="s">
        <v>32</v>
      </c>
    </row>
    <row r="18" spans="2:16">
      <c r="B18" s="90" t="s">
        <v>33</v>
      </c>
      <c r="C18" s="91" t="s">
        <v>34</v>
      </c>
      <c r="D18" s="83" t="s">
        <v>35</v>
      </c>
      <c r="E18" s="83">
        <v>2</v>
      </c>
      <c r="F18" s="83" t="s">
        <v>36</v>
      </c>
      <c r="G18" s="92"/>
      <c r="H18" s="93" t="s">
        <v>37</v>
      </c>
      <c r="I18" s="94">
        <f>IF(G18="","",G18)</f>
        <v/>
      </c>
      <c r="J18" s="93" t="s">
        <v>37</v>
      </c>
      <c r="K18" s="83"/>
      <c r="L18" s="83"/>
      <c r="M18" s="83">
        <v>0</v>
      </c>
      <c r="N18" s="83">
        <v>50000</v>
      </c>
      <c r="O18" s="83">
        <v>67.5</v>
      </c>
      <c r="P18" s="83">
        <v>67.5</v>
      </c>
    </row>
    <row r="19" spans="2:16">
      <c r="B19" s="95" t="s">
        <v>33</v>
      </c>
      <c r="C19" s="96" t="s">
        <v>38</v>
      </c>
      <c r="D19" s="83" t="s">
        <v>35</v>
      </c>
      <c r="E19" s="83">
        <v>2</v>
      </c>
      <c r="F19" s="83" t="s">
        <v>36</v>
      </c>
      <c r="G19" s="92" t="s">
        <v>39</v>
      </c>
      <c r="H19" s="93" t="s">
        <v>37</v>
      </c>
      <c r="I19" s="94" t="str">
        <f>IF(G19="","",G19)</f>
        <v>M650030010-0004-HHLQU</v>
      </c>
      <c r="J19" s="93" t="s">
        <v>37</v>
      </c>
      <c r="K19" s="83"/>
      <c r="L19" s="83"/>
      <c r="M19" s="83">
        <v>0</v>
      </c>
      <c r="N19" s="83">
        <v>50000</v>
      </c>
      <c r="O19" s="83">
        <v>1.29</v>
      </c>
      <c r="P19" s="83">
        <v>1.29</v>
      </c>
    </row>
    <row r="20" spans="2:16">
      <c r="B20" s="90" t="s">
        <v>33</v>
      </c>
      <c r="C20" s="91" t="s">
        <v>40</v>
      </c>
      <c r="D20" s="83" t="s">
        <v>35</v>
      </c>
      <c r="E20" s="83">
        <v>2</v>
      </c>
      <c r="F20" s="83" t="s">
        <v>36</v>
      </c>
      <c r="G20" s="92"/>
      <c r="H20" s="93" t="s">
        <v>37</v>
      </c>
      <c r="I20" s="94">
        <f>IF(G20="","",G20)</f>
        <v/>
      </c>
      <c r="J20" s="93" t="s">
        <v>37</v>
      </c>
      <c r="K20" s="83"/>
      <c r="L20" s="83"/>
      <c r="M20" s="83">
        <v>0</v>
      </c>
      <c r="N20" s="83">
        <v>50000</v>
      </c>
      <c r="O20" s="83">
        <v>0.4</v>
      </c>
      <c r="P20" s="83">
        <v>0.4</v>
      </c>
    </row>
    <row r="21" spans="2:16">
      <c r="B21" s="95" t="s">
        <v>33</v>
      </c>
      <c r="C21" s="96" t="s">
        <v>41</v>
      </c>
      <c r="D21" s="83" t="s">
        <v>35</v>
      </c>
      <c r="E21" s="83">
        <v>2</v>
      </c>
      <c r="F21" s="83" t="s">
        <v>36</v>
      </c>
      <c r="G21" s="92" t="s">
        <v>42</v>
      </c>
      <c r="H21" s="93" t="s">
        <v>37</v>
      </c>
      <c r="I21" s="94" t="str">
        <f>IF(G21="","",G21)</f>
        <v>M650030010-0006-HHLQU</v>
      </c>
      <c r="J21" s="93" t="s">
        <v>37</v>
      </c>
      <c r="K21" s="83"/>
      <c r="L21" s="83"/>
      <c r="M21" s="83">
        <v>0</v>
      </c>
      <c r="N21" s="83">
        <v>50000</v>
      </c>
      <c r="O21" s="83">
        <v>0.09</v>
      </c>
      <c r="P21" s="83">
        <v>0.09</v>
      </c>
    </row>
    <row r="22" spans="2:16">
      <c r="B22" s="90" t="s">
        <v>33</v>
      </c>
      <c r="C22" s="91" t="s">
        <v>43</v>
      </c>
      <c r="D22" s="83" t="s">
        <v>35</v>
      </c>
      <c r="E22" s="83">
        <v>2</v>
      </c>
      <c r="F22" s="83" t="s">
        <v>36</v>
      </c>
      <c r="G22" s="92"/>
      <c r="H22" s="93" t="s">
        <v>37</v>
      </c>
      <c r="I22" s="94">
        <f>IF(G22="","",G22)</f>
        <v/>
      </c>
      <c r="J22" s="93" t="s">
        <v>37</v>
      </c>
      <c r="K22" s="83"/>
      <c r="L22" s="83"/>
      <c r="M22" s="83">
        <v>0</v>
      </c>
      <c r="N22" s="83">
        <v>50000</v>
      </c>
      <c r="O22" s="83">
        <v>0.05</v>
      </c>
      <c r="P22" s="83">
        <v>0.05</v>
      </c>
    </row>
    <row r="23" spans="2:16">
      <c r="B23" s="95" t="s">
        <v>33</v>
      </c>
      <c r="C23" s="96" t="s">
        <v>44</v>
      </c>
      <c r="D23" s="83" t="s">
        <v>35</v>
      </c>
      <c r="E23" s="83">
        <v>3</v>
      </c>
      <c r="F23" s="83" t="s">
        <v>36</v>
      </c>
      <c r="G23" s="92"/>
      <c r="H23" s="93" t="s">
        <v>37</v>
      </c>
      <c r="I23" s="94">
        <f>IF(G23="","",G23)</f>
        <v/>
      </c>
      <c r="J23" s="93" t="s">
        <v>37</v>
      </c>
      <c r="K23" s="83"/>
      <c r="L23" s="83"/>
      <c r="M23" s="83">
        <v>0</v>
      </c>
      <c r="N23" s="83">
        <v>50000</v>
      </c>
      <c r="O23" s="83">
        <v>0.04</v>
      </c>
      <c r="P23" s="83">
        <v>0.04</v>
      </c>
    </row>
    <row r="24" spans="2:16">
      <c r="B24" s="90" t="s">
        <v>33</v>
      </c>
      <c r="C24" s="91" t="s">
        <v>45</v>
      </c>
      <c r="D24" s="83" t="s">
        <v>35</v>
      </c>
      <c r="E24" s="83">
        <v>3</v>
      </c>
      <c r="F24" s="83" t="s">
        <v>36</v>
      </c>
      <c r="G24" s="92"/>
      <c r="H24" s="93" t="s">
        <v>37</v>
      </c>
      <c r="I24" s="94">
        <f>IF(G24="","",G24)</f>
        <v/>
      </c>
      <c r="J24" s="93" t="s">
        <v>37</v>
      </c>
      <c r="K24" s="83"/>
      <c r="L24" s="83"/>
      <c r="M24" s="83">
        <v>0</v>
      </c>
      <c r="N24" s="83">
        <v>50000</v>
      </c>
      <c r="O24" s="83">
        <v>0.06</v>
      </c>
      <c r="P24" s="83">
        <v>0.06</v>
      </c>
    </row>
    <row r="25" spans="2:16">
      <c r="B25" s="95" t="s">
        <v>33</v>
      </c>
      <c r="C25" s="96" t="s">
        <v>46</v>
      </c>
      <c r="D25" s="83" t="s">
        <v>35</v>
      </c>
      <c r="E25" s="83">
        <v>3</v>
      </c>
      <c r="F25" s="83" t="s">
        <v>36</v>
      </c>
      <c r="G25" s="92"/>
      <c r="H25" s="93" t="s">
        <v>37</v>
      </c>
      <c r="I25" s="94">
        <f>IF(G25="","",G25)</f>
        <v/>
      </c>
      <c r="J25" s="93" t="s">
        <v>37</v>
      </c>
      <c r="K25" s="83"/>
      <c r="L25" s="83"/>
      <c r="M25" s="83">
        <v>0</v>
      </c>
      <c r="N25" s="83">
        <v>50000</v>
      </c>
      <c r="O25" s="83">
        <v>0.05</v>
      </c>
      <c r="P25" s="83">
        <v>0.05</v>
      </c>
    </row>
    <row r="26" spans="2:16">
      <c r="B26" s="90" t="s">
        <v>33</v>
      </c>
      <c r="C26" s="91" t="s">
        <v>47</v>
      </c>
      <c r="D26" s="83" t="s">
        <v>35</v>
      </c>
      <c r="E26" s="83">
        <v>2</v>
      </c>
      <c r="F26" s="83" t="s">
        <v>36</v>
      </c>
      <c r="G26" s="92" t="s">
        <v>48</v>
      </c>
      <c r="H26" s="93" t="s">
        <v>37</v>
      </c>
      <c r="I26" s="94" t="str">
        <f>IF(G26="","",G26)</f>
        <v>M650030010-0013-HHLQU</v>
      </c>
      <c r="J26" s="93" t="s">
        <v>37</v>
      </c>
      <c r="K26" s="83"/>
      <c r="L26" s="83"/>
      <c r="M26" s="83">
        <v>0</v>
      </c>
      <c r="N26" s="83">
        <v>50000</v>
      </c>
      <c r="O26" s="83">
        <v>3.66</v>
      </c>
      <c r="P26" s="83">
        <v>3.66</v>
      </c>
    </row>
    <row r="27" spans="2:16">
      <c r="B27" s="95" t="s">
        <v>33</v>
      </c>
      <c r="C27" s="96" t="s">
        <v>49</v>
      </c>
      <c r="D27" s="83" t="s">
        <v>50</v>
      </c>
      <c r="E27" s="83">
        <v>2</v>
      </c>
      <c r="F27" s="83" t="s">
        <v>36</v>
      </c>
      <c r="G27" s="92"/>
      <c r="H27" s="93" t="s">
        <v>37</v>
      </c>
      <c r="I27" s="94">
        <f>IF(G27="","",G27)</f>
        <v/>
      </c>
      <c r="J27" s="93" t="s">
        <v>37</v>
      </c>
      <c r="K27" s="83"/>
      <c r="L27" s="83"/>
      <c r="M27" s="83">
        <v>0</v>
      </c>
      <c r="N27" s="83">
        <v>50000</v>
      </c>
      <c r="O27" s="83">
        <v>10.5</v>
      </c>
      <c r="P27" s="83">
        <v>10.5</v>
      </c>
    </row>
    <row r="28" spans="2:16">
      <c r="B28" s="90" t="s">
        <v>51</v>
      </c>
      <c r="C28" s="91" t="s">
        <v>34</v>
      </c>
      <c r="D28" s="83" t="s">
        <v>35</v>
      </c>
      <c r="E28" s="83">
        <v>2</v>
      </c>
      <c r="F28" s="83" t="s">
        <v>36</v>
      </c>
      <c r="G28" s="92"/>
      <c r="H28" s="93" t="s">
        <v>37</v>
      </c>
      <c r="I28" s="92"/>
      <c r="J28" s="93" t="s">
        <v>37</v>
      </c>
      <c r="K28" s="83"/>
      <c r="L28" s="83"/>
      <c r="M28" s="83">
        <v>0</v>
      </c>
      <c r="N28" s="83">
        <v>50000</v>
      </c>
      <c r="O28" s="83">
        <v>65.5</v>
      </c>
      <c r="P28" s="83">
        <v>65.3</v>
      </c>
    </row>
    <row r="29" spans="2:16">
      <c r="B29" s="95" t="s">
        <v>51</v>
      </c>
      <c r="C29" s="96" t="s">
        <v>38</v>
      </c>
      <c r="D29" s="83" t="s">
        <v>35</v>
      </c>
      <c r="E29" s="83">
        <v>2</v>
      </c>
      <c r="F29" s="83" t="s">
        <v>36</v>
      </c>
      <c r="G29" s="92" t="s">
        <v>52</v>
      </c>
      <c r="H29" s="93" t="s">
        <v>37</v>
      </c>
      <c r="I29" s="92" t="s">
        <v>53</v>
      </c>
      <c r="J29" s="93" t="s">
        <v>37</v>
      </c>
      <c r="K29" s="83"/>
      <c r="L29" s="83"/>
      <c r="M29" s="83">
        <v>0</v>
      </c>
      <c r="N29" s="83">
        <v>50000</v>
      </c>
      <c r="O29" s="83">
        <v>1.82</v>
      </c>
      <c r="P29" s="83">
        <v>1.9</v>
      </c>
    </row>
    <row r="30" spans="2:16">
      <c r="B30" s="90" t="s">
        <v>51</v>
      </c>
      <c r="C30" s="91" t="s">
        <v>40</v>
      </c>
      <c r="D30" s="83" t="s">
        <v>35</v>
      </c>
      <c r="E30" s="83">
        <v>2</v>
      </c>
      <c r="F30" s="83" t="s">
        <v>36</v>
      </c>
      <c r="G30" s="92"/>
      <c r="H30" s="93" t="s">
        <v>37</v>
      </c>
      <c r="I30" s="92"/>
      <c r="J30" s="93" t="s">
        <v>37</v>
      </c>
      <c r="K30" s="83"/>
      <c r="L30" s="83"/>
      <c r="M30" s="83">
        <v>0</v>
      </c>
      <c r="N30" s="83">
        <v>50000</v>
      </c>
      <c r="O30" s="83">
        <v>0.42</v>
      </c>
      <c r="P30" s="83">
        <v>0.44</v>
      </c>
    </row>
    <row r="31" spans="2:16">
      <c r="B31" s="95" t="s">
        <v>51</v>
      </c>
      <c r="C31" s="96" t="s">
        <v>41</v>
      </c>
      <c r="D31" s="83" t="s">
        <v>35</v>
      </c>
      <c r="E31" s="83">
        <v>2</v>
      </c>
      <c r="F31" s="83" t="s">
        <v>36</v>
      </c>
      <c r="G31" s="92" t="s">
        <v>54</v>
      </c>
      <c r="H31" s="93" t="s">
        <v>37</v>
      </c>
      <c r="I31" s="92" t="s">
        <v>55</v>
      </c>
      <c r="J31" s="93" t="s">
        <v>37</v>
      </c>
      <c r="K31" s="83"/>
      <c r="L31" s="83"/>
      <c r="M31" s="83">
        <v>0</v>
      </c>
      <c r="N31" s="83">
        <v>50000</v>
      </c>
      <c r="O31" s="83">
        <v>0.82</v>
      </c>
      <c r="P31" s="83">
        <v>0.88</v>
      </c>
    </row>
    <row r="32" spans="2:16">
      <c r="B32" s="90" t="s">
        <v>51</v>
      </c>
      <c r="C32" s="91" t="s">
        <v>43</v>
      </c>
      <c r="D32" s="83" t="s">
        <v>35</v>
      </c>
      <c r="E32" s="83">
        <v>2</v>
      </c>
      <c r="F32" s="83" t="s">
        <v>36</v>
      </c>
      <c r="G32" s="92"/>
      <c r="H32" s="93" t="s">
        <v>37</v>
      </c>
      <c r="I32" s="92"/>
      <c r="J32" s="93" t="s">
        <v>37</v>
      </c>
      <c r="K32" s="83"/>
      <c r="L32" s="83"/>
      <c r="M32" s="83">
        <v>0</v>
      </c>
      <c r="N32" s="83">
        <v>50000</v>
      </c>
      <c r="O32" s="83">
        <v>0.1</v>
      </c>
      <c r="P32" s="83">
        <v>0.11</v>
      </c>
    </row>
    <row r="33" spans="2:16">
      <c r="B33" s="95" t="s">
        <v>51</v>
      </c>
      <c r="C33" s="96" t="s">
        <v>56</v>
      </c>
      <c r="D33" s="83" t="s">
        <v>50</v>
      </c>
      <c r="E33" s="83">
        <v>2</v>
      </c>
      <c r="F33" s="83" t="s">
        <v>36</v>
      </c>
      <c r="G33" s="92" t="s">
        <v>57</v>
      </c>
      <c r="H33" s="93" t="s">
        <v>37</v>
      </c>
      <c r="I33" s="92" t="s">
        <v>58</v>
      </c>
      <c r="J33" s="93" t="s">
        <v>37</v>
      </c>
      <c r="K33" s="83"/>
      <c r="L33" s="83"/>
      <c r="M33" s="83">
        <v>0</v>
      </c>
      <c r="N33" s="83">
        <v>50000</v>
      </c>
      <c r="O33" s="83">
        <v>0.45</v>
      </c>
      <c r="P33" s="83">
        <v>0.46</v>
      </c>
    </row>
    <row r="34" spans="2:16">
      <c r="B34" s="90" t="s">
        <v>51</v>
      </c>
      <c r="C34" s="91" t="s">
        <v>59</v>
      </c>
      <c r="D34" s="83" t="s">
        <v>60</v>
      </c>
      <c r="E34" s="83">
        <v>1</v>
      </c>
      <c r="F34" s="83" t="s">
        <v>36</v>
      </c>
      <c r="G34" s="92" t="s">
        <v>61</v>
      </c>
      <c r="H34" s="93" t="s">
        <v>37</v>
      </c>
      <c r="I34" s="92" t="s">
        <v>62</v>
      </c>
      <c r="J34" s="93" t="s">
        <v>37</v>
      </c>
      <c r="K34" s="83"/>
      <c r="L34" s="83"/>
      <c r="M34" s="83">
        <v>0</v>
      </c>
      <c r="N34" s="83">
        <v>50000</v>
      </c>
      <c r="O34" s="83">
        <v>12.7</v>
      </c>
      <c r="P34" s="83">
        <v>17.6</v>
      </c>
    </row>
    <row r="35" spans="2:16">
      <c r="B35" s="95" t="s">
        <v>51</v>
      </c>
      <c r="C35" s="96" t="s">
        <v>63</v>
      </c>
      <c r="D35" s="83" t="s">
        <v>35</v>
      </c>
      <c r="E35" s="83">
        <v>2</v>
      </c>
      <c r="F35" s="83" t="s">
        <v>36</v>
      </c>
      <c r="G35" s="92" t="s">
        <v>64</v>
      </c>
      <c r="H35" s="93" t="s">
        <v>37</v>
      </c>
      <c r="I35" s="92" t="s">
        <v>65</v>
      </c>
      <c r="J35" s="93" t="s">
        <v>37</v>
      </c>
      <c r="K35" s="83"/>
      <c r="L35" s="83"/>
      <c r="M35" s="83">
        <v>0</v>
      </c>
      <c r="N35" s="83">
        <v>50000</v>
      </c>
      <c r="O35" s="83">
        <v>1.07</v>
      </c>
      <c r="P35" s="83">
        <v>1.2</v>
      </c>
    </row>
    <row r="36" spans="2:16">
      <c r="B36" s="90" t="s">
        <v>51</v>
      </c>
      <c r="C36" s="91" t="s">
        <v>44</v>
      </c>
      <c r="D36" s="83" t="s">
        <v>35</v>
      </c>
      <c r="E36" s="83">
        <v>3</v>
      </c>
      <c r="F36" s="83" t="s">
        <v>36</v>
      </c>
      <c r="G36" s="92"/>
      <c r="H36" s="93" t="s">
        <v>37</v>
      </c>
      <c r="I36" s="92"/>
      <c r="J36" s="93" t="s">
        <v>37</v>
      </c>
      <c r="K36" s="83"/>
      <c r="L36" s="83"/>
      <c r="M36" s="83">
        <v>0</v>
      </c>
      <c r="N36" s="83">
        <v>50000</v>
      </c>
      <c r="O36" s="83">
        <v>0.045</v>
      </c>
      <c r="P36" s="83">
        <v>0.046</v>
      </c>
    </row>
    <row r="37" spans="2:16">
      <c r="B37" s="95" t="s">
        <v>51</v>
      </c>
      <c r="C37" s="96" t="s">
        <v>45</v>
      </c>
      <c r="D37" s="83" t="s">
        <v>35</v>
      </c>
      <c r="E37" s="83">
        <v>3</v>
      </c>
      <c r="F37" s="83" t="s">
        <v>36</v>
      </c>
      <c r="G37" s="92"/>
      <c r="H37" s="93" t="s">
        <v>37</v>
      </c>
      <c r="I37" s="92"/>
      <c r="J37" s="93" t="s">
        <v>37</v>
      </c>
      <c r="K37" s="83"/>
      <c r="L37" s="83"/>
      <c r="M37" s="83">
        <v>0</v>
      </c>
      <c r="N37" s="83">
        <v>50000</v>
      </c>
      <c r="O37" s="83">
        <v>0.07000000000000001</v>
      </c>
      <c r="P37" s="83">
        <v>0.07099999999999999</v>
      </c>
    </row>
    <row r="38" spans="2:16">
      <c r="B38" s="90" t="s">
        <v>51</v>
      </c>
      <c r="C38" s="91" t="s">
        <v>46</v>
      </c>
      <c r="D38" s="83" t="s">
        <v>35</v>
      </c>
      <c r="E38" s="83">
        <v>3</v>
      </c>
      <c r="F38" s="83" t="s">
        <v>36</v>
      </c>
      <c r="G38" s="92"/>
      <c r="H38" s="93" t="s">
        <v>37</v>
      </c>
      <c r="I38" s="92"/>
      <c r="J38" s="93" t="s">
        <v>37</v>
      </c>
      <c r="K38" s="83"/>
      <c r="L38" s="83"/>
      <c r="M38" s="83">
        <v>0</v>
      </c>
      <c r="N38" s="83">
        <v>50000</v>
      </c>
      <c r="O38" s="83">
        <v>0.055</v>
      </c>
      <c r="P38" s="83">
        <v>0.056</v>
      </c>
    </row>
    <row r="40" spans="2:16">
      <c r="C40" s="97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19" customWidth="1"/>
    <col min="2" max="43" width="14.7109375" customWidth="1"/>
  </cols>
  <sheetData>
    <row r="1" spans="1:17">
      <c r="A1" s="98" t="s">
        <v>98</v>
      </c>
    </row>
    <row r="3" spans="1:17">
      <c r="A3" s="99" t="s">
        <v>99</v>
      </c>
      <c r="B3" s="100"/>
    </row>
    <row r="4" spans="1:17">
      <c r="A4" s="99" t="s">
        <v>100</v>
      </c>
      <c r="B4" s="100"/>
    </row>
    <row r="6" spans="1:17">
      <c r="A6" s="101" t="s">
        <v>101</v>
      </c>
    </row>
    <row r="7" spans="1:17">
      <c r="A7" s="102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103" t="s">
        <v>102</v>
      </c>
      <c r="B8" s="104" t="s">
        <v>103</v>
      </c>
      <c r="C8" s="104" t="s">
        <v>104</v>
      </c>
      <c r="D8" s="104" t="s">
        <v>105</v>
      </c>
      <c r="E8" s="104" t="s">
        <v>106</v>
      </c>
      <c r="F8" s="104" t="s">
        <v>107</v>
      </c>
      <c r="G8" s="104" t="s">
        <v>108</v>
      </c>
      <c r="H8" s="104" t="s">
        <v>109</v>
      </c>
      <c r="I8" s="104" t="s">
        <v>110</v>
      </c>
      <c r="J8" s="104" t="s">
        <v>111</v>
      </c>
      <c r="K8" s="104" t="s">
        <v>112</v>
      </c>
      <c r="L8" s="104" t="s">
        <v>113</v>
      </c>
      <c r="M8" s="104" t="s">
        <v>114</v>
      </c>
      <c r="N8" s="104" t="s">
        <v>115</v>
      </c>
      <c r="O8" s="104" t="s">
        <v>116</v>
      </c>
      <c r="P8" s="104" t="s">
        <v>117</v>
      </c>
      <c r="Q8" s="104" t="s">
        <v>118</v>
      </c>
    </row>
    <row r="9" spans="1:17">
      <c r="A9" s="105">
        <f t="array" ref="A9:Q14">_xll.AspenTech.PME.ProcessData.Functions.ShowCalculationValues(ADDRESS(ROW(Dados_MES!A7),COLUMN(Dados_MES!A7),1,,"Dados_MES"),Dados_MES!A7, 0)</f>
        <v>0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0</v>
      </c>
      <c r="Q9" s="105">
        <v>0</v>
      </c>
    </row>
    <row r="10" spans="1:17">
      <c r="A10" s="105">
        <v>0</v>
      </c>
      <c r="B10" s="105">
        <v>0</v>
      </c>
      <c r="C10" s="105">
        <v>0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0</v>
      </c>
      <c r="Q10" s="105">
        <v>0</v>
      </c>
    </row>
    <row r="11" spans="1:17">
      <c r="A11" s="105">
        <v>0</v>
      </c>
      <c r="B11" s="105">
        <v>0</v>
      </c>
      <c r="C11" s="105">
        <v>0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</row>
    <row r="12" spans="1:17">
      <c r="A12" s="105">
        <v>0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</row>
    <row r="13" spans="1:17">
      <c r="A13" s="105">
        <v>0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</row>
    <row r="14" spans="1:17">
      <c r="A14" s="105">
        <v>0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43"/>
  <sheetViews>
    <sheetView showGridLines="0" workbookViewId="0"/>
  </sheetViews>
  <sheetFormatPr defaultRowHeight="15"/>
  <sheetData>
    <row r="1" spans="1:17">
      <c r="A1" t="s">
        <v>258</v>
      </c>
      <c r="B1" t="s">
        <v>259</v>
      </c>
      <c r="C1" t="s">
        <v>260</v>
      </c>
      <c r="G1" t="s">
        <v>288</v>
      </c>
      <c r="H1" t="s">
        <v>131</v>
      </c>
      <c r="I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</row>
    <row r="2" spans="1:17">
      <c r="A2" t="s">
        <v>261</v>
      </c>
      <c r="B2" t="s">
        <v>262</v>
      </c>
      <c r="C2" t="s">
        <v>263</v>
      </c>
      <c r="G2">
        <v>1</v>
      </c>
      <c r="H2">
        <v>1</v>
      </c>
      <c r="I2">
        <v>14</v>
      </c>
      <c r="K2" t="s">
        <v>297</v>
      </c>
      <c r="L2" t="s">
        <v>298</v>
      </c>
      <c r="M2" t="s">
        <v>299</v>
      </c>
      <c r="N2" t="s">
        <v>300</v>
      </c>
      <c r="O2" t="s">
        <v>301</v>
      </c>
      <c r="P2" t="s">
        <v>302</v>
      </c>
      <c r="Q2">
        <v>17</v>
      </c>
    </row>
    <row r="3" spans="1:17">
      <c r="A3" t="s">
        <v>264</v>
      </c>
      <c r="B3" t="s">
        <v>262</v>
      </c>
      <c r="C3" t="s">
        <v>263</v>
      </c>
      <c r="G3">
        <v>1</v>
      </c>
      <c r="H3">
        <v>2</v>
      </c>
      <c r="I3">
        <v>14</v>
      </c>
    </row>
    <row r="4" spans="1:17">
      <c r="A4" t="s">
        <v>265</v>
      </c>
      <c r="B4" t="s">
        <v>262</v>
      </c>
      <c r="C4" t="s">
        <v>263</v>
      </c>
      <c r="G4">
        <v>2</v>
      </c>
      <c r="H4">
        <v>1</v>
      </c>
      <c r="I4">
        <v>15</v>
      </c>
    </row>
    <row r="5" spans="1:17">
      <c r="A5" t="s">
        <v>266</v>
      </c>
      <c r="B5" t="s">
        <v>262</v>
      </c>
      <c r="C5" t="s">
        <v>263</v>
      </c>
      <c r="G5">
        <v>2</v>
      </c>
      <c r="H5">
        <v>2</v>
      </c>
      <c r="I5">
        <v>15</v>
      </c>
    </row>
    <row r="6" spans="1:17">
      <c r="A6" t="s">
        <v>267</v>
      </c>
      <c r="B6" t="s">
        <v>268</v>
      </c>
      <c r="C6" t="s">
        <v>185</v>
      </c>
      <c r="G6">
        <v>3</v>
      </c>
      <c r="H6">
        <v>1</v>
      </c>
      <c r="I6">
        <v>16</v>
      </c>
    </row>
    <row r="7" spans="1:17">
      <c r="A7" t="s">
        <v>269</v>
      </c>
      <c r="B7" t="s">
        <v>268</v>
      </c>
      <c r="C7" t="s">
        <v>92</v>
      </c>
      <c r="G7">
        <v>3</v>
      </c>
      <c r="H7">
        <v>2</v>
      </c>
      <c r="I7">
        <v>16</v>
      </c>
    </row>
    <row r="8" spans="1:17">
      <c r="A8" t="s">
        <v>270</v>
      </c>
      <c r="B8" t="s">
        <v>268</v>
      </c>
      <c r="C8" t="s">
        <v>263</v>
      </c>
      <c r="G8">
        <v>4</v>
      </c>
      <c r="H8">
        <v>1</v>
      </c>
      <c r="I8">
        <v>17</v>
      </c>
    </row>
    <row r="9" spans="1:17">
      <c r="A9" t="s">
        <v>271</v>
      </c>
      <c r="B9" t="s">
        <v>268</v>
      </c>
      <c r="C9" t="s">
        <v>77</v>
      </c>
      <c r="G9">
        <v>4</v>
      </c>
      <c r="H9">
        <v>2</v>
      </c>
      <c r="I9">
        <v>17</v>
      </c>
    </row>
    <row r="10" spans="1:17">
      <c r="A10" t="s">
        <v>272</v>
      </c>
      <c r="B10" t="s">
        <v>268</v>
      </c>
      <c r="C10" t="s">
        <v>263</v>
      </c>
      <c r="G10">
        <v>5</v>
      </c>
      <c r="H10">
        <v>1</v>
      </c>
      <c r="I10">
        <v>18</v>
      </c>
    </row>
    <row r="11" spans="1:17">
      <c r="A11" t="s">
        <v>273</v>
      </c>
      <c r="B11" t="s">
        <v>268</v>
      </c>
      <c r="C11" t="s">
        <v>263</v>
      </c>
      <c r="G11">
        <v>5</v>
      </c>
      <c r="H11">
        <v>2</v>
      </c>
      <c r="I11">
        <v>18</v>
      </c>
    </row>
    <row r="12" spans="1:17">
      <c r="A12" t="s">
        <v>274</v>
      </c>
      <c r="B12" t="s">
        <v>268</v>
      </c>
      <c r="C12" t="s">
        <v>263</v>
      </c>
      <c r="G12">
        <v>6</v>
      </c>
      <c r="H12">
        <v>1</v>
      </c>
      <c r="I12">
        <v>19</v>
      </c>
    </row>
    <row r="13" spans="1:17">
      <c r="A13" t="s">
        <v>275</v>
      </c>
      <c r="B13" t="s">
        <v>268</v>
      </c>
      <c r="C13" t="s">
        <v>92</v>
      </c>
      <c r="G13">
        <v>6</v>
      </c>
      <c r="H13">
        <v>2</v>
      </c>
      <c r="I13">
        <v>19</v>
      </c>
    </row>
    <row r="14" spans="1:17">
      <c r="A14" t="s">
        <v>276</v>
      </c>
      <c r="B14" t="s">
        <v>268</v>
      </c>
      <c r="C14" t="s">
        <v>263</v>
      </c>
      <c r="G14">
        <v>7</v>
      </c>
      <c r="H14">
        <v>1</v>
      </c>
      <c r="I14">
        <v>20</v>
      </c>
    </row>
    <row r="15" spans="1:17">
      <c r="A15" t="s">
        <v>277</v>
      </c>
      <c r="B15" t="s">
        <v>268</v>
      </c>
      <c r="C15" t="s">
        <v>92</v>
      </c>
      <c r="G15">
        <v>7</v>
      </c>
      <c r="H15">
        <v>2</v>
      </c>
      <c r="I15">
        <v>20</v>
      </c>
    </row>
    <row r="16" spans="1:17">
      <c r="A16" t="s">
        <v>278</v>
      </c>
      <c r="B16" t="s">
        <v>268</v>
      </c>
      <c r="C16" t="s">
        <v>263</v>
      </c>
      <c r="G16">
        <v>8</v>
      </c>
      <c r="H16">
        <v>1</v>
      </c>
      <c r="I16">
        <v>21</v>
      </c>
    </row>
    <row r="17" spans="1:9">
      <c r="A17" t="s">
        <v>279</v>
      </c>
      <c r="B17" t="s">
        <v>268</v>
      </c>
      <c r="C17" t="s">
        <v>92</v>
      </c>
      <c r="G17">
        <v>8</v>
      </c>
      <c r="H17">
        <v>2</v>
      </c>
      <c r="I17">
        <v>21</v>
      </c>
    </row>
    <row r="18" spans="1:9">
      <c r="A18" t="s">
        <v>280</v>
      </c>
      <c r="B18" t="s">
        <v>268</v>
      </c>
      <c r="C18" t="s">
        <v>263</v>
      </c>
      <c r="G18">
        <v>9</v>
      </c>
      <c r="H18">
        <v>1</v>
      </c>
      <c r="I18">
        <v>22</v>
      </c>
    </row>
    <row r="19" spans="1:9">
      <c r="A19" t="s">
        <v>281</v>
      </c>
      <c r="B19" t="s">
        <v>268</v>
      </c>
      <c r="C19" t="s">
        <v>263</v>
      </c>
      <c r="G19">
        <v>9</v>
      </c>
      <c r="H19">
        <v>2</v>
      </c>
      <c r="I19">
        <v>22</v>
      </c>
    </row>
    <row r="20" spans="1:9">
      <c r="A20" t="s">
        <v>282</v>
      </c>
      <c r="B20" t="s">
        <v>268</v>
      </c>
      <c r="C20" t="s">
        <v>263</v>
      </c>
      <c r="G20">
        <v>10</v>
      </c>
      <c r="H20">
        <v>1</v>
      </c>
      <c r="I20">
        <v>23</v>
      </c>
    </row>
    <row r="21" spans="1:9">
      <c r="A21" t="s">
        <v>283</v>
      </c>
      <c r="B21" t="s">
        <v>268</v>
      </c>
      <c r="C21" t="s">
        <v>263</v>
      </c>
      <c r="G21">
        <v>10</v>
      </c>
      <c r="H21">
        <v>2</v>
      </c>
      <c r="I21">
        <v>23</v>
      </c>
    </row>
    <row r="22" spans="1:9">
      <c r="A22" t="s">
        <v>284</v>
      </c>
      <c r="B22" t="s">
        <v>268</v>
      </c>
      <c r="C22" t="s">
        <v>263</v>
      </c>
      <c r="G22">
        <v>11</v>
      </c>
      <c r="H22">
        <v>1</v>
      </c>
      <c r="I22">
        <v>25</v>
      </c>
    </row>
    <row r="23" spans="1:9">
      <c r="A23" t="s">
        <v>285</v>
      </c>
      <c r="B23" t="s">
        <v>268</v>
      </c>
      <c r="C23" t="s">
        <v>263</v>
      </c>
      <c r="G23">
        <v>11</v>
      </c>
      <c r="H23">
        <v>2</v>
      </c>
      <c r="I23">
        <v>26</v>
      </c>
    </row>
    <row r="24" spans="1:9">
      <c r="A24" t="s">
        <v>286</v>
      </c>
      <c r="B24" t="s">
        <v>268</v>
      </c>
      <c r="C24" t="s">
        <v>263</v>
      </c>
      <c r="G24">
        <v>12</v>
      </c>
      <c r="H24">
        <v>1</v>
      </c>
      <c r="I24">
        <v>27</v>
      </c>
    </row>
    <row r="25" spans="1:9">
      <c r="A25" t="s">
        <v>287</v>
      </c>
      <c r="B25" t="s">
        <v>268</v>
      </c>
      <c r="C25" t="s">
        <v>263</v>
      </c>
      <c r="G25">
        <v>12</v>
      </c>
      <c r="H25">
        <v>2</v>
      </c>
      <c r="I25">
        <v>28</v>
      </c>
    </row>
    <row r="26" spans="1:9">
      <c r="G26">
        <v>13</v>
      </c>
      <c r="H26">
        <v>1</v>
      </c>
      <c r="I26">
        <v>29</v>
      </c>
    </row>
    <row r="27" spans="1:9">
      <c r="G27">
        <v>13</v>
      </c>
      <c r="H27">
        <v>2</v>
      </c>
      <c r="I27">
        <v>30</v>
      </c>
    </row>
    <row r="28" spans="1:9">
      <c r="G28">
        <v>14</v>
      </c>
      <c r="H28">
        <v>1</v>
      </c>
      <c r="I28">
        <v>31</v>
      </c>
    </row>
    <row r="29" spans="1:9">
      <c r="G29">
        <v>14</v>
      </c>
      <c r="H29">
        <v>2</v>
      </c>
      <c r="I29">
        <v>32</v>
      </c>
    </row>
    <row r="30" spans="1:9">
      <c r="G30">
        <v>15</v>
      </c>
      <c r="H30">
        <v>1</v>
      </c>
      <c r="I30">
        <v>33</v>
      </c>
    </row>
    <row r="31" spans="1:9">
      <c r="G31">
        <v>15</v>
      </c>
      <c r="H31">
        <v>2</v>
      </c>
      <c r="I31">
        <v>34</v>
      </c>
    </row>
    <row r="32" spans="1:9">
      <c r="G32">
        <v>16</v>
      </c>
      <c r="H32">
        <v>1</v>
      </c>
      <c r="I32">
        <v>35</v>
      </c>
    </row>
    <row r="33" spans="7:9">
      <c r="G33">
        <v>16</v>
      </c>
      <c r="H33">
        <v>2</v>
      </c>
      <c r="I33">
        <v>36</v>
      </c>
    </row>
    <row r="34" spans="7:9">
      <c r="G34">
        <v>17</v>
      </c>
      <c r="H34">
        <v>1</v>
      </c>
      <c r="I34">
        <v>37</v>
      </c>
    </row>
    <row r="35" spans="7:9">
      <c r="G35">
        <v>17</v>
      </c>
      <c r="H35">
        <v>2</v>
      </c>
      <c r="I35">
        <v>38</v>
      </c>
    </row>
    <row r="36" spans="7:9">
      <c r="G36">
        <v>18</v>
      </c>
      <c r="H36">
        <v>1</v>
      </c>
      <c r="I36">
        <v>39</v>
      </c>
    </row>
    <row r="37" spans="7:9">
      <c r="G37">
        <v>18</v>
      </c>
      <c r="H37">
        <v>2</v>
      </c>
      <c r="I37">
        <v>40</v>
      </c>
    </row>
    <row r="38" spans="7:9">
      <c r="G38">
        <v>19</v>
      </c>
      <c r="H38">
        <v>1</v>
      </c>
      <c r="I38">
        <v>41</v>
      </c>
    </row>
    <row r="39" spans="7:9">
      <c r="G39">
        <v>19</v>
      </c>
      <c r="H39">
        <v>2</v>
      </c>
      <c r="I39">
        <v>42</v>
      </c>
    </row>
    <row r="40" spans="7:9">
      <c r="G40">
        <v>20</v>
      </c>
      <c r="H40">
        <v>1</v>
      </c>
      <c r="I40">
        <v>43</v>
      </c>
    </row>
    <row r="41" spans="7:9">
      <c r="G41">
        <v>20</v>
      </c>
      <c r="H41">
        <v>2</v>
      </c>
      <c r="I41">
        <v>44</v>
      </c>
    </row>
    <row r="42" spans="7:9">
      <c r="G42">
        <v>21</v>
      </c>
      <c r="H42">
        <v>1</v>
      </c>
      <c r="I42">
        <v>45</v>
      </c>
    </row>
    <row r="43" spans="7:9">
      <c r="G43">
        <v>21</v>
      </c>
      <c r="H43">
        <v>2</v>
      </c>
      <c r="I43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90</vt:i4>
      </vt:variant>
    </vt:vector>
  </HeadingPairs>
  <TitlesOfParts>
    <vt:vector size="97" baseType="lpstr">
      <vt:lpstr>Painel</vt:lpstr>
      <vt:lpstr>Relatório Dia</vt:lpstr>
      <vt:lpstr>Relatório Noite</vt:lpstr>
      <vt:lpstr>Ocorrência</vt:lpstr>
      <vt:lpstr>Informativo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iPeriodo</vt:lpstr>
      <vt:lpstr>iResp</vt:lpstr>
      <vt:lpstr>iSelFim</vt:lpstr>
      <vt:lpstr>iSelIni</vt:lpstr>
      <vt:lpstr>iTurma</vt:lpstr>
      <vt:lpstr>iTurno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lstSN</vt:lpstr>
      <vt:lpstr>lstTipo</vt:lpstr>
      <vt:lpstr>lstTurma</vt:lpstr>
      <vt:lpstr>lstTurno</vt:lpstr>
      <vt:lpstr>mesFim</vt:lpstr>
      <vt:lpstr>mesInicio</vt:lpstr>
      <vt:lpstr>ocAr</vt:lpstr>
      <vt:lpstr>ocAReal</vt:lpstr>
      <vt:lpstr>ocArStatus</vt:lpstr>
      <vt:lpstr>ocAus</vt:lpstr>
      <vt:lpstr>ocAusQuem</vt:lpstr>
      <vt:lpstr>ocCadinhos</vt:lpstr>
      <vt:lpstr>ocCompressor</vt:lpstr>
      <vt:lpstr>ocCoque04</vt:lpstr>
      <vt:lpstr>ocEquip</vt:lpstr>
      <vt:lpstr>ocH2Carvao</vt:lpstr>
      <vt:lpstr>ocH2Coque</vt:lpstr>
      <vt:lpstr>ocHE</vt:lpstr>
      <vt:lpstr>ocHEQuem</vt:lpstr>
      <vt:lpstr>ocNitrogenio</vt:lpstr>
      <vt:lpstr>ocObs</vt:lpstr>
      <vt:lpstr>ocPadroes</vt:lpstr>
      <vt:lpstr>ocPadroesQuais</vt:lpstr>
      <vt:lpstr>ocProg</vt:lpstr>
      <vt:lpstr>ocReal</vt:lpstr>
      <vt:lpstr>ocRecebe</vt:lpstr>
      <vt:lpstr>ocReforma</vt:lpstr>
      <vt:lpstr>ocSol</vt:lpstr>
      <vt:lpstr>ocTroca</vt:lpstr>
      <vt:lpstr>ocTrocaQuem</vt:lpstr>
      <vt:lpstr>pData</vt:lpstr>
      <vt:lpstr>pResp</vt:lpstr>
      <vt:lpstr>Configurações!Print_Area</vt:lpstr>
      <vt:lpstr>Informativo!Print_Area</vt:lpstr>
      <vt:lpstr>Ocorrência!Print_Area</vt:lpstr>
      <vt:lpstr>'Relatório Dia'!Print_Area</vt:lpstr>
      <vt:lpstr>'Relatório Noite'!Print_Area</vt:lpstr>
      <vt:lpstr>pTurma</vt:lpstr>
      <vt:lpstr>pTurno</vt:lpstr>
      <vt:lpstr>rlDArea</vt:lpstr>
      <vt:lpstr>rlDAReal</vt:lpstr>
      <vt:lpstr>rlDCad</vt:lpstr>
      <vt:lpstr>rlDEquip</vt:lpstr>
      <vt:lpstr>rlDFinal</vt:lpstr>
      <vt:lpstr>rlDGerado</vt:lpstr>
      <vt:lpstr>rlDHoras</vt:lpstr>
      <vt:lpstr>rlDInfo</vt:lpstr>
      <vt:lpstr>rlDLab</vt:lpstr>
      <vt:lpstr>rlDMES</vt:lpstr>
      <vt:lpstr>rlDObs</vt:lpstr>
      <vt:lpstr>rlDPessoal</vt:lpstr>
      <vt:lpstr>rlDReal</vt:lpstr>
      <vt:lpstr>rlDSol</vt:lpstr>
      <vt:lpstr>rlNArea</vt:lpstr>
      <vt:lpstr>rlNAReal</vt:lpstr>
      <vt:lpstr>rlNCad</vt:lpstr>
      <vt:lpstr>rlNEquip</vt:lpstr>
      <vt:lpstr>rlNFinal</vt:lpstr>
      <vt:lpstr>rlNGerado</vt:lpstr>
      <vt:lpstr>rlNHoras</vt:lpstr>
      <vt:lpstr>rlNInfo</vt:lpstr>
      <vt:lpstr>rlNLab</vt:lpstr>
      <vt:lpstr>rlNMES</vt:lpstr>
      <vt:lpstr>rlNObs</vt:lpstr>
      <vt:lpstr>rlNPessoal</vt:lpstr>
      <vt:lpstr>rlNReal</vt:lpstr>
      <vt:lpstr>rlNSol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Turno - Laboratório Químico - US3/US4</dc:title>
  <dc:creator/>
  <cp:lastModifiedBy/>
  <dcterms:created xsi:type="dcterms:W3CDTF">2026-09-30T15:41:46Z</dcterms:created>
  <dcterms:modified xsi:type="dcterms:W3CDTF">2026-09-30T15:41:46Z</dcterms:modified>
</cp:coreProperties>
</file>