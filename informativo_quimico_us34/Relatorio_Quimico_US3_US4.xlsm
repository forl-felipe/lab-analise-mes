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'Preenchimento'!$E$53</definedName>
    <definedName name="dArea">'Resumo Dia'!$B$2:$M$88</definedName>
    <definedName name="dAReal">'Preenchimento'!$C$41:$C$48</definedName>
    <definedName name="dArStatus">'Preenchimento'!$H$53</definedName>
    <definedName name="dAtualizado">'Resumo Dia'!$B$51</definedName>
    <definedName name="dAus">'Preenchimento'!$E$57</definedName>
    <definedName name="dAusQuem">'Preenchimento'!$H$57</definedName>
    <definedName name="dCadinhos">'Preenchimento'!$E$63</definedName>
    <definedName name="dCompressor">'Preenchimento'!$E$54</definedName>
    <definedName name="dCoque04">'Preenchimento'!$E$68</definedName>
    <definedName name="dEquip">'Preenchimento'!$C$35:$C$38</definedName>
    <definedName name="dH2Carvao">'Preenchimento'!$E$67</definedName>
    <definedName name="dH2Coque">'Preenchimento'!$I$67</definedName>
    <definedName name="dHE">'Preenchimento'!$E$59</definedName>
    <definedName name="dHEQuem">'Preenchimento'!$H$59</definedName>
    <definedName name="dHoras">'Resumo Dia'!$E$53:$J$53</definedName>
    <definedName name="dLetra">'Preenchimento'!$D$11</definedName>
    <definedName name="dNitrogenio">'Preenchimento'!$H$54</definedName>
    <definedName name="dObs">'Preenchimento'!$E$69</definedName>
    <definedName name="dPadroes">'Preenchimento'!$E$52</definedName>
    <definedName name="dPadroesQuais">'Preenchimento'!$H$52</definedName>
    <definedName name="dProdUS3">'Preenchimento'!$D$12</definedName>
    <definedName name="dProdUS4">'Preenchimento'!$I$12</definedName>
    <definedName name="dProg">'Preenchimento'!$E$51</definedName>
    <definedName name="dReal">'Preenchimento'!$C$15:$C$26</definedName>
    <definedName name="dRecebe">'Preenchimento'!$E$60</definedName>
    <definedName name="dReforma">'Preenchimento'!$E$64</definedName>
    <definedName name="dSol">'Preenchimento'!$C$29:$C$32</definedName>
    <definedName name="dTecnico">'Preenchimento'!$G$11</definedName>
    <definedName name="dTroca">'Preenchimento'!$E$58</definedName>
    <definedName name="dTrocaQuem">'Preenchimento'!$H$58</definedName>
    <definedName name="gArea">'Resultados gerais'!$B$2:$S$46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nAr">'Preenchimento'!$E$116</definedName>
    <definedName name="nArea">'Resumo Noite'!$B$2:$M$88</definedName>
    <definedName name="nAReal">'Preenchimento'!$C$104:$C$111</definedName>
    <definedName name="nArStatus">'Preenchimento'!$H$116</definedName>
    <definedName name="nAtualizado">'Resumo Noite'!$B$51</definedName>
    <definedName name="nAus">'Preenchimento'!$E$120</definedName>
    <definedName name="nAusQuem">'Preenchimento'!$H$120</definedName>
    <definedName name="nCadinhos">'Preenchimento'!$E$126</definedName>
    <definedName name="nCompressor">'Preenchimento'!$E$117</definedName>
    <definedName name="nCoque04">'Preenchimento'!$E$131</definedName>
    <definedName name="nEquip">'Preenchimento'!$C$98:$C$101</definedName>
    <definedName name="nH2Carvao">'Preenchimento'!$E$130</definedName>
    <definedName name="nH2Coque">'Preenchimento'!$I$130</definedName>
    <definedName name="nHE">'Preenchimento'!$E$122</definedName>
    <definedName name="nHEQuem">'Preenchimento'!$H$122</definedName>
    <definedName name="nHoras">'Resumo Noite'!$E$53:$J$53</definedName>
    <definedName name="nLetra">'Preenchimento'!$D$74</definedName>
    <definedName name="nNitrogenio">'Preenchimento'!$H$117</definedName>
    <definedName name="nObs">'Preenchimento'!$E$132</definedName>
    <definedName name="nPadroes">'Preenchimento'!$E$115</definedName>
    <definedName name="nPadroesQuais">'Preenchimento'!$H$115</definedName>
    <definedName name="nProdUS3">'Preenchimento'!$D$75</definedName>
    <definedName name="nProdUS4">'Preenchimento'!$I$75</definedName>
    <definedName name="nProg">'Preenchimento'!$E$114</definedName>
    <definedName name="nReal">'Preenchimento'!$C$78:$C$89</definedName>
    <definedName name="nRecebe">'Preenchimento'!$E$123</definedName>
    <definedName name="nReforma">'Preenchimento'!$E$127</definedName>
    <definedName name="nSol">'Preenchimento'!$C$92:$C$95</definedName>
    <definedName name="nTecnico">'Preenchimento'!$G$74</definedName>
    <definedName name="nTroca">'Preenchimento'!$E$121</definedName>
    <definedName name="nTrocaQuem">'Preenchimento'!$H$121</definedName>
    <definedName name="pData">'Preenchimento'!$E$6</definedName>
    <definedName name="_xlnm.Print_Area" localSheetId="5">Configurações!$B$2:$P$40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gerais'!$B$2:$S$46</definedName>
    <definedName name="_xlnm.Print_Area" localSheetId="1">'Resumo Dia'!$B$2:$M$88</definedName>
    <definedName name="_xlnm.Print_Area" localSheetId="2">'Resumo Noite'!$B$2:$M$88</definedName>
  </definedNames>
  <calcPr calcId="124519" fullCalcOnLoad="1"/>
</workbook>
</file>

<file path=xl/sharedStrings.xml><?xml version="1.0" encoding="utf-8"?>
<sst xmlns="http://schemas.openxmlformats.org/spreadsheetml/2006/main" count="857" uniqueCount="291">
  <si>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</si>
  <si>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</si>
  <si>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</si>
  <si>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</si>
  <si>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</si>
  <si>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</si>
  <si>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</si>
  <si>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</si>
  <si>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</si>
  <si>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</si>
  <si>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</si>
  <si>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</si>
  <si>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</si>
  <si>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</si>
  <si>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</si>
  <si>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</si>
  <si>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Análise SEM TAG = fica fora da consulta ao MES e oculta no relatório. Preencha a tag (ex.: M710050020-00xx-HHLQU) quando confirmada no MES. Pellet Feed: amostra única, a tag US4 repete a US3. LIE/LSE = especificação (vazio = sem avaliação).</t>
  </si>
  <si>
    <t>Tags do MES e limites - Análises químicas US3 e US4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</si>
  <si>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</si>
  <si>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</si>
  <si>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</si>
  <si>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</si>
  <si>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</si>
  <si>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</si>
  <si>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</si>
  <si>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</si>
  <si>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</si>
  <si>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</si>
  <si>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</si>
  <si>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</si>
  <si>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</si>
  <si>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</si>
  <si>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</si>
  <si>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</si>
  <si>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</si>
  <si>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</si>
  <si>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</si>
  <si>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</si>
  <si>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</si>
  <si>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</si>
  <si>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</si>
  <si>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</si>
  <si>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</si>
  <si>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</si>
  <si>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</si>
  <si>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</si>
  <si>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</si>
  <si>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</si>
  <si>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</si>
  <si>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</si>
  <si>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</si>
  <si>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</si>
  <si>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</si>
  <si>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</si>
  <si>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</si>
  <si>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</si>
  <si>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</si>
  <si>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</si>
  <si>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</si>
  <si>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</si>
  <si>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</si>
  <si>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</si>
  <si>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</si>
  <si>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</si>
  <si>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</si>
  <si>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</si>
  <si>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Tags em laranja: análise ainda sem tag no MES (confirmar com a TI / MES).</t>
  </si>
  <si>
    <t>LISTAS (usadas nas caixas de seleção)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</si>
  <si>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</si>
  <si>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</si>
  <si>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</si>
  <si>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</si>
  <si>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</si>
  <si>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</si>
  <si>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</si>
  <si>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</si>
  <si>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</si>
  <si>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</si>
  <si>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</si>
  <si>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</si>
  <si>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</si>
  <si>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</si>
  <si>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</si>
  <si>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</si>
  <si>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</si>
  <si>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</si>
  <si>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</si>
  <si>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</si>
  <si>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</si>
  <si>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</si>
  <si>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</si>
  <si>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</si>
  <si>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</si>
  <si>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</si>
  <si>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</si>
  <si>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</si>
  <si>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</si>
  <si>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</si>
  <si>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por Produto - Farol</t>
  </si>
  <si>
    <t>SMIN-POP-GEA-001 rev. 12 (24/03/2025)  ·  Processo (GPU), limites para dados horários</t>
  </si>
  <si>
    <t>Como funciona: no Preenchimento o técnico escolhe o PRODUTO da US3 e da US4. Cada resultado é comparado com a linha do produto: VERDE = dentro (igual ou acima do mínimo e igual ou abaixo do máximo) · VERMELHO = fora. Célula vazia = sem limite. Para atualizar, edite os valores; para um produto novo, use uma linha vazia (a lista de seleção inclui o produto sozinha).</t>
  </si>
  <si>
    <t>Produto</t>
  </si>
  <si>
    <t>Concentrado</t>
  </si>
  <si>
    <t>PELOTA (Linha de Mistura US3/US4)  ·  Processo GPU, dados horários</t>
  </si>
  <si>
    <t>PELLET FEED - MD03  ·  pelo concentrado (SiO2 bi-horário; P e PPC máx. diário)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</si>
  <si>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</si>
  <si>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</si>
  <si>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</si>
  <si>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</si>
  <si>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</si>
  <si>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</si>
  <si>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</si>
  <si>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</si>
  <si>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</si>
  <si>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</si>
  <si>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</si>
  <si>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</si>
  <si>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</si>
  <si>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</si>
  <si>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</si>
  <si>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</si>
  <si>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</si>
  <si>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</si>
  <si>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</si>
  <si>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</si>
  <si>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</si>
  <si>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</si>
  <si>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</si>
  <si>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Observações do padrão: quando houver incorporações de terceiros/internas, os alvos e limites de SiO2 do concentrado devem ser reduzidos em 0,10 p.p. Pelota para Mercado Interno: limites químicos de acordo com o produto a ser entregue (não incluída). Fe e P aparecem no relatório quando as tags forem configuradas.</t>
  </si>
  <si>
    <t>Dados brutos do MES (Aspen IP.21) - não editar</t>
  </si>
  <si>
    <t>Início</t>
  </si>
  <si>
    <t>Fim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</si>
  <si>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</si>
  <si>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</si>
  <si>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</si>
  <si>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</si>
  <si>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</si>
  <si>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</si>
  <si>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</si>
  <si>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</si>
  <si>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</si>
  <si>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</si>
  <si>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</si>
  <si>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</si>
  <si>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</si>
  <si>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</si>
  <si>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</si>
  <si>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</si>
  <si>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</si>
  <si>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</si>
  <si>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Passagem de Turno - Laboratório Químico</t>
  </si>
  <si>
    <t>Usinas 3 e 4  ·  preencha os campos amarelos do seu turno</t>
  </si>
  <si>
    <t>Data do dia</t>
  </si>
  <si>
    <t>Turno Dia 07h às 19h  ·  Turno Noite 19h às 07h do dia seguinte  ·  um arquivo por dia</t>
  </si>
  <si>
    <t>TURNO DIA  ·  07h às 19h</t>
  </si>
  <si>
    <t>▶ Ver Resumo Dia</t>
  </si>
  <si>
    <t>Letra</t>
  </si>
  <si>
    <t>Técnico</t>
  </si>
  <si>
    <t>Produto US3</t>
  </si>
  <si>
    <t>Produto US4</t>
  </si>
  <si>
    <t>1. Tarefas realizadas</t>
  </si>
  <si>
    <t>uma tarefa por linha</t>
  </si>
  <si>
    <t>2. Solicitações</t>
  </si>
  <si>
    <t>nº da solicitação, amostra, pendência</t>
  </si>
  <si>
    <t>3. Equipamentos</t>
  </si>
  <si>
    <t>falhas, vazamentos, manutenção</t>
  </si>
  <si>
    <t>4. Tarefas a realizar (próximo turno)</t>
  </si>
  <si>
    <t>5. Controle do laboratório</t>
  </si>
  <si>
    <t>Programas / equipamentos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</si>
  <si>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</si>
  <si>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</si>
  <si>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</si>
  <si>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</si>
  <si>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Condição do compressor</t>
  </si>
  <si>
    <t>6. Pessoal (ausências, trocas e hora extra)</t>
  </si>
  <si>
    <t>Houve ausência no turno?</t>
  </si>
  <si>
    <t>Quem</t>
  </si>
  <si>
    <t>Houve troca combinada?</t>
  </si>
  <si>
    <t>Houve hora extra?</t>
  </si>
  <si>
    <t>Letra que recebe o turno</t>
  </si>
  <si>
    <t>7. Cadinhos de platina</t>
  </si>
  <si>
    <t>Repassados para o turno</t>
  </si>
  <si>
    <t>Retirados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</si>
  <si>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</si>
  <si>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</si>
  <si>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</si>
  <si>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</si>
  <si>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</si>
  <si>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·  19h às 07h</t>
  </si>
  <si>
    <t>▶ Ver Resumo Noite</t>
  </si>
  <si>
    <t>▼ Ir para o Turno Noite</t>
  </si>
  <si>
    <t>▶ Resumo Dia</t>
  </si>
  <si>
    <t>▶ Resumo Noite</t>
  </si>
  <si>
    <t>▶ Resultados gerais</t>
  </si>
  <si>
    <t>Relatório de Turno - Laboratório Químico</t>
  </si>
  <si>
    <t>Usinas 3 e 4  ·  Turno Dia  ·  07h às 19h</t>
  </si>
  <si>
    <t>Ocorrências do turno</t>
  </si>
  <si>
    <t>Tarefas realizadas</t>
  </si>
  <si>
    <t>T</t>
  </si>
  <si>
    <t>Solicitações</t>
  </si>
  <si>
    <t>Equipamentos</t>
  </si>
  <si>
    <t>Tarefas a realizar (próximo turno)</t>
  </si>
  <si>
    <t>Controle do laboratório</t>
  </si>
  <si>
    <t>Pessoal</t>
  </si>
  <si>
    <t>Cadinhos de platina</t>
  </si>
  <si>
    <t>Informativo de qualidade do turno  ·  resultados químicos do MES de 2 em 2 h</t>
  </si>
  <si>
    <t>Resultados ainda não atualizados  ·  botão "Atualizar dados do MES"</t>
  </si>
  <si>
    <t>Amostra / análise</t>
  </si>
  <si>
    <t>Un.</t>
  </si>
  <si>
    <t>Usina</t>
  </si>
  <si>
    <t>07h-09h</t>
  </si>
  <si>
    <t>09h-11h</t>
  </si>
  <si>
    <t>11h-13h</t>
  </si>
  <si>
    <t>13h-15h</t>
  </si>
  <si>
    <t>15h-17h</t>
  </si>
  <si>
    <t>17h-19h</t>
  </si>
  <si>
    <t>Média do turno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</si>
  <si>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</si>
  <si>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</si>
  <si>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</si>
  <si>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</si>
  <si>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</si>
  <si>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</si>
  <si>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</si>
  <si>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</si>
  <si>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</si>
  <si>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</si>
  <si>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</si>
  <si>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</si>
  <si>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</si>
  <si>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</si>
  <si>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</si>
  <si>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</si>
  <si>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</si>
  <si>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</si>
  <si>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</si>
  <si>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</si>
  <si>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</si>
  <si>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</si>
  <si>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</si>
  <si>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</si>
  <si>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</si>
  <si>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</si>
  <si>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</si>
  <si>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</si>
  <si>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</si>
  <si>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</si>
  <si>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</si>
  <si>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</si>
  <si>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</si>
  <si>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</si>
  <si>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</si>
  <si>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</si>
  <si>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</si>
  <si>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</si>
  <si>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</si>
  <si>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Farol pelo produto selecionado (limites SMIN-POP-GEA-001 rev. 12, Processo GPU, dados horários): VERDE = dentro do limite · VERMELHO = fora. Média do turno = média das janelas de 2 h. MD03 = Pellet Feed do Mineroduto 03 (limite pelo concentrado do produto da US3).</t>
  </si>
  <si>
    <t>◀ Voltar ao preenchimento</t>
  </si>
  <si>
    <t>As ocorrências vêm sozinhas da aba Preenchimento (Turno Dia).
Os resultados do MES são do período do turno, na data do Preenchimento.
Para print: Windows + Shift + S.</t>
  </si>
  <si>
    <t>Usinas 3 e 4  ·  Turno Noite  ·  19h às 07h</t>
  </si>
  <si>
    <t>19h-21h</t>
  </si>
  <si>
    <t>21h-23h</t>
  </si>
  <si>
    <t>23h-01h</t>
  </si>
  <si>
    <t>01h-03h</t>
  </si>
  <si>
    <t>03h-05h</t>
  </si>
  <si>
    <t>05h-07h</t>
  </si>
  <si>
    <t>As ocorrências vêm sozinhas da aba Preenchimento (Turno Noite).
Os resultados do MES são do período do turno, na data do Preenchimento.
Para print: Windows + Shift + S.</t>
  </si>
  <si>
    <t>Resultados Gerais - Laboratório Químico</t>
  </si>
  <si>
    <t>Usinas 3 e 4  ·  resultados químicos do MES de 2 em 2 horas, no período escolhido</t>
  </si>
  <si>
    <t>Período (até 24 h)</t>
  </si>
  <si>
    <t>Ex.: 01/09/2026 07:00  →  02/09/2026 07:00; depois clique em Atualizar dados do MES.</t>
  </si>
  <si>
    <t>Produto US3 (farol)</t>
  </si>
  <si>
    <t>Produto US4 (farol)</t>
  </si>
  <si>
    <t>Vem do Turno Dia do Preenchimento; pode ser trocado aqui.</t>
  </si>
  <si>
    <t>Resultados ainda não atualizados</t>
  </si>
  <si>
    <t>—</t>
  </si>
  <si>
    <t>Média do período</t>
  </si>
  <si>
    <t>Farol pelo produto selecionado (SMIN-POP-GEA-001 rev. 12): VERDE = dentro do limite · VERMELHO = fora. Média do período = média das janelas de 2 h. Análises sem tag no MES ficam ocultas.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</si>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</sst>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0.000"/>
    <numFmt numFmtId="167" formatCode="0.0"/>
    <numFmt numFmtId="168" formatCode="dd/mm/yyyy hh:mm"/>
    <numFmt numFmtId="169" formatCode="hh:mm"/>
    <numFmt numFmtId="170" formatCode="dd/mm/yyyy hh:mm:ss"/>
  </numFmts>
  <fonts count="37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8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i/>
      <sz val="8"/>
      <color rgb="FF5B6B77"/>
      <name val="Segoe UI"/>
      <family val="2"/>
    </font>
    <font>
      <sz val="9"/>
      <color rgb="FF1D2B36"/>
      <name val="Segoe UI"/>
      <family val="2"/>
    </font>
    <font>
      <b/>
      <sz val="10"/>
      <color rgb="FF003B6C"/>
      <name val="Segoe UI"/>
      <family val="2"/>
    </font>
    <font>
      <sz val="6"/>
      <color rgb="FFFFFFFF"/>
      <name val="Segoe UI"/>
      <family val="2"/>
    </font>
    <font>
      <b/>
      <sz val="9"/>
      <color rgb="FF61889B"/>
      <name val="Segoe UI"/>
      <family val="2"/>
    </font>
    <font>
      <i/>
      <sz val="9"/>
      <color rgb="FF5B6B77"/>
      <name val="Segoe UI"/>
      <family val="2"/>
    </font>
    <font>
      <b/>
      <sz val="8"/>
      <color rgb="FFFFFFFF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7.5"/>
      <color rgb="FF5B6B77"/>
      <name val="Segoe UI"/>
      <family val="2"/>
    </font>
    <font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8"/>
      <color rgb="FF003B6C"/>
      <name val="Segoe UI"/>
      <family val="2"/>
    </font>
    <font>
      <b/>
      <sz val="10"/>
      <color rgb="FF1D2B36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/>
      <top/>
      <bottom/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 indent="1"/>
    </xf>
    <xf numFmtId="0" fontId="9" fillId="0" borderId="0" xfId="0" applyFont="1" applyAlignment="1">
      <alignment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0" borderId="3" xfId="0" applyFont="1" applyBorder="1" applyAlignment="1"/>
    <xf numFmtId="0" fontId="12" fillId="0" borderId="3" xfId="0" applyFont="1" applyBorder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3" fillId="5" borderId="1" xfId="0" applyFont="1" applyFill="1" applyBorder="1" applyAlignment="1" applyProtection="1">
      <alignment horizontal="left" vertical="center" indent="1" wrapText="1"/>
      <protection locked="0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15" fillId="0" borderId="0" xfId="0" applyFont="1" applyAlignment="1">
      <alignment vertical="center"/>
    </xf>
    <xf numFmtId="0" fontId="16" fillId="0" borderId="4" xfId="0" applyFont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 wrapText="1"/>
    </xf>
    <xf numFmtId="0" fontId="6" fillId="0" borderId="0" xfId="0" applyFont="1" applyAlignment="1">
      <alignment vertical="top" indent="1" wrapText="1"/>
    </xf>
    <xf numFmtId="0" fontId="17" fillId="0" borderId="5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vertical="top" indent="1" wrapText="1"/>
    </xf>
    <xf numFmtId="0" fontId="13" fillId="0" borderId="1" xfId="0" applyFont="1" applyBorder="1" applyAlignment="1">
      <alignment vertical="top" indent="1" wrapText="1"/>
    </xf>
    <xf numFmtId="0" fontId="12" fillId="0" borderId="0" xfId="0" applyFont="1" applyAlignment="1">
      <alignment horizontal="left" vertical="center" indent="1"/>
    </xf>
    <xf numFmtId="0" fontId="4" fillId="6" borderId="1" xfId="0" applyFont="1" applyFill="1" applyBorder="1" applyAlignment="1">
      <alignment horizontal="left" vertical="center" indent="1"/>
    </xf>
    <xf numFmtId="0" fontId="18" fillId="2" borderId="6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indent="1"/>
    </xf>
    <xf numFmtId="0" fontId="13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/>
    </xf>
    <xf numFmtId="165" fontId="13" fillId="8" borderId="1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20" fillId="8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165" fontId="13" fillId="9" borderId="1" xfId="0" applyNumberFormat="1" applyFont="1" applyFill="1" applyBorder="1" applyAlignment="1">
      <alignment horizontal="center" vertical="center"/>
    </xf>
    <xf numFmtId="165" fontId="20" fillId="9" borderId="1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4" fillId="6" borderId="1" xfId="0" applyNumberFormat="1" applyFont="1" applyFill="1" applyBorder="1" applyAlignment="1">
      <alignment horizontal="center" vertical="center"/>
    </xf>
    <xf numFmtId="166" fontId="20" fillId="9" borderId="1" xfId="0" applyNumberFormat="1" applyFont="1" applyFill="1" applyBorder="1" applyAlignment="1">
      <alignment horizontal="center" vertical="center"/>
    </xf>
    <xf numFmtId="166" fontId="13" fillId="8" borderId="1" xfId="0" applyNumberFormat="1" applyFont="1" applyFill="1" applyBorder="1" applyAlignment="1">
      <alignment horizontal="center" vertical="center"/>
    </xf>
    <xf numFmtId="166" fontId="20" fillId="8" borderId="1" xfId="0" applyNumberFormat="1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167" fontId="13" fillId="8" borderId="1" xfId="0" applyNumberFormat="1" applyFont="1" applyFill="1" applyBorder="1" applyAlignment="1">
      <alignment horizontal="center" vertical="center"/>
    </xf>
    <xf numFmtId="167" fontId="4" fillId="6" borderId="1" xfId="0" applyNumberFormat="1" applyFont="1" applyFill="1" applyBorder="1" applyAlignment="1">
      <alignment horizontal="center" vertical="center"/>
    </xf>
    <xf numFmtId="167" fontId="20" fillId="8" borderId="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top" indent="1" wrapText="1"/>
    </xf>
    <xf numFmtId="0" fontId="23" fillId="0" borderId="0" xfId="0" applyFont="1" applyAlignment="1">
      <alignment horizontal="right" vertical="center"/>
    </xf>
    <xf numFmtId="168" fontId="11" fillId="5" borderId="7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 wrapTex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center" indent="1"/>
    </xf>
    <xf numFmtId="0" fontId="23" fillId="4" borderId="1" xfId="0" applyFont="1" applyFill="1" applyBorder="1" applyAlignment="1">
      <alignment vertical="top" indent="1" wrapText="1"/>
    </xf>
    <xf numFmtId="0" fontId="24" fillId="2" borderId="6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top" indent="1" wrapText="1"/>
    </xf>
    <xf numFmtId="0" fontId="27" fillId="10" borderId="0" xfId="0" applyFont="1" applyFill="1" applyAlignment="1">
      <alignment horizontal="left" vertical="center" indent="1"/>
    </xf>
    <xf numFmtId="0" fontId="26" fillId="4" borderId="1" xfId="0" applyFont="1" applyFill="1" applyBorder="1" applyAlignment="1">
      <alignment horizontal="left" vertical="center" indent="1"/>
    </xf>
    <xf numFmtId="0" fontId="23" fillId="0" borderId="0" xfId="0" applyFont="1" applyAlignment="1">
      <alignment horizontal="left" vertical="center" indent="1"/>
    </xf>
    <xf numFmtId="0" fontId="28" fillId="7" borderId="0" xfId="0" applyFont="1" applyFill="1" applyAlignment="1">
      <alignment vertical="center" wrapText="1"/>
    </xf>
    <xf numFmtId="0" fontId="13" fillId="0" borderId="8" xfId="0" applyFont="1" applyBorder="1" applyAlignment="1">
      <alignment vertical="center"/>
    </xf>
    <xf numFmtId="16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left" vertical="center" indent="1" wrapText="1"/>
    </xf>
    <xf numFmtId="0" fontId="27" fillId="11" borderId="6" xfId="0" applyFont="1" applyFill="1" applyBorder="1" applyAlignment="1">
      <alignment horizontal="center" vertical="center" wrapText="1"/>
    </xf>
    <xf numFmtId="0" fontId="30" fillId="4" borderId="6" xfId="0" applyFont="1" applyFill="1" applyBorder="1" applyAlignment="1">
      <alignment horizontal="left" vertical="center" indent="1"/>
    </xf>
    <xf numFmtId="0" fontId="26" fillId="4" borderId="6" xfId="0" applyFont="1" applyFill="1" applyBorder="1" applyAlignment="1">
      <alignment horizontal="left" vertical="center" indent="1"/>
    </xf>
    <xf numFmtId="0" fontId="31" fillId="5" borderId="1" xfId="0" applyFont="1" applyFill="1" applyBorder="1" applyAlignment="1" applyProtection="1">
      <alignment vertical="center"/>
      <protection locked="0"/>
    </xf>
    <xf numFmtId="0" fontId="13" fillId="5" borderId="1" xfId="0" applyFont="1" applyFill="1" applyBorder="1" applyAlignment="1" applyProtection="1">
      <alignment vertical="center"/>
      <protection locked="0"/>
    </xf>
    <xf numFmtId="0" fontId="32" fillId="4" borderId="1" xfId="0" applyFont="1" applyFill="1" applyBorder="1" applyAlignment="1">
      <alignment vertical="center"/>
    </xf>
    <xf numFmtId="0" fontId="30" fillId="8" borderId="6" xfId="0" applyFont="1" applyFill="1" applyBorder="1" applyAlignment="1">
      <alignment horizontal="left" vertical="center" indent="1"/>
    </xf>
    <xf numFmtId="0" fontId="26" fillId="8" borderId="6" xfId="0" applyFont="1" applyFill="1" applyBorder="1" applyAlignment="1">
      <alignment horizontal="left" vertical="center" indent="1"/>
    </xf>
    <xf numFmtId="0" fontId="33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170" fontId="1" fillId="4" borderId="0" xfId="0" applyNumberFormat="1" applyFont="1" applyFill="1" applyAlignment="1">
      <alignment horizontal="lef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27" fillId="2" borderId="0" xfId="0" applyFont="1" applyFill="1" applyAlignment="1">
      <alignment vertical="center"/>
    </xf>
    <xf numFmtId="0" fontId="1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Dia)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Noite)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19050</xdr:rowOff>
    </xdr:from>
    <xdr:to>
      <xdr:col>21</xdr:col>
      <xdr:colOff>28575</xdr:colOff>
      <xdr:row>2</xdr:row>
      <xdr:rowOff>114300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07918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0</xdr:rowOff>
    </xdr:from>
    <xdr:to>
      <xdr:col>21</xdr:col>
      <xdr:colOff>28575</xdr:colOff>
      <xdr:row>7</xdr:row>
      <xdr:rowOff>19050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0791825" y="79057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546735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4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6" customHeight="1"/>
    <row r="2" spans="2:13" ht="26" customHeight="1">
      <c r="B2" s="1"/>
      <c r="C2" s="1"/>
      <c r="D2" s="1"/>
      <c r="E2" s="2" t="s">
        <v>150</v>
      </c>
      <c r="F2" s="2"/>
      <c r="G2" s="2"/>
      <c r="H2" s="2"/>
      <c r="I2" s="2"/>
      <c r="J2" s="2"/>
      <c r="K2" s="2"/>
    </row>
    <row r="3" spans="2:13" ht="20" customHeight="1">
      <c r="B3" s="1"/>
      <c r="C3" s="1"/>
      <c r="D3" s="1"/>
      <c r="E3" s="3" t="s">
        <v>151</v>
      </c>
      <c r="F3" s="3"/>
      <c r="G3" s="3"/>
      <c r="H3" s="3"/>
      <c r="I3" s="3"/>
      <c r="J3" s="3"/>
      <c r="K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152</v>
      </c>
      <c r="C6" s="5"/>
      <c r="D6" s="5"/>
      <c r="E6" s="6"/>
      <c r="F6" s="6"/>
      <c r="G6" s="7" t="s">
        <v>153</v>
      </c>
      <c r="H6" s="7"/>
      <c r="I6" s="7"/>
      <c r="J6" s="7"/>
      <c r="K6" s="7"/>
    </row>
    <row r="8" spans="2:13" ht="18" customHeight="1">
      <c r="B8" s="8" t="s">
        <v>190</v>
      </c>
      <c r="F8" s="8" t="s">
        <v>191</v>
      </c>
      <c r="H8" s="8" t="s">
        <v>192</v>
      </c>
      <c r="J8" s="8" t="s">
        <v>193</v>
      </c>
    </row>
    <row r="10" spans="2:13" ht="26" customHeight="1">
      <c r="B10" s="9" t="s">
        <v>154</v>
      </c>
      <c r="C10" s="9"/>
      <c r="D10" s="9"/>
      <c r="E10" s="9"/>
      <c r="F10" s="9"/>
      <c r="G10" s="9"/>
      <c r="H10" s="9"/>
      <c r="I10" s="9"/>
      <c r="J10" s="9"/>
      <c r="K10" s="9"/>
      <c r="M10" s="10" t="s">
        <v>155</v>
      </c>
    </row>
    <row r="11" spans="2:13" ht="22" customHeight="1">
      <c r="B11" s="5" t="s">
        <v>156</v>
      </c>
      <c r="C11" s="5"/>
      <c r="D11" s="11"/>
      <c r="E11" s="5" t="s">
        <v>157</v>
      </c>
      <c r="F11" s="5"/>
      <c r="G11" s="12"/>
      <c r="H11" s="12"/>
      <c r="I11" s="12"/>
      <c r="J11" s="12"/>
      <c r="K11" s="12"/>
    </row>
    <row r="12" spans="2:13" ht="22" customHeight="1">
      <c r="B12" s="5" t="s">
        <v>158</v>
      </c>
      <c r="C12" s="5"/>
      <c r="D12" s="13"/>
      <c r="E12" s="13"/>
      <c r="F12" s="13"/>
      <c r="G12" s="5" t="s">
        <v>159</v>
      </c>
      <c r="H12" s="5"/>
      <c r="I12" s="13"/>
      <c r="J12" s="13"/>
      <c r="K12" s="13"/>
    </row>
    <row r="14" spans="2:13" ht="20" customHeight="1">
      <c r="B14" s="14" t="s">
        <v>160</v>
      </c>
      <c r="C14" s="14"/>
      <c r="D14" s="14"/>
      <c r="E14" s="14"/>
      <c r="F14" s="14"/>
      <c r="G14" s="14"/>
      <c r="H14" s="15" t="s">
        <v>161</v>
      </c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4" t="s">
        <v>162</v>
      </c>
      <c r="C28" s="14"/>
      <c r="D28" s="14"/>
      <c r="E28" s="14"/>
      <c r="F28" s="14"/>
      <c r="G28" s="14"/>
      <c r="H28" s="15" t="s">
        <v>163</v>
      </c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4" t="s">
        <v>164</v>
      </c>
      <c r="C34" s="14"/>
      <c r="D34" s="14"/>
      <c r="E34" s="14"/>
      <c r="F34" s="14"/>
      <c r="G34" s="14"/>
      <c r="H34" s="15" t="s">
        <v>165</v>
      </c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4" t="s">
        <v>166</v>
      </c>
      <c r="C40" s="14"/>
      <c r="D40" s="14"/>
      <c r="E40" s="14"/>
      <c r="F40" s="14"/>
      <c r="G40" s="14"/>
      <c r="H40" s="15" t="s">
        <v>161</v>
      </c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4" t="s">
        <v>167</v>
      </c>
      <c r="C50" s="14"/>
      <c r="D50" s="14"/>
      <c r="E50" s="14"/>
      <c r="F50" s="14"/>
      <c r="G50" s="14"/>
      <c r="H50" s="14"/>
      <c r="I50" s="14"/>
      <c r="J50" s="14"/>
      <c r="K50" s="14"/>
    </row>
    <row r="51" spans="2:11" ht="32" customHeight="1">
      <c r="B51" s="5" t="s">
        <v>168</v>
      </c>
      <c r="C51" s="5"/>
      <c r="D51" s="5"/>
      <c r="E51" s="18" t="s">
        <v>169</v>
      </c>
      <c r="F51" s="18"/>
      <c r="G51" s="18"/>
      <c r="H51" s="18"/>
      <c r="I51" s="18"/>
      <c r="J51" s="18"/>
      <c r="K51" s="18"/>
    </row>
    <row r="52" spans="2:11" ht="20" customHeight="1">
      <c r="B52" s="5" t="s">
        <v>170</v>
      </c>
      <c r="C52" s="5"/>
      <c r="D52" s="5"/>
      <c r="E52" s="17" t="s">
        <v>92</v>
      </c>
      <c r="F52" s="17"/>
      <c r="G52" s="5" t="s">
        <v>171</v>
      </c>
      <c r="H52" s="17"/>
      <c r="I52" s="17"/>
      <c r="J52" s="17"/>
      <c r="K52" s="17"/>
    </row>
    <row r="53" spans="2:11" ht="20" customHeight="1">
      <c r="B53" s="5" t="s">
        <v>172</v>
      </c>
      <c r="C53" s="5"/>
      <c r="D53" s="5"/>
      <c r="E53" s="17" t="s">
        <v>77</v>
      </c>
      <c r="F53" s="17"/>
      <c r="G53" s="5" t="s">
        <v>79</v>
      </c>
      <c r="H53" s="17"/>
      <c r="I53" s="17"/>
    </row>
    <row r="54" spans="2:11" ht="20" customHeight="1">
      <c r="B54" s="5" t="s">
        <v>173</v>
      </c>
      <c r="C54" s="5"/>
      <c r="D54" s="5"/>
      <c r="E54" s="17"/>
      <c r="F54" s="17"/>
      <c r="G54" s="5" t="s">
        <v>78</v>
      </c>
      <c r="H54" s="17"/>
      <c r="I54" s="17"/>
    </row>
    <row r="56" spans="2:11" ht="22" customHeight="1">
      <c r="B56" s="14" t="s">
        <v>174</v>
      </c>
      <c r="C56" s="14"/>
      <c r="D56" s="14"/>
      <c r="E56" s="14"/>
      <c r="F56" s="14"/>
      <c r="G56" s="14"/>
      <c r="H56" s="14"/>
      <c r="I56" s="14"/>
      <c r="J56" s="14"/>
      <c r="K56" s="14"/>
    </row>
    <row r="57" spans="2:11" ht="20" customHeight="1">
      <c r="B57" s="5" t="s">
        <v>175</v>
      </c>
      <c r="C57" s="5"/>
      <c r="D57" s="5"/>
      <c r="E57" s="17" t="s">
        <v>92</v>
      </c>
      <c r="F57" s="17"/>
      <c r="G57" s="5" t="s">
        <v>176</v>
      </c>
      <c r="H57" s="17"/>
      <c r="I57" s="17"/>
      <c r="J57" s="17"/>
      <c r="K57" s="17"/>
    </row>
    <row r="58" spans="2:11" ht="20" customHeight="1">
      <c r="B58" s="5" t="s">
        <v>177</v>
      </c>
      <c r="C58" s="5"/>
      <c r="D58" s="5"/>
      <c r="E58" s="17" t="s">
        <v>92</v>
      </c>
      <c r="F58" s="17"/>
      <c r="G58" s="5" t="s">
        <v>176</v>
      </c>
      <c r="H58" s="17"/>
      <c r="I58" s="17"/>
      <c r="J58" s="17"/>
      <c r="K58" s="17"/>
    </row>
    <row r="59" spans="2:11" ht="20" customHeight="1">
      <c r="B59" s="5" t="s">
        <v>178</v>
      </c>
      <c r="C59" s="5"/>
      <c r="D59" s="5"/>
      <c r="E59" s="17" t="s">
        <v>92</v>
      </c>
      <c r="F59" s="17"/>
      <c r="G59" s="5" t="s">
        <v>176</v>
      </c>
      <c r="H59" s="17"/>
      <c r="I59" s="17"/>
      <c r="J59" s="17"/>
      <c r="K59" s="17"/>
    </row>
    <row r="60" spans="2:11" ht="20" customHeight="1">
      <c r="B60" s="5" t="s">
        <v>179</v>
      </c>
      <c r="C60" s="5"/>
      <c r="D60" s="5"/>
      <c r="E60" s="17"/>
      <c r="F60" s="17"/>
    </row>
    <row r="62" spans="2:11" ht="22" customHeight="1">
      <c r="B62" s="14" t="s">
        <v>180</v>
      </c>
      <c r="C62" s="14"/>
      <c r="D62" s="14"/>
      <c r="E62" s="14"/>
      <c r="F62" s="14"/>
      <c r="G62" s="14"/>
      <c r="H62" s="14"/>
      <c r="I62" s="14"/>
      <c r="J62" s="14"/>
      <c r="K62" s="14"/>
    </row>
    <row r="63" spans="2:11" ht="20" customHeight="1">
      <c r="B63" s="5" t="s">
        <v>181</v>
      </c>
      <c r="C63" s="5"/>
      <c r="D63" s="5"/>
      <c r="E63" s="17"/>
      <c r="F63" s="17"/>
      <c r="G63" s="17"/>
      <c r="H63" s="17"/>
      <c r="I63" s="17"/>
      <c r="J63" s="17"/>
      <c r="K63" s="17"/>
    </row>
    <row r="64" spans="2:11" ht="20" customHeight="1">
      <c r="B64" s="5" t="s">
        <v>182</v>
      </c>
      <c r="C64" s="5"/>
      <c r="D64" s="5"/>
      <c r="E64" s="17"/>
      <c r="F64" s="17"/>
      <c r="G64" s="17"/>
      <c r="H64" s="17"/>
      <c r="I64" s="17"/>
      <c r="J64" s="17"/>
      <c r="K64" s="17"/>
    </row>
    <row r="66" spans="2:13" ht="22" customHeight="1">
      <c r="B66" s="14" t="s">
        <v>183</v>
      </c>
      <c r="C66" s="14"/>
      <c r="D66" s="14"/>
      <c r="E66" s="14"/>
      <c r="F66" s="14"/>
      <c r="G66" s="14"/>
      <c r="H66" s="14"/>
      <c r="I66" s="14"/>
      <c r="J66" s="14"/>
      <c r="K66" s="14"/>
    </row>
    <row r="67" spans="2:13" ht="20" customHeight="1">
      <c r="B67" s="5" t="s">
        <v>184</v>
      </c>
      <c r="C67" s="5"/>
      <c r="D67" s="5"/>
      <c r="E67" s="17"/>
      <c r="F67" s="17"/>
      <c r="G67" s="5" t="s">
        <v>185</v>
      </c>
      <c r="H67" s="5"/>
      <c r="I67" s="17"/>
      <c r="J67" s="17"/>
      <c r="K67" s="17"/>
    </row>
    <row r="68" spans="2:13" ht="20" customHeight="1">
      <c r="B68" s="5" t="s">
        <v>186</v>
      </c>
      <c r="C68" s="5"/>
      <c r="D68" s="5"/>
      <c r="E68" s="17"/>
      <c r="F68" s="17"/>
      <c r="G68" s="17"/>
      <c r="H68" s="17"/>
      <c r="I68" s="17"/>
      <c r="J68" s="17"/>
      <c r="K68" s="17"/>
    </row>
    <row r="69" spans="2:13">
      <c r="B69" s="5" t="s">
        <v>187</v>
      </c>
      <c r="C69" s="5"/>
      <c r="D69" s="5"/>
      <c r="E69" s="19"/>
      <c r="F69" s="19"/>
      <c r="G69" s="19"/>
      <c r="H69" s="19"/>
      <c r="I69" s="19"/>
      <c r="J69" s="19"/>
      <c r="K69" s="19"/>
    </row>
    <row r="70" spans="2:13">
      <c r="B70" s="5"/>
      <c r="C70" s="5"/>
      <c r="D70" s="5"/>
      <c r="E70" s="19"/>
      <c r="F70" s="19"/>
      <c r="G70" s="19"/>
      <c r="H70" s="19"/>
      <c r="I70" s="19"/>
      <c r="J70" s="19"/>
      <c r="K70" s="19"/>
    </row>
    <row r="71" spans="2:13">
      <c r="B71" s="5"/>
      <c r="C71" s="5"/>
      <c r="D71" s="5"/>
      <c r="E71" s="19"/>
      <c r="F71" s="19"/>
      <c r="G71" s="19"/>
      <c r="H71" s="19"/>
      <c r="I71" s="19"/>
      <c r="J71" s="19"/>
      <c r="K71" s="19"/>
    </row>
    <row r="73" spans="2:13" ht="26" customHeight="1">
      <c r="B73" s="9" t="s">
        <v>188</v>
      </c>
      <c r="C73" s="9"/>
      <c r="D73" s="9"/>
      <c r="E73" s="9"/>
      <c r="F73" s="9"/>
      <c r="G73" s="9"/>
      <c r="H73" s="9"/>
      <c r="I73" s="9"/>
      <c r="J73" s="9"/>
      <c r="K73" s="9"/>
      <c r="M73" s="10" t="s">
        <v>189</v>
      </c>
    </row>
    <row r="74" spans="2:13" ht="22" customHeight="1">
      <c r="B74" s="5" t="s">
        <v>156</v>
      </c>
      <c r="C74" s="5"/>
      <c r="D74" s="11"/>
      <c r="E74" s="5" t="s">
        <v>157</v>
      </c>
      <c r="F74" s="5"/>
      <c r="G74" s="12"/>
      <c r="H74" s="12"/>
      <c r="I74" s="12"/>
      <c r="J74" s="12"/>
      <c r="K74" s="12"/>
    </row>
    <row r="75" spans="2:13" ht="22" customHeight="1">
      <c r="B75" s="5" t="s">
        <v>158</v>
      </c>
      <c r="C75" s="5"/>
      <c r="D75" s="13"/>
      <c r="E75" s="13"/>
      <c r="F75" s="13"/>
      <c r="G75" s="5" t="s">
        <v>159</v>
      </c>
      <c r="H75" s="5"/>
      <c r="I75" s="13"/>
      <c r="J75" s="13"/>
      <c r="K75" s="13"/>
    </row>
    <row r="77" spans="2:13" ht="20" customHeight="1">
      <c r="B77" s="14" t="s">
        <v>160</v>
      </c>
      <c r="C77" s="14"/>
      <c r="D77" s="14"/>
      <c r="E77" s="14"/>
      <c r="F77" s="14"/>
      <c r="G77" s="14"/>
      <c r="H77" s="15" t="s">
        <v>161</v>
      </c>
      <c r="I77" s="15"/>
      <c r="J77" s="15"/>
      <c r="K77" s="15"/>
    </row>
    <row r="78" spans="2:13" ht="19" customHeight="1">
      <c r="B78" s="16">
        <v>1</v>
      </c>
      <c r="C78" s="17"/>
      <c r="D78" s="17"/>
      <c r="E78" s="17"/>
      <c r="F78" s="17"/>
      <c r="G78" s="17"/>
      <c r="H78" s="17"/>
      <c r="I78" s="17"/>
      <c r="J78" s="17"/>
      <c r="K78" s="17"/>
    </row>
    <row r="79" spans="2:13" ht="19" customHeight="1">
      <c r="B79" s="16">
        <v>2</v>
      </c>
      <c r="C79" s="17"/>
      <c r="D79" s="17"/>
      <c r="E79" s="17"/>
      <c r="F79" s="17"/>
      <c r="G79" s="17"/>
      <c r="H79" s="17"/>
      <c r="I79" s="17"/>
      <c r="J79" s="17"/>
      <c r="K79" s="17"/>
    </row>
    <row r="80" spans="2:13" ht="19" customHeight="1">
      <c r="B80" s="16">
        <v>3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4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5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6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7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8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9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10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11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12</v>
      </c>
      <c r="C89" s="17"/>
      <c r="D89" s="17"/>
      <c r="E89" s="17"/>
      <c r="F89" s="17"/>
      <c r="G89" s="17"/>
      <c r="H89" s="17"/>
      <c r="I89" s="17"/>
      <c r="J89" s="17"/>
      <c r="K89" s="17"/>
    </row>
    <row r="91" spans="2:11" ht="20" customHeight="1">
      <c r="B91" s="14" t="s">
        <v>162</v>
      </c>
      <c r="C91" s="14"/>
      <c r="D91" s="14"/>
      <c r="E91" s="14"/>
      <c r="F91" s="14"/>
      <c r="G91" s="14"/>
      <c r="H91" s="15" t="s">
        <v>163</v>
      </c>
      <c r="I91" s="15"/>
      <c r="J91" s="15"/>
      <c r="K91" s="15"/>
    </row>
    <row r="92" spans="2:11" ht="19" customHeight="1">
      <c r="B92" s="16">
        <v>1</v>
      </c>
      <c r="C92" s="17"/>
      <c r="D92" s="17"/>
      <c r="E92" s="17"/>
      <c r="F92" s="17"/>
      <c r="G92" s="17"/>
      <c r="H92" s="17"/>
      <c r="I92" s="17"/>
      <c r="J92" s="17"/>
      <c r="K92" s="17"/>
    </row>
    <row r="93" spans="2:11" ht="19" customHeight="1">
      <c r="B93" s="16">
        <v>2</v>
      </c>
      <c r="C93" s="17"/>
      <c r="D93" s="17"/>
      <c r="E93" s="17"/>
      <c r="F93" s="17"/>
      <c r="G93" s="17"/>
      <c r="H93" s="17"/>
      <c r="I93" s="17"/>
      <c r="J93" s="17"/>
      <c r="K93" s="17"/>
    </row>
    <row r="94" spans="2:11" ht="19" customHeight="1">
      <c r="B94" s="16">
        <v>3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4</v>
      </c>
      <c r="C95" s="17"/>
      <c r="D95" s="17"/>
      <c r="E95" s="17"/>
      <c r="F95" s="17"/>
      <c r="G95" s="17"/>
      <c r="H95" s="17"/>
      <c r="I95" s="17"/>
      <c r="J95" s="17"/>
      <c r="K95" s="17"/>
    </row>
    <row r="97" spans="2:11" ht="20" customHeight="1">
      <c r="B97" s="14" t="s">
        <v>164</v>
      </c>
      <c r="C97" s="14"/>
      <c r="D97" s="14"/>
      <c r="E97" s="14"/>
      <c r="F97" s="14"/>
      <c r="G97" s="14"/>
      <c r="H97" s="15" t="s">
        <v>165</v>
      </c>
      <c r="I97" s="15"/>
      <c r="J97" s="15"/>
      <c r="K97" s="15"/>
    </row>
    <row r="98" spans="2:11" ht="19" customHeight="1">
      <c r="B98" s="16">
        <v>1</v>
      </c>
      <c r="C98" s="17"/>
      <c r="D98" s="17"/>
      <c r="E98" s="17"/>
      <c r="F98" s="17"/>
      <c r="G98" s="17"/>
      <c r="H98" s="17"/>
      <c r="I98" s="17"/>
      <c r="J98" s="17"/>
      <c r="K98" s="17"/>
    </row>
    <row r="99" spans="2:11" ht="19" customHeight="1">
      <c r="B99" s="16">
        <v>2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3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4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3" spans="2:11" ht="20" customHeight="1">
      <c r="B103" s="14" t="s">
        <v>166</v>
      </c>
      <c r="C103" s="14"/>
      <c r="D103" s="14"/>
      <c r="E103" s="14"/>
      <c r="F103" s="14"/>
      <c r="G103" s="14"/>
      <c r="H103" s="15" t="s">
        <v>161</v>
      </c>
      <c r="I103" s="15"/>
      <c r="J103" s="15"/>
      <c r="K103" s="15"/>
    </row>
    <row r="104" spans="2:11" ht="19" customHeight="1">
      <c r="B104" s="16">
        <v>1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2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6" spans="2:11" ht="19" customHeight="1">
      <c r="B106" s="16">
        <v>3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4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5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6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7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8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3" spans="2:11" ht="22" customHeight="1">
      <c r="B113" s="14" t="s">
        <v>167</v>
      </c>
      <c r="C113" s="14"/>
      <c r="D113" s="14"/>
      <c r="E113" s="14"/>
      <c r="F113" s="14"/>
      <c r="G113" s="14"/>
      <c r="H113" s="14"/>
      <c r="I113" s="14"/>
      <c r="J113" s="14"/>
      <c r="K113" s="14"/>
    </row>
    <row r="114" spans="2:11" ht="32" customHeight="1">
      <c r="B114" s="5" t="s">
        <v>168</v>
      </c>
      <c r="C114" s="5"/>
      <c r="D114" s="5"/>
      <c r="E114" s="18" t="s">
        <v>169</v>
      </c>
      <c r="F114" s="18"/>
      <c r="G114" s="18"/>
      <c r="H114" s="18"/>
      <c r="I114" s="18"/>
      <c r="J114" s="18"/>
      <c r="K114" s="18"/>
    </row>
    <row r="115" spans="2:11" ht="20" customHeight="1">
      <c r="B115" s="5" t="s">
        <v>170</v>
      </c>
      <c r="C115" s="5"/>
      <c r="D115" s="5"/>
      <c r="E115" s="17" t="s">
        <v>92</v>
      </c>
      <c r="F115" s="17"/>
      <c r="G115" s="5" t="s">
        <v>171</v>
      </c>
      <c r="H115" s="17"/>
      <c r="I115" s="17"/>
      <c r="J115" s="17"/>
      <c r="K115" s="17"/>
    </row>
    <row r="116" spans="2:11" ht="20" customHeight="1">
      <c r="B116" s="5" t="s">
        <v>172</v>
      </c>
      <c r="C116" s="5"/>
      <c r="D116" s="5"/>
      <c r="E116" s="17" t="s">
        <v>77</v>
      </c>
      <c r="F116" s="17"/>
      <c r="G116" s="5" t="s">
        <v>79</v>
      </c>
      <c r="H116" s="17"/>
      <c r="I116" s="17"/>
    </row>
    <row r="117" spans="2:11" ht="20" customHeight="1">
      <c r="B117" s="5" t="s">
        <v>173</v>
      </c>
      <c r="C117" s="5"/>
      <c r="D117" s="5"/>
      <c r="E117" s="17"/>
      <c r="F117" s="17"/>
      <c r="G117" s="5" t="s">
        <v>78</v>
      </c>
      <c r="H117" s="17"/>
      <c r="I117" s="17"/>
    </row>
    <row r="119" spans="2:11" ht="22" customHeight="1">
      <c r="B119" s="14" t="s">
        <v>174</v>
      </c>
      <c r="C119" s="14"/>
      <c r="D119" s="14"/>
      <c r="E119" s="14"/>
      <c r="F119" s="14"/>
      <c r="G119" s="14"/>
      <c r="H119" s="14"/>
      <c r="I119" s="14"/>
      <c r="J119" s="14"/>
      <c r="K119" s="14"/>
    </row>
    <row r="120" spans="2:11" ht="20" customHeight="1">
      <c r="B120" s="5" t="s">
        <v>175</v>
      </c>
      <c r="C120" s="5"/>
      <c r="D120" s="5"/>
      <c r="E120" s="17" t="s">
        <v>92</v>
      </c>
      <c r="F120" s="17"/>
      <c r="G120" s="5" t="s">
        <v>176</v>
      </c>
      <c r="H120" s="17"/>
      <c r="I120" s="17"/>
      <c r="J120" s="17"/>
      <c r="K120" s="17"/>
    </row>
    <row r="121" spans="2:11" ht="20" customHeight="1">
      <c r="B121" s="5" t="s">
        <v>177</v>
      </c>
      <c r="C121" s="5"/>
      <c r="D121" s="5"/>
      <c r="E121" s="17" t="s">
        <v>92</v>
      </c>
      <c r="F121" s="17"/>
      <c r="G121" s="5" t="s">
        <v>176</v>
      </c>
      <c r="H121" s="17"/>
      <c r="I121" s="17"/>
      <c r="J121" s="17"/>
      <c r="K121" s="17"/>
    </row>
    <row r="122" spans="2:11" ht="20" customHeight="1">
      <c r="B122" s="5" t="s">
        <v>178</v>
      </c>
      <c r="C122" s="5"/>
      <c r="D122" s="5"/>
      <c r="E122" s="17" t="s">
        <v>92</v>
      </c>
      <c r="F122" s="17"/>
      <c r="G122" s="5" t="s">
        <v>176</v>
      </c>
      <c r="H122" s="17"/>
      <c r="I122" s="17"/>
      <c r="J122" s="17"/>
      <c r="K122" s="17"/>
    </row>
    <row r="123" spans="2:11" ht="20" customHeight="1">
      <c r="B123" s="5" t="s">
        <v>179</v>
      </c>
      <c r="C123" s="5"/>
      <c r="D123" s="5"/>
      <c r="E123" s="17"/>
      <c r="F123" s="17"/>
    </row>
    <row r="125" spans="2:11" ht="22" customHeight="1">
      <c r="B125" s="14" t="s">
        <v>180</v>
      </c>
      <c r="C125" s="14"/>
      <c r="D125" s="14"/>
      <c r="E125" s="14"/>
      <c r="F125" s="14"/>
      <c r="G125" s="14"/>
      <c r="H125" s="14"/>
      <c r="I125" s="14"/>
      <c r="J125" s="14"/>
      <c r="K125" s="14"/>
    </row>
    <row r="126" spans="2:11" ht="20" customHeight="1">
      <c r="B126" s="5" t="s">
        <v>181</v>
      </c>
      <c r="C126" s="5"/>
      <c r="D126" s="5"/>
      <c r="E126" s="17"/>
      <c r="F126" s="17"/>
      <c r="G126" s="17"/>
      <c r="H126" s="17"/>
      <c r="I126" s="17"/>
      <c r="J126" s="17"/>
      <c r="K126" s="17"/>
    </row>
    <row r="127" spans="2:11" ht="20" customHeight="1">
      <c r="B127" s="5" t="s">
        <v>182</v>
      </c>
      <c r="C127" s="5"/>
      <c r="D127" s="5"/>
      <c r="E127" s="17"/>
      <c r="F127" s="17"/>
      <c r="G127" s="17"/>
      <c r="H127" s="17"/>
      <c r="I127" s="17"/>
      <c r="J127" s="17"/>
      <c r="K127" s="17"/>
    </row>
    <row r="129" spans="2:11" ht="22" customHeight="1">
      <c r="B129" s="14" t="s">
        <v>183</v>
      </c>
      <c r="C129" s="14"/>
      <c r="D129" s="14"/>
      <c r="E129" s="14"/>
      <c r="F129" s="14"/>
      <c r="G129" s="14"/>
      <c r="H129" s="14"/>
      <c r="I129" s="14"/>
      <c r="J129" s="14"/>
      <c r="K129" s="14"/>
    </row>
    <row r="130" spans="2:11" ht="20" customHeight="1">
      <c r="B130" s="5" t="s">
        <v>184</v>
      </c>
      <c r="C130" s="5"/>
      <c r="D130" s="5"/>
      <c r="E130" s="17"/>
      <c r="F130" s="17"/>
      <c r="G130" s="5" t="s">
        <v>185</v>
      </c>
      <c r="H130" s="5"/>
      <c r="I130" s="17"/>
      <c r="J130" s="17"/>
      <c r="K130" s="17"/>
    </row>
    <row r="131" spans="2:11" ht="20" customHeight="1">
      <c r="B131" s="5" t="s">
        <v>186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2" spans="2:11">
      <c r="B132" s="5" t="s">
        <v>187</v>
      </c>
      <c r="C132" s="5"/>
      <c r="D132" s="5"/>
      <c r="E132" s="19"/>
      <c r="F132" s="19"/>
      <c r="G132" s="19"/>
      <c r="H132" s="19"/>
      <c r="I132" s="19"/>
      <c r="J132" s="19"/>
      <c r="K132" s="19"/>
    </row>
    <row r="133" spans="2:11">
      <c r="B133" s="5"/>
      <c r="C133" s="5"/>
      <c r="D133" s="5"/>
      <c r="E133" s="19"/>
      <c r="F133" s="19"/>
      <c r="G133" s="19"/>
      <c r="H133" s="19"/>
      <c r="I133" s="19"/>
      <c r="J133" s="19"/>
      <c r="K133" s="19"/>
    </row>
    <row r="134" spans="2:11">
      <c r="B134" s="5"/>
      <c r="C134" s="5"/>
      <c r="D134" s="5"/>
      <c r="E134" s="19"/>
      <c r="F134" s="19"/>
      <c r="G134" s="19"/>
      <c r="H134" s="19"/>
      <c r="I134" s="19"/>
      <c r="J134" s="19"/>
      <c r="K134" s="19"/>
    </row>
  </sheetData>
  <sheetProtection sheet="1" objects="1" scenarios="1" formatColumns="0" formatRows="0"/>
  <mergeCells count="169">
    <mergeCell ref="E2:K2"/>
    <mergeCell ref="E3:K3"/>
    <mergeCell ref="B6:D6"/>
    <mergeCell ref="E6:F6"/>
    <mergeCell ref="G6:K6"/>
    <mergeCell ref="B10:K10"/>
    <mergeCell ref="B11:C11"/>
    <mergeCell ref="E11:F11"/>
    <mergeCell ref="G11:K11"/>
    <mergeCell ref="B12:C12"/>
    <mergeCell ref="D12:F12"/>
    <mergeCell ref="G12:H12"/>
    <mergeCell ref="I12:K12"/>
    <mergeCell ref="B14:G14"/>
    <mergeCell ref="H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G28"/>
    <mergeCell ref="H28:K28"/>
    <mergeCell ref="C29:K29"/>
    <mergeCell ref="C30:K30"/>
    <mergeCell ref="C31:K31"/>
    <mergeCell ref="C32:K32"/>
    <mergeCell ref="B34:G34"/>
    <mergeCell ref="H34:K34"/>
    <mergeCell ref="C35:K35"/>
    <mergeCell ref="C36:K36"/>
    <mergeCell ref="C37:K37"/>
    <mergeCell ref="C38:K38"/>
    <mergeCell ref="B40:G40"/>
    <mergeCell ref="H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1"/>
    <mergeCell ref="E51:K51"/>
    <mergeCell ref="B52:D52"/>
    <mergeCell ref="E52:F52"/>
    <mergeCell ref="H52:K52"/>
    <mergeCell ref="B53:D53"/>
    <mergeCell ref="E53:F53"/>
    <mergeCell ref="H53:I53"/>
    <mergeCell ref="B54:D54"/>
    <mergeCell ref="E54:F54"/>
    <mergeCell ref="H54:I54"/>
    <mergeCell ref="B56:K56"/>
    <mergeCell ref="B57:D57"/>
    <mergeCell ref="E57:F57"/>
    <mergeCell ref="H57:K57"/>
    <mergeCell ref="B58:D58"/>
    <mergeCell ref="E58:F58"/>
    <mergeCell ref="H58:K58"/>
    <mergeCell ref="B59:D59"/>
    <mergeCell ref="E59:F59"/>
    <mergeCell ref="H59:K59"/>
    <mergeCell ref="B60:D60"/>
    <mergeCell ref="E60:F60"/>
    <mergeCell ref="B62:K62"/>
    <mergeCell ref="B63:D63"/>
    <mergeCell ref="E63:K63"/>
    <mergeCell ref="B64:D64"/>
    <mergeCell ref="E64:K64"/>
    <mergeCell ref="B66:K66"/>
    <mergeCell ref="B67:D67"/>
    <mergeCell ref="E67:F67"/>
    <mergeCell ref="G67:H67"/>
    <mergeCell ref="I67:K67"/>
    <mergeCell ref="B68:D68"/>
    <mergeCell ref="E68:K68"/>
    <mergeCell ref="B69:D71"/>
    <mergeCell ref="E69:K71"/>
    <mergeCell ref="B73:K73"/>
    <mergeCell ref="B74:C74"/>
    <mergeCell ref="E74:F74"/>
    <mergeCell ref="G74:K74"/>
    <mergeCell ref="B75:C75"/>
    <mergeCell ref="D75:F75"/>
    <mergeCell ref="G75:H75"/>
    <mergeCell ref="I75:K75"/>
    <mergeCell ref="B77:G77"/>
    <mergeCell ref="H77:K77"/>
    <mergeCell ref="C78:K78"/>
    <mergeCell ref="C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B91:G91"/>
    <mergeCell ref="H91:K91"/>
    <mergeCell ref="C92:K92"/>
    <mergeCell ref="C93:K93"/>
    <mergeCell ref="C94:K94"/>
    <mergeCell ref="C95:K95"/>
    <mergeCell ref="B97:G97"/>
    <mergeCell ref="H97:K97"/>
    <mergeCell ref="C98:K98"/>
    <mergeCell ref="C99:K99"/>
    <mergeCell ref="C100:K100"/>
    <mergeCell ref="C101:K101"/>
    <mergeCell ref="B103:G103"/>
    <mergeCell ref="H103:K103"/>
    <mergeCell ref="C104:K104"/>
    <mergeCell ref="C105:K105"/>
    <mergeCell ref="C106:K106"/>
    <mergeCell ref="C107:K107"/>
    <mergeCell ref="C108:K108"/>
    <mergeCell ref="C109:K109"/>
    <mergeCell ref="C110:K110"/>
    <mergeCell ref="C111:K111"/>
    <mergeCell ref="B113:K113"/>
    <mergeCell ref="B114:D114"/>
    <mergeCell ref="E114:K114"/>
    <mergeCell ref="B115:D115"/>
    <mergeCell ref="E115:F115"/>
    <mergeCell ref="H115:K115"/>
    <mergeCell ref="B116:D116"/>
    <mergeCell ref="E116:F116"/>
    <mergeCell ref="H116:I116"/>
    <mergeCell ref="B117:D117"/>
    <mergeCell ref="E117:F117"/>
    <mergeCell ref="H117:I117"/>
    <mergeCell ref="B119:K119"/>
    <mergeCell ref="B120:D120"/>
    <mergeCell ref="E120:F120"/>
    <mergeCell ref="H120:K120"/>
    <mergeCell ref="B121:D121"/>
    <mergeCell ref="E121:F121"/>
    <mergeCell ref="H121:K121"/>
    <mergeCell ref="B122:D122"/>
    <mergeCell ref="E122:F122"/>
    <mergeCell ref="H122:K122"/>
    <mergeCell ref="B123:D123"/>
    <mergeCell ref="E123:F123"/>
    <mergeCell ref="B125:K125"/>
    <mergeCell ref="B126:D126"/>
    <mergeCell ref="E126:K126"/>
    <mergeCell ref="B127:D127"/>
    <mergeCell ref="E127:K127"/>
    <mergeCell ref="B129:K129"/>
    <mergeCell ref="B130:D130"/>
    <mergeCell ref="E130:F130"/>
    <mergeCell ref="G130:H130"/>
    <mergeCell ref="I130:K130"/>
    <mergeCell ref="B131:D131"/>
    <mergeCell ref="E131:K131"/>
    <mergeCell ref="B132:D134"/>
    <mergeCell ref="E132:K134"/>
  </mergeCells>
  <dataValidations count="25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52">
      <formula1>lstSN</formula1>
    </dataValidation>
    <dataValidation type="list" allowBlank="1" showInputMessage="1" showErrorMessage="1" sqref="E53">
      <formula1>lstAr</formula1>
    </dataValidation>
    <dataValidation type="list" allowBlank="1" showInputMessage="1" showErrorMessage="1" sqref="H53">
      <formula1>lstLigado</formula1>
    </dataValidation>
    <dataValidation type="list" allowBlank="1" showInputMessage="1" showErrorMessage="1" sqref="E54">
      <formula1>lstCond</formula1>
    </dataValidation>
    <dataValidation type="list" allowBlank="1" showInputMessage="1" showErrorMessage="1" sqref="H54">
      <formula1>lstCond</formula1>
    </dataValidation>
    <dataValidation type="list" allowBlank="1" showInputMessage="1" showErrorMessage="1" sqref="E57">
      <formula1>lstSN</formula1>
    </dataValidation>
    <dataValidation type="list" allowBlank="1" showInputMessage="1" showErrorMessage="1" sqref="E58">
      <formula1>lstSN</formula1>
    </dataValidation>
    <dataValidation type="list" allowBlank="1" showInputMessage="1" showErrorMessage="1" sqref="E59">
      <formula1>lstSN</formula1>
    </dataValidation>
    <dataValidation type="list" allowBlank="1" showInputMessage="1" showErrorMessage="1" sqref="E60">
      <formula1>lstTurma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  <dataValidation type="list" allowBlank="1" showInputMessage="1" showErrorMessage="1" sqref="E115">
      <formula1>lstSN</formula1>
    </dataValidation>
    <dataValidation type="list" allowBlank="1" showInputMessage="1" showErrorMessage="1" sqref="E116">
      <formula1>lstAr</formula1>
    </dataValidation>
    <dataValidation type="list" allowBlank="1" showInputMessage="1" showErrorMessage="1" sqref="H116">
      <formula1>lstLigado</formula1>
    </dataValidation>
    <dataValidation type="list" allowBlank="1" showInputMessage="1" showErrorMessage="1" sqref="E117">
      <formula1>lstCond</formula1>
    </dataValidation>
    <dataValidation type="list" allowBlank="1" showInputMessage="1" showErrorMessage="1" sqref="H117">
      <formula1>lstCond</formula1>
    </dataValidation>
    <dataValidation type="list" allowBlank="1" showInputMessage="1" showErrorMessage="1" sqref="E120">
      <formula1>lstSN</formula1>
    </dataValidation>
    <dataValidation type="list" allowBlank="1" showInputMessage="1" showErrorMessage="1" sqref="E121">
      <formula1>lstSN</formula1>
    </dataValidation>
    <dataValidation type="list" allowBlank="1" showInputMessage="1" showErrorMessage="1" sqref="E122">
      <formula1>lstSN</formula1>
    </dataValidation>
    <dataValidation type="list" allowBlank="1" showInputMessage="1" showErrorMessage="1" sqref="E123">
      <formula1>lstTurma</formula1>
    </dataValidation>
  </dataValidations>
  <hyperlinks>
    <hyperlink ref="B8" location="'Preenchimento'!B73" display="▼ Ir para o Turno Noite"/>
    <hyperlink ref="F8" location="'Resumo Dia'!A1" display="▶ Resumo Dia"/>
    <hyperlink ref="H8" location="'Resumo Noite'!A1" display="▶ Resumo Noite"/>
    <hyperlink ref="J8" location="'Resultados gerais'!A1" display="▶ Resultados gerais"/>
    <hyperlink ref="M10" location="'Resumo Dia'!A1" display="▶ Ver Resumo Dia"/>
    <hyperlink ref="M73" location="'Resumo Noite'!A1" display="▶ Ver 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88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  <col min="17" max="18" width="8.7109375" hidden="1" customWidth="1"/>
  </cols>
  <sheetData>
    <row r="1" spans="1:15" ht="6" customHeight="1"/>
    <row r="2" spans="1:15" ht="26" customHeight="1">
      <c r="B2" s="1"/>
      <c r="C2" s="1"/>
      <c r="D2" s="2" t="s">
        <v>194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195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20">
        <f>IF(pData="","Preencha a DATA na aba Preenchimento",TEXT(DAY(pData),"00")&amp;"/"&amp;TEXT(MONTH(pData),"00")&amp;"/"&amp;YEAR(pData))&amp;"   ·   Turno Dia"&amp;IF(dLetra="","","   ·   Letra "&amp;dLetra)&amp;IF(dTecnico="","","   ·   Técnico: "&amp;dTecnico)</f>
        <v>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1:15" ht="6" customHeight="1"/>
    <row r="8" spans="1:15" ht="22" customHeight="1">
      <c r="B8" s="14" t="s">
        <v>196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1:15" ht="16" customHeight="1">
      <c r="B9" s="21" t="s">
        <v>197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5" ht="14" customHeight="1">
      <c r="A10" s="22" t="s">
        <v>198</v>
      </c>
      <c r="B10" s="23">
        <f>IF(C10="","","•")</f>
        <v>0</v>
      </c>
      <c r="C10" s="24">
        <f>IF(TRIM('Preenchimento'!$C$15)="","",TRIM('Preenchimento'!$C$15))</f>
        <v>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0" t="s">
        <v>257</v>
      </c>
    </row>
    <row r="11" spans="1:15" ht="14" customHeight="1">
      <c r="A11" s="22" t="s">
        <v>198</v>
      </c>
      <c r="B11" s="23">
        <f>IF(C11="","","•")</f>
        <v>0</v>
      </c>
      <c r="C11" s="24">
        <f>IF(TRIM('Preenchimento'!$C$16)="","",TRIM('Preenchimento'!$C$16))</f>
        <v>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5" ht="14" customHeight="1">
      <c r="A12" s="22" t="s">
        <v>198</v>
      </c>
      <c r="B12" s="23">
        <f>IF(C12="","","•")</f>
        <v>0</v>
      </c>
      <c r="C12" s="24">
        <f>IF(TRIM('Preenchimento'!$C$17)="","",TRIM('Preenchimento'!$C$17))</f>
        <v>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O12" s="25" t="s">
        <v>258</v>
      </c>
    </row>
    <row r="13" spans="1:15" ht="14" customHeight="1">
      <c r="A13" s="22" t="s">
        <v>198</v>
      </c>
      <c r="B13" s="23">
        <f>IF(C13="","","•")</f>
        <v>0</v>
      </c>
      <c r="C13" s="24">
        <f>IF(TRIM('Preenchimento'!$C$18)="","",TRIM('Preenchimento'!$C$18))</f>
        <v>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O13" s="25"/>
    </row>
    <row r="14" spans="1:15" ht="14" customHeight="1">
      <c r="A14" s="22" t="s">
        <v>198</v>
      </c>
      <c r="B14" s="23">
        <f>IF(C14="","","•")</f>
        <v>0</v>
      </c>
      <c r="C14" s="24">
        <f>IF(TRIM('Preenchimento'!$C$19)="","",TRIM('Preenchimento'!$C$19))</f>
        <v>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O14" s="25"/>
    </row>
    <row r="15" spans="1:15" ht="14" customHeight="1">
      <c r="A15" s="22" t="s">
        <v>198</v>
      </c>
      <c r="B15" s="23">
        <f>IF(C15="","","•")</f>
        <v>0</v>
      </c>
      <c r="C15" s="24">
        <f>IF(TRIM('Preenchimento'!$C$20)="","",TRIM('Preenchimento'!$C$20))</f>
        <v>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O15" s="25"/>
    </row>
    <row r="16" spans="1:15" ht="14" customHeight="1">
      <c r="A16" s="22" t="s">
        <v>198</v>
      </c>
      <c r="B16" s="23">
        <f>IF(C16="","","•")</f>
        <v>0</v>
      </c>
      <c r="C16" s="24">
        <f>IF(TRIM('Preenchimento'!$C$21)="","",TRIM('Preenchimento'!$C$21))</f>
        <v>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O16" s="25"/>
    </row>
    <row r="17" spans="1:15" ht="14" customHeight="1">
      <c r="A17" s="22" t="s">
        <v>198</v>
      </c>
      <c r="B17" s="23">
        <f>IF(C17="","","•")</f>
        <v>0</v>
      </c>
      <c r="C17" s="24">
        <f>IF(TRIM('Preenchimento'!$C$22)="","",TRIM('Preenchimento'!$C$22))</f>
        <v>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O17" s="25"/>
    </row>
    <row r="18" spans="1:15" ht="14" customHeight="1">
      <c r="A18" s="22" t="s">
        <v>198</v>
      </c>
      <c r="B18" s="23">
        <f>IF(C18="","","•")</f>
        <v>0</v>
      </c>
      <c r="C18" s="24">
        <f>IF(TRIM('Preenchimento'!$C$23)="","",TRIM('Preenchimento'!$C$23))</f>
        <v>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5" ht="14" customHeight="1">
      <c r="A19" s="22" t="s">
        <v>198</v>
      </c>
      <c r="B19" s="23">
        <f>IF(C19="","","•")</f>
        <v>0</v>
      </c>
      <c r="C19" s="24">
        <f>IF(TRIM('Preenchimento'!$C$24)="","",TRIM('Preenchimento'!$C$24))</f>
        <v>0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5" ht="14" customHeight="1">
      <c r="A20" s="22" t="s">
        <v>198</v>
      </c>
      <c r="B20" s="23">
        <f>IF(C20="","","•")</f>
        <v>0</v>
      </c>
      <c r="C20" s="24">
        <f>IF(TRIM('Preenchimento'!$C$25)="","",TRIM('Preenchimento'!$C$25))</f>
        <v>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5" ht="14" customHeight="1">
      <c r="A21" s="22" t="s">
        <v>198</v>
      </c>
      <c r="B21" s="23">
        <f>IF(C21="","","•")</f>
        <v>0</v>
      </c>
      <c r="C21" s="24">
        <f>IF(TRIM('Preenchimento'!$C$26)="","",TRIM('Preenchimento'!$C$26))</f>
        <v>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5" ht="14" customHeight="1">
      <c r="A22" s="22" t="s">
        <v>198</v>
      </c>
      <c r="B22" s="23"/>
      <c r="C22" s="26">
        <f>IF(COUNTA('Preenchimento'!$C$15:$C$26)=0,"— nada registrado","")</f>
        <v>0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5" ht="16" customHeight="1">
      <c r="B23" s="21" t="s">
        <v>199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1:15" ht="14" customHeight="1">
      <c r="A24" s="22" t="s">
        <v>198</v>
      </c>
      <c r="B24" s="23">
        <f>IF(C24="","","•")</f>
        <v>0</v>
      </c>
      <c r="C24" s="24">
        <f>IF(TRIM('Preenchimento'!$C$29)="","",TRIM('Preenchimento'!$C$29))</f>
        <v>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5" ht="14" customHeight="1">
      <c r="A25" s="22" t="s">
        <v>198</v>
      </c>
      <c r="B25" s="23">
        <f>IF(C25="","","•")</f>
        <v>0</v>
      </c>
      <c r="C25" s="24">
        <f>IF(TRIM('Preenchimento'!$C$30)="","",TRIM('Preenchimento'!$C$30))</f>
        <v>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5" ht="14" customHeight="1">
      <c r="A26" s="22" t="s">
        <v>198</v>
      </c>
      <c r="B26" s="23">
        <f>IF(C26="","","•")</f>
        <v>0</v>
      </c>
      <c r="C26" s="24">
        <f>IF(TRIM('Preenchimento'!$C$31)="","",TRIM('Preenchimento'!$C$31))</f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5" ht="14" customHeight="1">
      <c r="A27" s="22" t="s">
        <v>198</v>
      </c>
      <c r="B27" s="23">
        <f>IF(C27="","","•")</f>
        <v>0</v>
      </c>
      <c r="C27" s="24">
        <f>IF(TRIM('Preenchimento'!$C$32)="","",TRIM('Preenchimento'!$C$32))</f>
        <v>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5" ht="14" customHeight="1">
      <c r="A28" s="22" t="s">
        <v>198</v>
      </c>
      <c r="B28" s="23"/>
      <c r="C28" s="26">
        <f>IF(COUNTA('Preenchimento'!$C$29:$C$32)=0,"— nada registrado","")</f>
        <v>0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5" ht="16" customHeight="1">
      <c r="B29" s="21" t="s">
        <v>200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</row>
    <row r="30" spans="1:15" ht="14" customHeight="1">
      <c r="A30" s="22" t="s">
        <v>198</v>
      </c>
      <c r="B30" s="23">
        <f>IF(C30="","","•")</f>
        <v>0</v>
      </c>
      <c r="C30" s="24">
        <f>IF(TRIM('Preenchimento'!$C$35)="","",TRIM('Preenchimento'!$C$35))</f>
        <v>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5" ht="14" customHeight="1">
      <c r="A31" s="22" t="s">
        <v>198</v>
      </c>
      <c r="B31" s="23">
        <f>IF(C31="","","•")</f>
        <v>0</v>
      </c>
      <c r="C31" s="24">
        <f>IF(TRIM('Preenchimento'!$C$36)="","",TRIM('Preenchimento'!$C$36))</f>
        <v>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5" ht="14" customHeight="1">
      <c r="A32" s="22" t="s">
        <v>198</v>
      </c>
      <c r="B32" s="23">
        <f>IF(C32="","","•")</f>
        <v>0</v>
      </c>
      <c r="C32" s="24">
        <f>IF(TRIM('Preenchimento'!$C$37)="","",TRIM('Preenchimento'!$C$37))</f>
        <v>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4" customHeight="1">
      <c r="A33" s="22" t="s">
        <v>198</v>
      </c>
      <c r="B33" s="23">
        <f>IF(C33="","","•")</f>
        <v>0</v>
      </c>
      <c r="C33" s="24">
        <f>IF(TRIM('Preenchimento'!$C$38)="","",TRIM('Preenchimento'!$C$38))</f>
        <v>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4" customHeight="1">
      <c r="A34" s="22" t="s">
        <v>198</v>
      </c>
      <c r="B34" s="23"/>
      <c r="C34" s="26">
        <f>IF(COUNTA('Preenchimento'!$C$35:$C$38)=0,"— nada registrado","")</f>
        <v>0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16" customHeight="1">
      <c r="B35" s="21" t="s">
        <v>201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</row>
    <row r="36" spans="1:13" ht="14" customHeight="1">
      <c r="A36" s="22" t="s">
        <v>198</v>
      </c>
      <c r="B36" s="23">
        <f>IF(C36="","","•")</f>
        <v>0</v>
      </c>
      <c r="C36" s="24">
        <f>IF(TRIM('Preenchimento'!$C$41)="","",TRIM('Preenchimento'!$C$41))</f>
        <v>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4" customHeight="1">
      <c r="A37" s="22" t="s">
        <v>198</v>
      </c>
      <c r="B37" s="23">
        <f>IF(C37="","","•")</f>
        <v>0</v>
      </c>
      <c r="C37" s="24">
        <f>IF(TRIM('Preenchimento'!$C$42)="","",TRIM('Preenchimento'!$C$42))</f>
        <v>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4" customHeight="1">
      <c r="A38" s="22" t="s">
        <v>198</v>
      </c>
      <c r="B38" s="23">
        <f>IF(C38="","","•")</f>
        <v>0</v>
      </c>
      <c r="C38" s="24">
        <f>IF(TRIM('Preenchimento'!$C$43)="","",TRIM('Preenchimento'!$C$43))</f>
        <v>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4" customHeight="1">
      <c r="A39" s="22" t="s">
        <v>198</v>
      </c>
      <c r="B39" s="23">
        <f>IF(C39="","","•")</f>
        <v>0</v>
      </c>
      <c r="C39" s="24">
        <f>IF(TRIM('Preenchimento'!$C$44)="","",TRIM('Preenchimento'!$C$44))</f>
        <v>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4" customHeight="1">
      <c r="A40" s="22" t="s">
        <v>198</v>
      </c>
      <c r="B40" s="23">
        <f>IF(C40="","","•")</f>
        <v>0</v>
      </c>
      <c r="C40" s="24">
        <f>IF(TRIM('Preenchimento'!$C$45)="","",TRIM('Preenchimento'!$C$45))</f>
        <v>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4" customHeight="1">
      <c r="A41" s="22" t="s">
        <v>198</v>
      </c>
      <c r="B41" s="23">
        <f>IF(C41="","","•")</f>
        <v>0</v>
      </c>
      <c r="C41" s="24">
        <f>IF(TRIM('Preenchimento'!$C$46)="","",TRIM('Preenchimento'!$C$46))</f>
        <v>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4" customHeight="1">
      <c r="A42" s="22" t="s">
        <v>198</v>
      </c>
      <c r="B42" s="23">
        <f>IF(C42="","","•")</f>
        <v>0</v>
      </c>
      <c r="C42" s="24">
        <f>IF(TRIM('Preenchimento'!$C$47)="","",TRIM('Preenchimento'!$C$47))</f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4" customHeight="1">
      <c r="A43" s="22" t="s">
        <v>198</v>
      </c>
      <c r="B43" s="23">
        <f>IF(C43="","","•")</f>
        <v>0</v>
      </c>
      <c r="C43" s="24">
        <f>IF(TRIM('Preenchimento'!$C$48)="","",TRIM('Preenchimento'!$C$48))</f>
        <v>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</row>
    <row r="44" spans="1:13" ht="14" customHeight="1">
      <c r="A44" s="22" t="s">
        <v>198</v>
      </c>
      <c r="B44" s="23"/>
      <c r="C44" s="26">
        <f>IF(COUNTA('Preenchimento'!$C$41:$C$48)=0,"— nada registrado","")</f>
        <v>0</v>
      </c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30" customHeight="1">
      <c r="B45" s="27" t="s">
        <v>202</v>
      </c>
      <c r="C45" s="28">
        <f>IF(dProg="","","Em uso: "&amp;dProg&amp;CHAR(10))&amp;"Padrões preparados: "&amp;IF(dPadroes="","-",dPadroes)&amp;IF(dPadroesQuais="",""," ("&amp;dPadroesQuais&amp;")")&amp;"   ·   "&amp;"Sistema de ar: "&amp;IF(dAr="","-",dAr)&amp;IF(dArStatus="",""," - "&amp;dArStatus)&amp;IF(dCompressor="","","   ·   "&amp;"Compressor: "&amp;dCompressor)&amp;IF(dNitrogenio="","","   ·   "&amp;"Nitrogênio: "&amp;dNitrogenio)</f>
        <v>0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</row>
    <row r="46" spans="1:13" ht="16" customHeight="1">
      <c r="B46" s="27" t="s">
        <v>203</v>
      </c>
      <c r="C46" s="28">
        <f>"Ausência: "&amp;IF(dAus="","-",dAus)&amp;IF(dAusQuem="",""," ("&amp;dAusQuem&amp;")")&amp;"   ·   "&amp;"Troca combinada: "&amp;IF(dTroca="","-",dTroca)&amp;IF(dTrocaQuem="",""," ("&amp;dTrocaQuem&amp;")")&amp;"   ·   "&amp;"Hora extra: "&amp;IF(dHE="","-",dHE)&amp;IF(dHEQuem="",""," ("&amp;dHEQuem&amp;")")&amp;IF(dRecebe="","","   ·   "&amp;"Letra que recebe: "&amp;dRecebe)</f>
        <v>0</v>
      </c>
      <c r="D46" s="28"/>
      <c r="E46" s="28"/>
      <c r="F46" s="28"/>
      <c r="G46" s="28"/>
      <c r="H46" s="28"/>
      <c r="I46" s="28"/>
      <c r="J46" s="28"/>
      <c r="K46" s="28"/>
      <c r="L46" s="28"/>
      <c r="M46" s="28"/>
    </row>
    <row r="47" spans="1:13" ht="16" customHeight="1">
      <c r="B47" s="27" t="s">
        <v>204</v>
      </c>
      <c r="C47" s="28">
        <f>"Repassados: "&amp;IF(dCadinhos="","-",dCadinhos)&amp;"   ·   "&amp;"Retirados para reforma: "&amp;IF(dReforma="","-",dReforma)</f>
        <v>0</v>
      </c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40" customHeight="1">
      <c r="B48" s="27" t="s">
        <v>187</v>
      </c>
      <c r="C48" s="28">
        <f>IF(dH2Carvao&amp;dH2Coque&amp;dCoque04&amp;dObs="","-",TRIM(IF(dH2Carvao="","","Hidrogênio no carvão: "&amp;dH2Carvao&amp;"     ")&amp;IF(dH2Coque="","","Hidrogênio no coque: "&amp;dH2Coque&amp;"     ")&amp;IF(dCoque04="","","Coque Planta 04: "&amp;dCoque04))&amp;IF(AND(dH2Carvao&amp;dH2Coque&amp;dCoque04&lt;&gt;"",dObs&lt;&gt;""),CHAR(10),"")&amp;dObs)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8" ht="8" customHeight="1"/>
    <row r="50" spans="1:18" ht="22" customHeight="1">
      <c r="B50" s="14" t="s">
        <v>205</v>
      </c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</row>
    <row r="51" spans="1:18">
      <c r="B51" s="29" t="s">
        <v>206</v>
      </c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8" ht="18" customHeight="1">
      <c r="B52" s="30">
        <f>"Produto US3: "&amp;IF(dProdUS3="","— não selecionado",dProdUS3)&amp;"     ·     Produto US4: "&amp;IF(dProdUS4="","— não selecionado",dProdUS4)</f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</row>
    <row r="53" spans="1:18" ht="26" customHeight="1">
      <c r="B53" s="31" t="s">
        <v>207</v>
      </c>
      <c r="C53" s="31" t="s">
        <v>208</v>
      </c>
      <c r="D53" s="31" t="s">
        <v>209</v>
      </c>
      <c r="E53" s="31" t="s">
        <v>210</v>
      </c>
      <c r="F53" s="31" t="s">
        <v>211</v>
      </c>
      <c r="G53" s="31" t="s">
        <v>212</v>
      </c>
      <c r="H53" s="31" t="s">
        <v>213</v>
      </c>
      <c r="I53" s="31" t="s">
        <v>214</v>
      </c>
      <c r="J53" s="31" t="s">
        <v>215</v>
      </c>
      <c r="K53" s="31" t="s">
        <v>216</v>
      </c>
      <c r="L53" s="31" t="s">
        <v>217</v>
      </c>
      <c r="M53" s="31" t="s">
        <v>218</v>
      </c>
    </row>
    <row r="54" spans="1:18">
      <c r="A54" s="22" t="s">
        <v>219</v>
      </c>
      <c r="B54" s="32" t="s">
        <v>33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</row>
    <row r="55" spans="1:18" ht="14" customHeight="1">
      <c r="A55" s="22" t="s">
        <v>220</v>
      </c>
      <c r="B55" s="33" t="s">
        <v>34</v>
      </c>
      <c r="C55" s="34" t="s">
        <v>35</v>
      </c>
      <c r="D55" s="35" t="s">
        <v>221</v>
      </c>
      <c r="E55" s="36"/>
      <c r="F55" s="36"/>
      <c r="G55" s="36"/>
      <c r="H55" s="36"/>
      <c r="I55" s="36"/>
      <c r="J55" s="36"/>
      <c r="K55" s="37">
        <f>IF(COUNT(E55:J55)=0,"",AVERAGE(E55:J55))</f>
        <v>0</v>
      </c>
      <c r="L55" s="38">
        <f>IF(COUNT(E55:J55)=0,"",MIN(E55:J55))</f>
        <v>0</v>
      </c>
      <c r="M55" s="38">
        <f>IF(COUNT(E55:J55)=0,"",MAX(E55:J55))</f>
        <v>0</v>
      </c>
    </row>
    <row r="56" spans="1:18" ht="14" customHeight="1">
      <c r="A56" s="22" t="s">
        <v>222</v>
      </c>
      <c r="B56" s="39" t="s">
        <v>38</v>
      </c>
      <c r="C56" s="40" t="s">
        <v>35</v>
      </c>
      <c r="D56" s="41" t="s">
        <v>221</v>
      </c>
      <c r="E56" s="42"/>
      <c r="F56" s="42"/>
      <c r="G56" s="42"/>
      <c r="H56" s="42"/>
      <c r="I56" s="42"/>
      <c r="J56" s="42"/>
      <c r="K56" s="37">
        <f>IF(COUNT(E56:J56)=0,"",AVERAGE(E56:J56))</f>
        <v>0</v>
      </c>
      <c r="L56" s="43">
        <f>IF(COUNT(E56:J56)=0,"",MIN(E56:J56))</f>
        <v>0</v>
      </c>
      <c r="M56" s="43">
        <f>IF(COUNT(E56:J56)=0,"",MAX(E56:J56))</f>
        <v>0</v>
      </c>
      <c r="Q56">
        <f>IFERROR(IF(INDEX('Limites'!$N:$N,MATCH(IF(dProdUS3="",dProdUS4,dProdUS3),'Limites'!$B:$B,0))="","",INDEX('Limites'!$N:$N,MATCH(IF(dProdUS3="",dProdUS4,dProdUS3),'Limites'!$B:$B,0))),"")</f>
        <v>0</v>
      </c>
      <c r="R56">
        <f>IFERROR(IF(INDEX('Limites'!$O:$O,MATCH(IF(dProdUS3="",dProdUS4,dProdUS3),'Limites'!$B:$B,0))="","",INDEX('Limites'!$O:$O,MATCH(IF(dProdUS3="",dProdUS4,dProdUS3),'Limites'!$B:$B,0))),"")</f>
        <v>0</v>
      </c>
    </row>
    <row r="57" spans="1:18" ht="14" customHeight="1">
      <c r="A57" s="22" t="s">
        <v>223</v>
      </c>
      <c r="B57" s="33" t="s">
        <v>40</v>
      </c>
      <c r="C57" s="34" t="s">
        <v>35</v>
      </c>
      <c r="D57" s="35" t="s">
        <v>221</v>
      </c>
      <c r="E57" s="36"/>
      <c r="F57" s="36"/>
      <c r="G57" s="36"/>
      <c r="H57" s="36"/>
      <c r="I57" s="36"/>
      <c r="J57" s="36"/>
      <c r="K57" s="37">
        <f>IF(COUNT(E57:J57)=0,"",AVERAGE(E57:J57))</f>
        <v>0</v>
      </c>
      <c r="L57" s="38">
        <f>IF(COUNT(E57:J57)=0,"",MIN(E57:J57))</f>
        <v>0</v>
      </c>
      <c r="M57" s="38">
        <f>IF(COUNT(E57:J57)=0,"",MAX(E57:J57))</f>
        <v>0</v>
      </c>
    </row>
    <row r="58" spans="1:18" ht="14" customHeight="1">
      <c r="A58" s="22" t="s">
        <v>224</v>
      </c>
      <c r="B58" s="39" t="s">
        <v>41</v>
      </c>
      <c r="C58" s="40" t="s">
        <v>35</v>
      </c>
      <c r="D58" s="41" t="s">
        <v>221</v>
      </c>
      <c r="E58" s="42"/>
      <c r="F58" s="42"/>
      <c r="G58" s="42"/>
      <c r="H58" s="42"/>
      <c r="I58" s="42"/>
      <c r="J58" s="42"/>
      <c r="K58" s="37">
        <f>IF(COUNT(E58:J58)=0,"",AVERAGE(E58:J58))</f>
        <v>0</v>
      </c>
      <c r="L58" s="43">
        <f>IF(COUNT(E58:J58)=0,"",MIN(E58:J58))</f>
        <v>0</v>
      </c>
      <c r="M58" s="43">
        <f>IF(COUNT(E58:J58)=0,"",MAX(E58:J58))</f>
        <v>0</v>
      </c>
    </row>
    <row r="59" spans="1:18" ht="14" customHeight="1">
      <c r="A59" s="22" t="s">
        <v>225</v>
      </c>
      <c r="B59" s="33" t="s">
        <v>43</v>
      </c>
      <c r="C59" s="34" t="s">
        <v>35</v>
      </c>
      <c r="D59" s="35" t="s">
        <v>221</v>
      </c>
      <c r="E59" s="36"/>
      <c r="F59" s="36"/>
      <c r="G59" s="36"/>
      <c r="H59" s="36"/>
      <c r="I59" s="36"/>
      <c r="J59" s="36"/>
      <c r="K59" s="37">
        <f>IF(COUNT(E59:J59)=0,"",AVERAGE(E59:J59))</f>
        <v>0</v>
      </c>
      <c r="L59" s="38">
        <f>IF(COUNT(E59:J59)=0,"",MIN(E59:J59))</f>
        <v>0</v>
      </c>
      <c r="M59" s="38">
        <f>IF(COUNT(E59:J59)=0,"",MAX(E59:J59))</f>
        <v>0</v>
      </c>
    </row>
    <row r="60" spans="1:18" ht="14" customHeight="1">
      <c r="A60" s="22" t="s">
        <v>226</v>
      </c>
      <c r="B60" s="39" t="s">
        <v>44</v>
      </c>
      <c r="C60" s="40" t="s">
        <v>35</v>
      </c>
      <c r="D60" s="41" t="s">
        <v>221</v>
      </c>
      <c r="E60" s="44"/>
      <c r="F60" s="44"/>
      <c r="G60" s="44"/>
      <c r="H60" s="44"/>
      <c r="I60" s="44"/>
      <c r="J60" s="44"/>
      <c r="K60" s="45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  <c r="Q60">
        <f>IFERROR(IF(INDEX('Limites'!$P:$P,MATCH(IF(dProdUS3="",dProdUS4,dProdUS3),'Limites'!$B:$B,0))="","",INDEX('Limites'!$P:$P,MATCH(IF(dProdUS3="",dProdUS4,dProdUS3),'Limites'!$B:$B,0))),"")</f>
        <v>0</v>
      </c>
      <c r="R60">
        <f>IFERROR(IF(INDEX('Limites'!$Q:$Q,MATCH(IF(dProdUS3="",dProdUS4,dProdUS3),'Limites'!$B:$B,0))="","",INDEX('Limites'!$Q:$Q,MATCH(IF(dProdUS3="",dProdUS4,dProdUS3),'Limites'!$B:$B,0))),"")</f>
        <v>0</v>
      </c>
    </row>
    <row r="61" spans="1:18" ht="14" customHeight="1">
      <c r="A61" s="22" t="s">
        <v>227</v>
      </c>
      <c r="B61" s="33" t="s">
        <v>45</v>
      </c>
      <c r="C61" s="34" t="s">
        <v>35</v>
      </c>
      <c r="D61" s="35" t="s">
        <v>221</v>
      </c>
      <c r="E61" s="47"/>
      <c r="F61" s="47"/>
      <c r="G61" s="47"/>
      <c r="H61" s="47"/>
      <c r="I61" s="47"/>
      <c r="J61" s="47"/>
      <c r="K61" s="45">
        <f>IF(COUNT(E61:J61)=0,"",AVERAGE(E61:J61))</f>
        <v>0</v>
      </c>
      <c r="L61" s="48">
        <f>IF(COUNT(E61:J61)=0,"",MIN(E61:J61))</f>
        <v>0</v>
      </c>
      <c r="M61" s="48">
        <f>IF(COUNT(E61:J61)=0,"",MAX(E61:J61))</f>
        <v>0</v>
      </c>
    </row>
    <row r="62" spans="1:18" ht="14" customHeight="1">
      <c r="A62" s="22" t="s">
        <v>228</v>
      </c>
      <c r="B62" s="39" t="s">
        <v>46</v>
      </c>
      <c r="C62" s="40" t="s">
        <v>35</v>
      </c>
      <c r="D62" s="41" t="s">
        <v>221</v>
      </c>
      <c r="E62" s="44"/>
      <c r="F62" s="44"/>
      <c r="G62" s="44"/>
      <c r="H62" s="44"/>
      <c r="I62" s="44"/>
      <c r="J62" s="44"/>
      <c r="K62" s="45">
        <f>IF(COUNT(E62:J62)=0,"",AVERAGE(E62:J62))</f>
        <v>0</v>
      </c>
      <c r="L62" s="46">
        <f>IF(COUNT(E62:J62)=0,"",MIN(E62:J62))</f>
        <v>0</v>
      </c>
      <c r="M62" s="46">
        <f>IF(COUNT(E62:J62)=0,"",MAX(E62:J62))</f>
        <v>0</v>
      </c>
    </row>
    <row r="63" spans="1:18" ht="14" customHeight="1">
      <c r="A63" s="22" t="s">
        <v>229</v>
      </c>
      <c r="B63" s="33" t="s">
        <v>47</v>
      </c>
      <c r="C63" s="34" t="s">
        <v>35</v>
      </c>
      <c r="D63" s="35" t="s">
        <v>221</v>
      </c>
      <c r="E63" s="36"/>
      <c r="F63" s="36"/>
      <c r="G63" s="36"/>
      <c r="H63" s="36"/>
      <c r="I63" s="36"/>
      <c r="J63" s="36"/>
      <c r="K63" s="37">
        <f>IF(COUNT(E63:J63)=0,"",AVERAGE(E63:J63))</f>
        <v>0</v>
      </c>
      <c r="L63" s="38">
        <f>IF(COUNT(E63:J63)=0,"",MIN(E63:J63))</f>
        <v>0</v>
      </c>
      <c r="M63" s="38">
        <f>IF(COUNT(E63:J63)=0,"",MAX(E63:J63))</f>
        <v>0</v>
      </c>
      <c r="Q63">
        <f>IFERROR(IF(INDEX('Limites'!$R:$R,MATCH(IF(dProdUS3="",dProdUS4,dProdUS3),'Limites'!$B:$B,0))="","",INDEX('Limites'!$R:$R,MATCH(IF(dProdUS3="",dProdUS4,dProdUS3),'Limites'!$B:$B,0))),"")</f>
        <v>0</v>
      </c>
      <c r="R63">
        <f>IFERROR(IF(INDEX('Limites'!$S:$S,MATCH(IF(dProdUS3="",dProdUS4,dProdUS3),'Limites'!$B:$B,0))="","",INDEX('Limites'!$S:$S,MATCH(IF(dProdUS3="",dProdUS4,dProdUS3),'Limites'!$B:$B,0))),"")</f>
        <v>0</v>
      </c>
    </row>
    <row r="64" spans="1:18" ht="14" customHeight="1">
      <c r="A64" s="22" t="s">
        <v>230</v>
      </c>
      <c r="B64" s="39" t="s">
        <v>49</v>
      </c>
      <c r="C64" s="40" t="s">
        <v>50</v>
      </c>
      <c r="D64" s="41" t="s">
        <v>221</v>
      </c>
      <c r="E64" s="42"/>
      <c r="F64" s="42"/>
      <c r="G64" s="42"/>
      <c r="H64" s="42"/>
      <c r="I64" s="42"/>
      <c r="J64" s="42"/>
      <c r="K64" s="37">
        <f>IF(COUNT(E64:J64)=0,"",AVERAGE(E64:J64))</f>
        <v>0</v>
      </c>
      <c r="L64" s="43">
        <f>IF(COUNT(E64:J64)=0,"",MIN(E64:J64))</f>
        <v>0</v>
      </c>
      <c r="M64" s="43">
        <f>IF(COUNT(E64:J64)=0,"",MAX(E64:J64))</f>
        <v>0</v>
      </c>
    </row>
    <row r="65" spans="1:18">
      <c r="A65" s="22" t="s">
        <v>231</v>
      </c>
      <c r="B65" s="32" t="s">
        <v>51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</row>
    <row r="66" spans="1:18" ht="14" customHeight="1">
      <c r="A66" s="22" t="s">
        <v>232</v>
      </c>
      <c r="B66" s="33" t="s">
        <v>34</v>
      </c>
      <c r="C66" s="34" t="s">
        <v>35</v>
      </c>
      <c r="D66" s="35" t="s">
        <v>233</v>
      </c>
      <c r="E66" s="36"/>
      <c r="F66" s="36"/>
      <c r="G66" s="36"/>
      <c r="H66" s="36"/>
      <c r="I66" s="36"/>
      <c r="J66" s="36"/>
      <c r="K66" s="37">
        <f>IF(COUNT(E66:J66)=0,"",AVERAGE(E66:J66))</f>
        <v>0</v>
      </c>
      <c r="L66" s="38">
        <f>IF(COUNT(E66:J66)=0,"",MIN(E66:J66))</f>
        <v>0</v>
      </c>
      <c r="M66" s="38">
        <f>IF(COUNT(E66:J66)=0,"",MAX(E66:J66))</f>
        <v>0</v>
      </c>
      <c r="Q66">
        <f>IFERROR(IF(INDEX('Limites'!$D:$D,MATCH(dProdUS3,'Limites'!$B:$B,0))="","",INDEX('Limites'!$D:$D,MATCH(dProdUS3,'Limites'!$B:$B,0))),"")</f>
        <v>0</v>
      </c>
      <c r="R66">
        <f>IFERROR(IF(INDEX('Limites'!$E:$E,MATCH(dProdUS3,'Limites'!$B:$B,0))="","",INDEX('Limites'!$E:$E,MATCH(dProdUS3,'Limites'!$B:$B,0))),"")</f>
        <v>0</v>
      </c>
    </row>
    <row r="67" spans="1:18" ht="14" customHeight="1">
      <c r="A67" s="22" t="s">
        <v>234</v>
      </c>
      <c r="B67" s="33"/>
      <c r="C67" s="34"/>
      <c r="D67" s="49" t="s">
        <v>235</v>
      </c>
      <c r="E67" s="36"/>
      <c r="F67" s="36"/>
      <c r="G67" s="36"/>
      <c r="H67" s="36"/>
      <c r="I67" s="36"/>
      <c r="J67" s="36"/>
      <c r="K67" s="37">
        <f>IF(COUNT(E67:J67)=0,"",AVERAGE(E67:J67))</f>
        <v>0</v>
      </c>
      <c r="L67" s="38">
        <f>IF(COUNT(E67:J67)=0,"",MIN(E67:J67))</f>
        <v>0</v>
      </c>
      <c r="M67" s="38">
        <f>IF(COUNT(E67:J67)=0,"",MAX(E67:J67))</f>
        <v>0</v>
      </c>
      <c r="Q67">
        <f>IFERROR(IF(INDEX('Limites'!$D:$D,MATCH(dProdUS4,'Limites'!$B:$B,0))="","",INDEX('Limites'!$D:$D,MATCH(dProdUS4,'Limites'!$B:$B,0))),"")</f>
        <v>0</v>
      </c>
      <c r="R67">
        <f>IFERROR(IF(INDEX('Limites'!$E:$E,MATCH(dProdUS4,'Limites'!$B:$B,0))="","",INDEX('Limites'!$E:$E,MATCH(dProdUS4,'Limites'!$B:$B,0))),"")</f>
        <v>0</v>
      </c>
    </row>
    <row r="68" spans="1:18" ht="14" customHeight="1">
      <c r="A68" s="22" t="s">
        <v>236</v>
      </c>
      <c r="B68" s="39" t="s">
        <v>38</v>
      </c>
      <c r="C68" s="40" t="s">
        <v>35</v>
      </c>
      <c r="D68" s="41" t="s">
        <v>233</v>
      </c>
      <c r="E68" s="42"/>
      <c r="F68" s="42"/>
      <c r="G68" s="42"/>
      <c r="H68" s="42"/>
      <c r="I68" s="42"/>
      <c r="J68" s="42"/>
      <c r="K68" s="37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  <c r="Q68">
        <f>IFERROR(IF(INDEX('Limites'!$F:$F,MATCH(dProdUS3,'Limites'!$B:$B,0))="","",INDEX('Limites'!$F:$F,MATCH(dProdUS3,'Limites'!$B:$B,0))),"")</f>
        <v>0</v>
      </c>
      <c r="R68">
        <f>IFERROR(IF(INDEX('Limites'!$G:$G,MATCH(dProdUS3,'Limites'!$B:$B,0))="","",INDEX('Limites'!$G:$G,MATCH(dProdUS3,'Limites'!$B:$B,0))),"")</f>
        <v>0</v>
      </c>
    </row>
    <row r="69" spans="1:18" ht="14" customHeight="1">
      <c r="A69" s="22" t="s">
        <v>237</v>
      </c>
      <c r="B69" s="39"/>
      <c r="C69" s="40"/>
      <c r="D69" s="50" t="s">
        <v>235</v>
      </c>
      <c r="E69" s="42"/>
      <c r="F69" s="42"/>
      <c r="G69" s="42"/>
      <c r="H69" s="42"/>
      <c r="I69" s="42"/>
      <c r="J69" s="42"/>
      <c r="K69" s="37">
        <f>IF(COUNT(E69:J69)=0,"",AVERAGE(E69:J69))</f>
        <v>0</v>
      </c>
      <c r="L69" s="43">
        <f>IF(COUNT(E69:J69)=0,"",MIN(E69:J69))</f>
        <v>0</v>
      </c>
      <c r="M69" s="43">
        <f>IF(COUNT(E69:J69)=0,"",MAX(E69:J69))</f>
        <v>0</v>
      </c>
      <c r="Q69">
        <f>IFERROR(IF(INDEX('Limites'!$F:$F,MATCH(dProdUS4,'Limites'!$B:$B,0))="","",INDEX('Limites'!$F:$F,MATCH(dProdUS4,'Limites'!$B:$B,0))),"")</f>
        <v>0</v>
      </c>
      <c r="R69">
        <f>IFERROR(IF(INDEX('Limites'!$G:$G,MATCH(dProdUS4,'Limites'!$B:$B,0))="","",INDEX('Limites'!$G:$G,MATCH(dProdUS4,'Limites'!$B:$B,0))),"")</f>
        <v>0</v>
      </c>
    </row>
    <row r="70" spans="1:18" ht="14" customHeight="1">
      <c r="A70" s="22" t="s">
        <v>238</v>
      </c>
      <c r="B70" s="33" t="s">
        <v>40</v>
      </c>
      <c r="C70" s="34" t="s">
        <v>35</v>
      </c>
      <c r="D70" s="35" t="s">
        <v>233</v>
      </c>
      <c r="E70" s="36"/>
      <c r="F70" s="36"/>
      <c r="G70" s="36"/>
      <c r="H70" s="36"/>
      <c r="I70" s="36"/>
      <c r="J70" s="36"/>
      <c r="K70" s="37">
        <f>IF(COUNT(E70:J70)=0,"",AVERAGE(E70:J70))</f>
        <v>0</v>
      </c>
      <c r="L70" s="38">
        <f>IF(COUNT(E70:J70)=0,"",MIN(E70:J70))</f>
        <v>0</v>
      </c>
      <c r="M70" s="38">
        <f>IF(COUNT(E70:J70)=0,"",MAX(E70:J70))</f>
        <v>0</v>
      </c>
    </row>
    <row r="71" spans="1:18" ht="14" customHeight="1">
      <c r="A71" s="22" t="s">
        <v>239</v>
      </c>
      <c r="B71" s="33"/>
      <c r="C71" s="34"/>
      <c r="D71" s="49" t="s">
        <v>235</v>
      </c>
      <c r="E71" s="36"/>
      <c r="F71" s="36"/>
      <c r="G71" s="36"/>
      <c r="H71" s="36"/>
      <c r="I71" s="36"/>
      <c r="J71" s="36"/>
      <c r="K71" s="37">
        <f>IF(COUNT(E71:J71)=0,"",AVERAGE(E71:J71))</f>
        <v>0</v>
      </c>
      <c r="L71" s="38">
        <f>IF(COUNT(E71:J71)=0,"",MIN(E71:J71))</f>
        <v>0</v>
      </c>
      <c r="M71" s="38">
        <f>IF(COUNT(E71:J71)=0,"",MAX(E71:J71))</f>
        <v>0</v>
      </c>
    </row>
    <row r="72" spans="1:18" ht="14" customHeight="1">
      <c r="A72" s="22" t="s">
        <v>240</v>
      </c>
      <c r="B72" s="39" t="s">
        <v>41</v>
      </c>
      <c r="C72" s="40" t="s">
        <v>35</v>
      </c>
      <c r="D72" s="41" t="s">
        <v>233</v>
      </c>
      <c r="E72" s="42"/>
      <c r="F72" s="42"/>
      <c r="G72" s="42"/>
      <c r="H72" s="42"/>
      <c r="I72" s="42"/>
      <c r="J72" s="42"/>
      <c r="K72" s="37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IFERROR(IF(INDEX('Limites'!$J:$J,MATCH(dProdUS3,'Limites'!$B:$B,0))="","",INDEX('Limites'!$J:$J,MATCH(dProdUS3,'Limites'!$B:$B,0))),"")</f>
        <v>0</v>
      </c>
      <c r="R72">
        <f>IFERROR(IF(INDEX('Limites'!$K:$K,MATCH(dProdUS3,'Limites'!$B:$B,0))="","",INDEX('Limites'!$K:$K,MATCH(dProdUS3,'Limites'!$B:$B,0))),"")</f>
        <v>0</v>
      </c>
    </row>
    <row r="73" spans="1:18" ht="14" customHeight="1">
      <c r="A73" s="22" t="s">
        <v>241</v>
      </c>
      <c r="B73" s="39"/>
      <c r="C73" s="40"/>
      <c r="D73" s="50" t="s">
        <v>235</v>
      </c>
      <c r="E73" s="42"/>
      <c r="F73" s="42"/>
      <c r="G73" s="42"/>
      <c r="H73" s="42"/>
      <c r="I73" s="42"/>
      <c r="J73" s="42"/>
      <c r="K73" s="37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IFERROR(IF(INDEX('Limites'!$J:$J,MATCH(dProdUS4,'Limites'!$B:$B,0))="","",INDEX('Limites'!$J:$J,MATCH(dProdUS4,'Limites'!$B:$B,0))),"")</f>
        <v>0</v>
      </c>
      <c r="R73">
        <f>IFERROR(IF(INDEX('Limites'!$K:$K,MATCH(dProdUS4,'Limites'!$B:$B,0))="","",INDEX('Limites'!$K:$K,MATCH(dProdUS4,'Limites'!$B:$B,0))),"")</f>
        <v>0</v>
      </c>
    </row>
    <row r="74" spans="1:18" ht="14" customHeight="1">
      <c r="A74" s="22" t="s">
        <v>242</v>
      </c>
      <c r="B74" s="33" t="s">
        <v>43</v>
      </c>
      <c r="C74" s="34" t="s">
        <v>35</v>
      </c>
      <c r="D74" s="35" t="s">
        <v>233</v>
      </c>
      <c r="E74" s="36"/>
      <c r="F74" s="36"/>
      <c r="G74" s="36"/>
      <c r="H74" s="36"/>
      <c r="I74" s="36"/>
      <c r="J74" s="36"/>
      <c r="K74" s="37">
        <f>IF(COUNT(E74:J74)=0,"",AVERAGE(E74:J74))</f>
        <v>0</v>
      </c>
      <c r="L74" s="38">
        <f>IF(COUNT(E74:J74)=0,"",MIN(E74:J74))</f>
        <v>0</v>
      </c>
      <c r="M74" s="38">
        <f>IF(COUNT(E74:J74)=0,"",MAX(E74:J74))</f>
        <v>0</v>
      </c>
    </row>
    <row r="75" spans="1:18" ht="14" customHeight="1">
      <c r="A75" s="22" t="s">
        <v>243</v>
      </c>
      <c r="B75" s="33"/>
      <c r="C75" s="34"/>
      <c r="D75" s="49" t="s">
        <v>235</v>
      </c>
      <c r="E75" s="36"/>
      <c r="F75" s="36"/>
      <c r="G75" s="36"/>
      <c r="H75" s="36"/>
      <c r="I75" s="36"/>
      <c r="J75" s="36"/>
      <c r="K75" s="37">
        <f>IF(COUNT(E75:J75)=0,"",AVERAGE(E75:J75))</f>
        <v>0</v>
      </c>
      <c r="L75" s="38">
        <f>IF(COUNT(E75:J75)=0,"",MIN(E75:J75))</f>
        <v>0</v>
      </c>
      <c r="M75" s="38">
        <f>IF(COUNT(E75:J75)=0,"",MAX(E75:J75))</f>
        <v>0</v>
      </c>
    </row>
    <row r="76" spans="1:18" ht="14" customHeight="1">
      <c r="A76" s="22" t="s">
        <v>244</v>
      </c>
      <c r="B76" s="39" t="s">
        <v>56</v>
      </c>
      <c r="C76" s="40" t="s">
        <v>50</v>
      </c>
      <c r="D76" s="41" t="s">
        <v>233</v>
      </c>
      <c r="E76" s="42"/>
      <c r="F76" s="42"/>
      <c r="G76" s="42"/>
      <c r="H76" s="42"/>
      <c r="I76" s="42"/>
      <c r="J76" s="42"/>
      <c r="K76" s="37">
        <f>IF(COUNT(E76:J76)=0,"",AVERAGE(E76:J76))</f>
        <v>0</v>
      </c>
      <c r="L76" s="43">
        <f>IF(COUNT(E76:J76)=0,"",MIN(E76:J76))</f>
        <v>0</v>
      </c>
      <c r="M76" s="43">
        <f>IF(COUNT(E76:J76)=0,"",MAX(E76:J76))</f>
        <v>0</v>
      </c>
      <c r="Q76">
        <f>IFERROR(IF(INDEX('Limites'!$L:$L,MATCH(dProdUS3,'Limites'!$B:$B,0))="","",INDEX('Limites'!$L:$L,MATCH(dProdUS3,'Limites'!$B:$B,0))),"")</f>
        <v>0</v>
      </c>
      <c r="R76">
        <f>IFERROR(IF(INDEX('Limites'!$M:$M,MATCH(dProdUS3,'Limites'!$B:$B,0))="","",INDEX('Limites'!$M:$M,MATCH(dProdUS3,'Limites'!$B:$B,0))),"")</f>
        <v>0</v>
      </c>
    </row>
    <row r="77" spans="1:18" ht="14" customHeight="1">
      <c r="A77" s="22" t="s">
        <v>245</v>
      </c>
      <c r="B77" s="39"/>
      <c r="C77" s="40"/>
      <c r="D77" s="50" t="s">
        <v>235</v>
      </c>
      <c r="E77" s="42"/>
      <c r="F77" s="42"/>
      <c r="G77" s="42"/>
      <c r="H77" s="42"/>
      <c r="I77" s="42"/>
      <c r="J77" s="42"/>
      <c r="K77" s="37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  <c r="Q77">
        <f>IFERROR(IF(INDEX('Limites'!$L:$L,MATCH(dProdUS4,'Limites'!$B:$B,0))="","",INDEX('Limites'!$L:$L,MATCH(dProdUS4,'Limites'!$B:$B,0))),"")</f>
        <v>0</v>
      </c>
      <c r="R77">
        <f>IFERROR(IF(INDEX('Limites'!$M:$M,MATCH(dProdUS4,'Limites'!$B:$B,0))="","",INDEX('Limites'!$M:$M,MATCH(dProdUS4,'Limites'!$B:$B,0))),"")</f>
        <v>0</v>
      </c>
    </row>
    <row r="78" spans="1:18" ht="14" customHeight="1">
      <c r="A78" s="22" t="s">
        <v>246</v>
      </c>
      <c r="B78" s="33" t="s">
        <v>59</v>
      </c>
      <c r="C78" s="34" t="s">
        <v>60</v>
      </c>
      <c r="D78" s="35" t="s">
        <v>233</v>
      </c>
      <c r="E78" s="51"/>
      <c r="F78" s="51"/>
      <c r="G78" s="51"/>
      <c r="H78" s="51"/>
      <c r="I78" s="51"/>
      <c r="J78" s="51"/>
      <c r="K78" s="52">
        <f>IF(COUNT(E78:J78)=0,"",AVERAGE(E78:J78))</f>
        <v>0</v>
      </c>
      <c r="L78" s="53">
        <f>IF(COUNT(E78:J78)=0,"",MIN(E78:J78))</f>
        <v>0</v>
      </c>
      <c r="M78" s="53">
        <f>IF(COUNT(E78:J78)=0,"",MAX(E78:J78))</f>
        <v>0</v>
      </c>
    </row>
    <row r="79" spans="1:18" ht="14" customHeight="1">
      <c r="A79" s="22" t="s">
        <v>247</v>
      </c>
      <c r="B79" s="33"/>
      <c r="C79" s="34"/>
      <c r="D79" s="49" t="s">
        <v>235</v>
      </c>
      <c r="E79" s="51"/>
      <c r="F79" s="51"/>
      <c r="G79" s="51"/>
      <c r="H79" s="51"/>
      <c r="I79" s="51"/>
      <c r="J79" s="51"/>
      <c r="K79" s="52">
        <f>IF(COUNT(E79:J79)=0,"",AVERAGE(E79:J79))</f>
        <v>0</v>
      </c>
      <c r="L79" s="53">
        <f>IF(COUNT(E79:J79)=0,"",MIN(E79:J79))</f>
        <v>0</v>
      </c>
      <c r="M79" s="53">
        <f>IF(COUNT(E79:J79)=0,"",MAX(E79:J79))</f>
        <v>0</v>
      </c>
    </row>
    <row r="80" spans="1:18" ht="14" customHeight="1">
      <c r="A80" s="22" t="s">
        <v>248</v>
      </c>
      <c r="B80" s="39" t="s">
        <v>63</v>
      </c>
      <c r="C80" s="40" t="s">
        <v>35</v>
      </c>
      <c r="D80" s="41" t="s">
        <v>233</v>
      </c>
      <c r="E80" s="42"/>
      <c r="F80" s="42"/>
      <c r="G80" s="42"/>
      <c r="H80" s="42"/>
      <c r="I80" s="42"/>
      <c r="J80" s="42"/>
      <c r="K80" s="37">
        <f>IF(COUNT(E80:J80)=0,"",AVERAGE(E80:J80))</f>
        <v>0</v>
      </c>
      <c r="L80" s="43">
        <f>IF(COUNT(E80:J80)=0,"",MIN(E80:J80))</f>
        <v>0</v>
      </c>
      <c r="M80" s="43">
        <f>IF(COUNT(E80:J80)=0,"",MAX(E80:J80))</f>
        <v>0</v>
      </c>
    </row>
    <row r="81" spans="1:18" ht="14" customHeight="1">
      <c r="A81" s="22" t="s">
        <v>249</v>
      </c>
      <c r="B81" s="39"/>
      <c r="C81" s="40"/>
      <c r="D81" s="50" t="s">
        <v>235</v>
      </c>
      <c r="E81" s="42"/>
      <c r="F81" s="42"/>
      <c r="G81" s="42"/>
      <c r="H81" s="42"/>
      <c r="I81" s="42"/>
      <c r="J81" s="42"/>
      <c r="K81" s="37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4" customHeight="1">
      <c r="A82" s="22" t="s">
        <v>250</v>
      </c>
      <c r="B82" s="33" t="s">
        <v>44</v>
      </c>
      <c r="C82" s="34" t="s">
        <v>35</v>
      </c>
      <c r="D82" s="35" t="s">
        <v>233</v>
      </c>
      <c r="E82" s="47"/>
      <c r="F82" s="47"/>
      <c r="G82" s="47"/>
      <c r="H82" s="47"/>
      <c r="I82" s="47"/>
      <c r="J82" s="47"/>
      <c r="K82" s="45">
        <f>IF(COUNT(E82:J82)=0,"",AVERAGE(E82:J82))</f>
        <v>0</v>
      </c>
      <c r="L82" s="48">
        <f>IF(COUNT(E82:J82)=0,"",MIN(E82:J82))</f>
        <v>0</v>
      </c>
      <c r="M82" s="48">
        <f>IF(COUNT(E82:J82)=0,"",MAX(E82:J82))</f>
        <v>0</v>
      </c>
      <c r="Q82">
        <f>IFERROR(IF(INDEX('Limites'!$H:$H,MATCH(dProdUS3,'Limites'!$B:$B,0))="","",INDEX('Limites'!$H:$H,MATCH(dProdUS3,'Limites'!$B:$B,0))),"")</f>
        <v>0</v>
      </c>
      <c r="R82">
        <f>IFERROR(IF(INDEX('Limites'!$I:$I,MATCH(dProdUS3,'Limites'!$B:$B,0))="","",INDEX('Limites'!$I:$I,MATCH(dProdUS3,'Limites'!$B:$B,0))),"")</f>
        <v>0</v>
      </c>
    </row>
    <row r="83" spans="1:18" ht="14" customHeight="1">
      <c r="A83" s="22" t="s">
        <v>251</v>
      </c>
      <c r="B83" s="33"/>
      <c r="C83" s="34"/>
      <c r="D83" s="49" t="s">
        <v>235</v>
      </c>
      <c r="E83" s="47"/>
      <c r="F83" s="47"/>
      <c r="G83" s="47"/>
      <c r="H83" s="47"/>
      <c r="I83" s="47"/>
      <c r="J83" s="47"/>
      <c r="K83" s="45">
        <f>IF(COUNT(E83:J83)=0,"",AVERAGE(E83:J83))</f>
        <v>0</v>
      </c>
      <c r="L83" s="48">
        <f>IF(COUNT(E83:J83)=0,"",MIN(E83:J83))</f>
        <v>0</v>
      </c>
      <c r="M83" s="48">
        <f>IF(COUNT(E83:J83)=0,"",MAX(E83:J83))</f>
        <v>0</v>
      </c>
      <c r="Q83">
        <f>IFERROR(IF(INDEX('Limites'!$H:$H,MATCH(dProdUS4,'Limites'!$B:$B,0))="","",INDEX('Limites'!$H:$H,MATCH(dProdUS4,'Limites'!$B:$B,0))),"")</f>
        <v>0</v>
      </c>
      <c r="R83">
        <f>IFERROR(IF(INDEX('Limites'!$I:$I,MATCH(dProdUS4,'Limites'!$B:$B,0))="","",INDEX('Limites'!$I:$I,MATCH(dProdUS4,'Limites'!$B:$B,0))),"")</f>
        <v>0</v>
      </c>
    </row>
    <row r="84" spans="1:18" ht="14" customHeight="1">
      <c r="A84" s="22" t="s">
        <v>252</v>
      </c>
      <c r="B84" s="39" t="s">
        <v>45</v>
      </c>
      <c r="C84" s="40" t="s">
        <v>35</v>
      </c>
      <c r="D84" s="41" t="s">
        <v>233</v>
      </c>
      <c r="E84" s="44"/>
      <c r="F84" s="44"/>
      <c r="G84" s="44"/>
      <c r="H84" s="44"/>
      <c r="I84" s="44"/>
      <c r="J84" s="44"/>
      <c r="K84" s="45">
        <f>IF(COUNT(E84:J84)=0,"",AVERAGE(E84:J84))</f>
        <v>0</v>
      </c>
      <c r="L84" s="46">
        <f>IF(COUNT(E84:J84)=0,"",MIN(E84:J84))</f>
        <v>0</v>
      </c>
      <c r="M84" s="46">
        <f>IF(COUNT(E84:J84)=0,"",MAX(E84:J84))</f>
        <v>0</v>
      </c>
    </row>
    <row r="85" spans="1:18" ht="14" customHeight="1">
      <c r="A85" s="22" t="s">
        <v>253</v>
      </c>
      <c r="B85" s="39"/>
      <c r="C85" s="40"/>
      <c r="D85" s="50" t="s">
        <v>235</v>
      </c>
      <c r="E85" s="44"/>
      <c r="F85" s="44"/>
      <c r="G85" s="44"/>
      <c r="H85" s="44"/>
      <c r="I85" s="44"/>
      <c r="J85" s="44"/>
      <c r="K85" s="45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8" ht="14" customHeight="1">
      <c r="A86" s="22" t="s">
        <v>254</v>
      </c>
      <c r="B86" s="33" t="s">
        <v>46</v>
      </c>
      <c r="C86" s="34" t="s">
        <v>35</v>
      </c>
      <c r="D86" s="35" t="s">
        <v>233</v>
      </c>
      <c r="E86" s="47"/>
      <c r="F86" s="47"/>
      <c r="G86" s="47"/>
      <c r="H86" s="47"/>
      <c r="I86" s="47"/>
      <c r="J86" s="47"/>
      <c r="K86" s="45">
        <f>IF(COUNT(E86:J86)=0,"",AVERAGE(E86:J86))</f>
        <v>0</v>
      </c>
      <c r="L86" s="48">
        <f>IF(COUNT(E86:J86)=0,"",MIN(E86:J86))</f>
        <v>0</v>
      </c>
      <c r="M86" s="48">
        <f>IF(COUNT(E86:J86)=0,"",MAX(E86:J86))</f>
        <v>0</v>
      </c>
    </row>
    <row r="87" spans="1:18" ht="14" customHeight="1">
      <c r="A87" s="22" t="s">
        <v>255</v>
      </c>
      <c r="B87" s="33"/>
      <c r="C87" s="34"/>
      <c r="D87" s="49" t="s">
        <v>235</v>
      </c>
      <c r="E87" s="47"/>
      <c r="F87" s="47"/>
      <c r="G87" s="47"/>
      <c r="H87" s="47"/>
      <c r="I87" s="47"/>
      <c r="J87" s="47"/>
      <c r="K87" s="45">
        <f>IF(COUNT(E87:J87)=0,"",AVERAGE(E87:J87))</f>
        <v>0</v>
      </c>
      <c r="L87" s="48">
        <f>IF(COUNT(E87:J87)=0,"",MIN(E87:J87))</f>
        <v>0</v>
      </c>
      <c r="M87" s="48">
        <f>IF(COUNT(E87:J87)=0,"",MAX(E87:J87))</f>
        <v>0</v>
      </c>
    </row>
    <row r="88" spans="1:18" ht="26" customHeight="1">
      <c r="B88" s="54" t="s">
        <v>256</v>
      </c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</row>
  </sheetData>
  <sheetProtection sheet="1" objects="1" scenarios="1" formatColumns="0" formatRows="0"/>
  <mergeCells count="73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2:M52"/>
    <mergeCell ref="B54:M54"/>
    <mergeCell ref="B65:M65"/>
    <mergeCell ref="B66:B67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4:B85"/>
    <mergeCell ref="C84:C85"/>
    <mergeCell ref="B86:B87"/>
    <mergeCell ref="C86:C87"/>
    <mergeCell ref="B88:M88"/>
    <mergeCell ref="O12:O17"/>
  </mergeCells>
  <conditionalFormatting sqref="E56:K56">
    <cfRule type="expression" dxfId="1" priority="1">
      <formula>AND(ISNUMBER(E56),OR(AND(ISNUMBER($Q56),ROUND(E56,2)&lt;$Q56),AND(ISNUMBER($R56),ROUND(E56,2)&gt;$R56)))</formula>
    </cfRule>
    <cfRule type="expression" dxfId="2" priority="2">
      <formula>AND(ISNUMBER(E56),OR(ISNUMBER($Q56),ISNUMBER($R56)),NOT(OR(AND(ISNUMBER($Q56),ROUND(E56,2)&lt;$Q56),AND(ISNUMBER($R56),ROUND(E56,2)&gt;$R56))))</formula>
    </cfRule>
  </conditionalFormatting>
  <conditionalFormatting sqref="E60:K60">
    <cfRule type="expression" dxfId="1" priority="3">
      <formula>AND(ISNUMBER(E60),OR(AND(ISNUMBER($Q60),ROUND(E60,3)&lt;$Q60),AND(ISNUMBER($R60),ROUND(E60,3)&gt;$R60)))</formula>
    </cfRule>
    <cfRule type="expression" dxfId="2" priority="4">
      <formula>AND(ISNUMBER(E60),OR(ISNUMBER($Q60),ISNUMBER($R60)),NOT(OR(AND(ISNUMBER($Q60),ROUND(E60,3)&lt;$Q60),AND(ISNUMBER($R60),ROUND(E60,3)&gt;$R60))))</formula>
    </cfRule>
  </conditionalFormatting>
  <conditionalFormatting sqref="E63:K63">
    <cfRule type="expression" dxfId="1" priority="5">
      <formula>AND(ISNUMBER(E63),OR(AND(ISNUMBER($Q63),ROUND(E63,2)&lt;$Q63),AND(ISNUMBER($R63),ROUND(E63,2)&gt;$R63)))</formula>
    </cfRule>
    <cfRule type="expression" dxfId="2" priority="6">
      <formula>AND(ISNUMBER(E63),OR(ISNUMBER($Q63),ISNUMBER($R63)),NOT(OR(AND(ISNUMBER($Q63),ROUND(E63,2)&lt;$Q63),AND(ISNUMBER($R63),ROUND(E63,2)&gt;$R63))))</formula>
    </cfRule>
  </conditionalFormatting>
  <conditionalFormatting sqref="E66:K66">
    <cfRule type="expression" dxfId="1" priority="7">
      <formula>AND(ISNUMBER(E66),OR(AND(ISNUMBER($Q66),ROUND(E66,2)&lt;$Q66),AND(ISNUMBER($R66),ROUND(E66,2)&gt;$R66)))</formula>
    </cfRule>
    <cfRule type="expression" dxfId="2" priority="8">
      <formula>AND(ISNUMBER(E66),OR(ISNUMBER($Q66),ISNUMBER($R66)),NOT(OR(AND(ISNUMBER($Q66),ROUND(E66,2)&lt;$Q66),AND(ISNUMBER($R66),ROUND(E66,2)&gt;$R66))))</formula>
    </cfRule>
  </conditionalFormatting>
  <conditionalFormatting sqref="E67:K67">
    <cfRule type="expression" dxfId="1" priority="9">
      <formula>AND(ISNUMBER(E67),OR(AND(ISNUMBER($Q67),ROUND(E67,2)&lt;$Q67),AND(ISNUMBER($R67),ROUND(E67,2)&gt;$R67)))</formula>
    </cfRule>
    <cfRule type="expression" dxfId="2" priority="10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11">
      <formula>AND(ISNUMBER(E68),OR(AND(ISNUMBER($Q68),ROUND(E68,2)&lt;$Q68),AND(ISNUMBER($R68),ROUND(E68,2)&gt;$R68)))</formula>
    </cfRule>
    <cfRule type="expression" dxfId="2" priority="12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13">
      <formula>AND(ISNUMBER(E69),OR(AND(ISNUMBER($Q69),ROUND(E69,2)&lt;$Q69),AND(ISNUMBER($R69),ROUND(E69,2)&gt;$R69)))</formula>
    </cfRule>
    <cfRule type="expression" dxfId="2" priority="14">
      <formula>AND(ISNUMBER(E69),OR(ISNUMBER($Q69),ISNUMBER($R69)),NOT(OR(AND(ISNUMBER($Q69),ROUND(E69,2)&lt;$Q69),AND(ISNUMBER($R69),ROUND(E69,2)&gt;$R69))))</formula>
    </cfRule>
  </conditionalFormatting>
  <conditionalFormatting sqref="E72:K72">
    <cfRule type="expression" dxfId="1" priority="15">
      <formula>AND(ISNUMBER(E72),OR(AND(ISNUMBER($Q72),ROUND(E72,2)&lt;$Q72),AND(ISNUMBER($R72),ROUND(E72,2)&gt;$R72)))</formula>
    </cfRule>
    <cfRule type="expression" dxfId="2" priority="16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7">
      <formula>AND(ISNUMBER(E73),OR(AND(ISNUMBER($Q73),ROUND(E73,2)&lt;$Q73),AND(ISNUMBER($R73),ROUND(E73,2)&gt;$R73)))</formula>
    </cfRule>
    <cfRule type="expression" dxfId="2" priority="18">
      <formula>AND(ISNUMBER(E73),OR(ISNUMBER($Q73),ISNUMBER($R73)),NOT(OR(AND(ISNUMBER($Q73),ROUND(E73,2)&lt;$Q73),AND(ISNUMBER($R73),ROUND(E73,2)&gt;$R73))))</formula>
    </cfRule>
  </conditionalFormatting>
  <conditionalFormatting sqref="E76:K76">
    <cfRule type="expression" dxfId="1" priority="19">
      <formula>AND(ISNUMBER(E76),OR(AND(ISNUMBER($Q76),ROUND(E76,2)&lt;$Q76),AND(ISNUMBER($R76),ROUND(E76,2)&gt;$R76)))</formula>
    </cfRule>
    <cfRule type="expression" dxfId="2" priority="20">
      <formula>AND(ISNUMBER(E76),OR(ISNUMBER($Q76),ISNUMBER($R76)),NOT(OR(AND(ISNUMBER($Q76),ROUND(E76,2)&lt;$Q76),AND(ISNUMBER($R76),ROUND(E76,2)&gt;$R76))))</formula>
    </cfRule>
  </conditionalFormatting>
  <conditionalFormatting sqref="E77:K77">
    <cfRule type="expression" dxfId="1" priority="21">
      <formula>AND(ISNUMBER(E77),OR(AND(ISNUMBER($Q77),ROUND(E77,2)&lt;$Q77),AND(ISNUMBER($R77),ROUND(E77,2)&gt;$R77)))</formula>
    </cfRule>
    <cfRule type="expression" dxfId="2" priority="22">
      <formula>AND(ISNUMBER(E77),OR(ISNUMBER($Q77),ISNUMBER($R77)),NOT(OR(AND(ISNUMBER($Q77),ROUND(E77,2)&lt;$Q77),AND(ISNUMBER($R77),ROUND(E77,2)&gt;$R77))))</formula>
    </cfRule>
  </conditionalFormatting>
  <conditionalFormatting sqref="E82:K82">
    <cfRule type="expression" dxfId="1" priority="23">
      <formula>AND(ISNUMBER(E82),OR(AND(ISNUMBER($Q82),ROUND(E82,3)&lt;$Q82),AND(ISNUMBER($R82),ROUND(E82,3)&gt;$R82)))</formula>
    </cfRule>
    <cfRule type="expression" dxfId="2" priority="24">
      <formula>AND(ISNUMBER(E82),OR(ISNUMBER($Q82),ISNUMBER($R82)),NOT(OR(AND(ISNUMBER($Q82),ROUND(E82,3)&lt;$Q82),AND(ISNUMBER($R82),ROUND(E82,3)&gt;$R82))))</formula>
    </cfRule>
  </conditionalFormatting>
  <conditionalFormatting sqref="E83:K83">
    <cfRule type="expression" dxfId="1" priority="25">
      <formula>AND(ISNUMBER(E83),OR(AND(ISNUMBER($Q83),ROUND(E83,3)&lt;$Q83),AND(ISNUMBER($R83),ROUND(E83,3)&gt;$R83)))</formula>
    </cfRule>
    <cfRule type="expression" dxfId="2" priority="26">
      <formula>AND(ISNUMBER(E83),OR(ISNUMBER($Q83),ISNUMBER($R83)),NOT(OR(AND(ISNUMBER($Q83),ROUND(E83,3)&lt;$Q83),AND(ISNUMBER($R83),ROUND(E83,3)&gt;$R83))))</formula>
    </cfRule>
  </conditionalFormatting>
  <hyperlinks>
    <hyperlink ref="O10" location="'Preenchimento'!B10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88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  <col min="17" max="18" width="8.7109375" hidden="1" customWidth="1"/>
  </cols>
  <sheetData>
    <row r="1" spans="1:15" ht="6" customHeight="1"/>
    <row r="2" spans="1:15" ht="26" customHeight="1">
      <c r="B2" s="1"/>
      <c r="C2" s="1"/>
      <c r="D2" s="2" t="s">
        <v>194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20">
        <f>IF(pData="","Preencha a DATA na aba Preenchimento",TEXT(DAY(pData),"00")&amp;"/"&amp;TEXT(MONTH(pData),"00")&amp;"/"&amp;YEAR(pData))&amp;"   ·   Turno Noite"&amp;IF(nLetra="","","   ·   Letra "&amp;nLetra)&amp;IF(nTecnico="","","   ·   Técnico: "&amp;nTecnico)</f>
        <v>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1:15" ht="6" customHeight="1"/>
    <row r="8" spans="1:15" ht="22" customHeight="1">
      <c r="B8" s="14" t="s">
        <v>196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1:15" ht="16" customHeight="1">
      <c r="B9" s="21" t="s">
        <v>197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5" ht="14" customHeight="1">
      <c r="A10" s="22" t="s">
        <v>198</v>
      </c>
      <c r="B10" s="23">
        <f>IF(C10="","","•")</f>
        <v>0</v>
      </c>
      <c r="C10" s="24">
        <f>IF(TRIM('Preenchimento'!$C$78)="","",TRIM('Preenchimento'!$C$78))</f>
        <v>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0" t="s">
        <v>257</v>
      </c>
    </row>
    <row r="11" spans="1:15" ht="14" customHeight="1">
      <c r="A11" s="22" t="s">
        <v>198</v>
      </c>
      <c r="B11" s="23">
        <f>IF(C11="","","•")</f>
        <v>0</v>
      </c>
      <c r="C11" s="24">
        <f>IF(TRIM('Preenchimento'!$C$79)="","",TRIM('Preenchimento'!$C$79))</f>
        <v>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5" ht="14" customHeight="1">
      <c r="A12" s="22" t="s">
        <v>198</v>
      </c>
      <c r="B12" s="23">
        <f>IF(C12="","","•")</f>
        <v>0</v>
      </c>
      <c r="C12" s="24">
        <f>IF(TRIM('Preenchimento'!$C$80)="","",TRIM('Preenchimento'!$C$80))</f>
        <v>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O12" s="25" t="s">
        <v>266</v>
      </c>
    </row>
    <row r="13" spans="1:15" ht="14" customHeight="1">
      <c r="A13" s="22" t="s">
        <v>198</v>
      </c>
      <c r="B13" s="23">
        <f>IF(C13="","","•")</f>
        <v>0</v>
      </c>
      <c r="C13" s="24">
        <f>IF(TRIM('Preenchimento'!$C$81)="","",TRIM('Preenchimento'!$C$81))</f>
        <v>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O13" s="25"/>
    </row>
    <row r="14" spans="1:15" ht="14" customHeight="1">
      <c r="A14" s="22" t="s">
        <v>198</v>
      </c>
      <c r="B14" s="23">
        <f>IF(C14="","","•")</f>
        <v>0</v>
      </c>
      <c r="C14" s="24">
        <f>IF(TRIM('Preenchimento'!$C$82)="","",TRIM('Preenchimento'!$C$82))</f>
        <v>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O14" s="25"/>
    </row>
    <row r="15" spans="1:15" ht="14" customHeight="1">
      <c r="A15" s="22" t="s">
        <v>198</v>
      </c>
      <c r="B15" s="23">
        <f>IF(C15="","","•")</f>
        <v>0</v>
      </c>
      <c r="C15" s="24">
        <f>IF(TRIM('Preenchimento'!$C$83)="","",TRIM('Preenchimento'!$C$83))</f>
        <v>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O15" s="25"/>
    </row>
    <row r="16" spans="1:15" ht="14" customHeight="1">
      <c r="A16" s="22" t="s">
        <v>198</v>
      </c>
      <c r="B16" s="23">
        <f>IF(C16="","","•")</f>
        <v>0</v>
      </c>
      <c r="C16" s="24">
        <f>IF(TRIM('Preenchimento'!$C$84)="","",TRIM('Preenchimento'!$C$84))</f>
        <v>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O16" s="25"/>
    </row>
    <row r="17" spans="1:15" ht="14" customHeight="1">
      <c r="A17" s="22" t="s">
        <v>198</v>
      </c>
      <c r="B17" s="23">
        <f>IF(C17="","","•")</f>
        <v>0</v>
      </c>
      <c r="C17" s="24">
        <f>IF(TRIM('Preenchimento'!$C$85)="","",TRIM('Preenchimento'!$C$85))</f>
        <v>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O17" s="25"/>
    </row>
    <row r="18" spans="1:15" ht="14" customHeight="1">
      <c r="A18" s="22" t="s">
        <v>198</v>
      </c>
      <c r="B18" s="23">
        <f>IF(C18="","","•")</f>
        <v>0</v>
      </c>
      <c r="C18" s="24">
        <f>IF(TRIM('Preenchimento'!$C$86)="","",TRIM('Preenchimento'!$C$86))</f>
        <v>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5" ht="14" customHeight="1">
      <c r="A19" s="22" t="s">
        <v>198</v>
      </c>
      <c r="B19" s="23">
        <f>IF(C19="","","•")</f>
        <v>0</v>
      </c>
      <c r="C19" s="24">
        <f>IF(TRIM('Preenchimento'!$C$87)="","",TRIM('Preenchimento'!$C$87))</f>
        <v>0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5" ht="14" customHeight="1">
      <c r="A20" s="22" t="s">
        <v>198</v>
      </c>
      <c r="B20" s="23">
        <f>IF(C20="","","•")</f>
        <v>0</v>
      </c>
      <c r="C20" s="24">
        <f>IF(TRIM('Preenchimento'!$C$88)="","",TRIM('Preenchimento'!$C$88))</f>
        <v>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5" ht="14" customHeight="1">
      <c r="A21" s="22" t="s">
        <v>198</v>
      </c>
      <c r="B21" s="23">
        <f>IF(C21="","","•")</f>
        <v>0</v>
      </c>
      <c r="C21" s="24">
        <f>IF(TRIM('Preenchimento'!$C$89)="","",TRIM('Preenchimento'!$C$89))</f>
        <v>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5" ht="14" customHeight="1">
      <c r="A22" s="22" t="s">
        <v>198</v>
      </c>
      <c r="B22" s="23"/>
      <c r="C22" s="26">
        <f>IF(COUNTA('Preenchimento'!$C$78:$C$89)=0,"— nada registrado","")</f>
        <v>0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5" ht="16" customHeight="1">
      <c r="B23" s="21" t="s">
        <v>199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1:15" ht="14" customHeight="1">
      <c r="A24" s="22" t="s">
        <v>198</v>
      </c>
      <c r="B24" s="23">
        <f>IF(C24="","","•")</f>
        <v>0</v>
      </c>
      <c r="C24" s="24">
        <f>IF(TRIM('Preenchimento'!$C$92)="","",TRIM('Preenchimento'!$C$92))</f>
        <v>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5" ht="14" customHeight="1">
      <c r="A25" s="22" t="s">
        <v>198</v>
      </c>
      <c r="B25" s="23">
        <f>IF(C25="","","•")</f>
        <v>0</v>
      </c>
      <c r="C25" s="24">
        <f>IF(TRIM('Preenchimento'!$C$93)="","",TRIM('Preenchimento'!$C$93))</f>
        <v>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5" ht="14" customHeight="1">
      <c r="A26" s="22" t="s">
        <v>198</v>
      </c>
      <c r="B26" s="23">
        <f>IF(C26="","","•")</f>
        <v>0</v>
      </c>
      <c r="C26" s="24">
        <f>IF(TRIM('Preenchimento'!$C$94)="","",TRIM('Preenchimento'!$C$94))</f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5" ht="14" customHeight="1">
      <c r="A27" s="22" t="s">
        <v>198</v>
      </c>
      <c r="B27" s="23">
        <f>IF(C27="","","•")</f>
        <v>0</v>
      </c>
      <c r="C27" s="24">
        <f>IF(TRIM('Preenchimento'!$C$95)="","",TRIM('Preenchimento'!$C$95))</f>
        <v>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5" ht="14" customHeight="1">
      <c r="A28" s="22" t="s">
        <v>198</v>
      </c>
      <c r="B28" s="23"/>
      <c r="C28" s="26">
        <f>IF(COUNTA('Preenchimento'!$C$92:$C$95)=0,"— nada registrado","")</f>
        <v>0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5" ht="16" customHeight="1">
      <c r="B29" s="21" t="s">
        <v>200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</row>
    <row r="30" spans="1:15" ht="14" customHeight="1">
      <c r="A30" s="22" t="s">
        <v>198</v>
      </c>
      <c r="B30" s="23">
        <f>IF(C30="","","•")</f>
        <v>0</v>
      </c>
      <c r="C30" s="24">
        <f>IF(TRIM('Preenchimento'!$C$98)="","",TRIM('Preenchimento'!$C$98))</f>
        <v>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5" ht="14" customHeight="1">
      <c r="A31" s="22" t="s">
        <v>198</v>
      </c>
      <c r="B31" s="23">
        <f>IF(C31="","","•")</f>
        <v>0</v>
      </c>
      <c r="C31" s="24">
        <f>IF(TRIM('Preenchimento'!$C$99)="","",TRIM('Preenchimento'!$C$99))</f>
        <v>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5" ht="14" customHeight="1">
      <c r="A32" s="22" t="s">
        <v>198</v>
      </c>
      <c r="B32" s="23">
        <f>IF(C32="","","•")</f>
        <v>0</v>
      </c>
      <c r="C32" s="24">
        <f>IF(TRIM('Preenchimento'!$C$100)="","",TRIM('Preenchimento'!$C$100))</f>
        <v>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4" customHeight="1">
      <c r="A33" s="22" t="s">
        <v>198</v>
      </c>
      <c r="B33" s="23">
        <f>IF(C33="","","•")</f>
        <v>0</v>
      </c>
      <c r="C33" s="24">
        <f>IF(TRIM('Preenchimento'!$C$101)="","",TRIM('Preenchimento'!$C$101))</f>
        <v>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4" customHeight="1">
      <c r="A34" s="22" t="s">
        <v>198</v>
      </c>
      <c r="B34" s="23"/>
      <c r="C34" s="26">
        <f>IF(COUNTA('Preenchimento'!$C$98:$C$101)=0,"— nada registrado","")</f>
        <v>0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16" customHeight="1">
      <c r="B35" s="21" t="s">
        <v>201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</row>
    <row r="36" spans="1:13" ht="14" customHeight="1">
      <c r="A36" s="22" t="s">
        <v>198</v>
      </c>
      <c r="B36" s="23">
        <f>IF(C36="","","•")</f>
        <v>0</v>
      </c>
      <c r="C36" s="24">
        <f>IF(TRIM('Preenchimento'!$C$104)="","",TRIM('Preenchimento'!$C$104))</f>
        <v>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4" customHeight="1">
      <c r="A37" s="22" t="s">
        <v>198</v>
      </c>
      <c r="B37" s="23">
        <f>IF(C37="","","•")</f>
        <v>0</v>
      </c>
      <c r="C37" s="24">
        <f>IF(TRIM('Preenchimento'!$C$105)="","",TRIM('Preenchimento'!$C$105))</f>
        <v>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4" customHeight="1">
      <c r="A38" s="22" t="s">
        <v>198</v>
      </c>
      <c r="B38" s="23">
        <f>IF(C38="","","•")</f>
        <v>0</v>
      </c>
      <c r="C38" s="24">
        <f>IF(TRIM('Preenchimento'!$C$106)="","",TRIM('Preenchimento'!$C$106))</f>
        <v>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4" customHeight="1">
      <c r="A39" s="22" t="s">
        <v>198</v>
      </c>
      <c r="B39" s="23">
        <f>IF(C39="","","•")</f>
        <v>0</v>
      </c>
      <c r="C39" s="24">
        <f>IF(TRIM('Preenchimento'!$C$107)="","",TRIM('Preenchimento'!$C$107))</f>
        <v>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4" customHeight="1">
      <c r="A40" s="22" t="s">
        <v>198</v>
      </c>
      <c r="B40" s="23">
        <f>IF(C40="","","•")</f>
        <v>0</v>
      </c>
      <c r="C40" s="24">
        <f>IF(TRIM('Preenchimento'!$C$108)="","",TRIM('Preenchimento'!$C$108))</f>
        <v>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4" customHeight="1">
      <c r="A41" s="22" t="s">
        <v>198</v>
      </c>
      <c r="B41" s="23">
        <f>IF(C41="","","•")</f>
        <v>0</v>
      </c>
      <c r="C41" s="24">
        <f>IF(TRIM('Preenchimento'!$C$109)="","",TRIM('Preenchimento'!$C$109))</f>
        <v>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4" customHeight="1">
      <c r="A42" s="22" t="s">
        <v>198</v>
      </c>
      <c r="B42" s="23">
        <f>IF(C42="","","•")</f>
        <v>0</v>
      </c>
      <c r="C42" s="24">
        <f>IF(TRIM('Preenchimento'!$C$110)="","",TRIM('Preenchimento'!$C$110))</f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4" customHeight="1">
      <c r="A43" s="22" t="s">
        <v>198</v>
      </c>
      <c r="B43" s="23">
        <f>IF(C43="","","•")</f>
        <v>0</v>
      </c>
      <c r="C43" s="24">
        <f>IF(TRIM('Preenchimento'!$C$111)="","",TRIM('Preenchimento'!$C$111))</f>
        <v>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</row>
    <row r="44" spans="1:13" ht="14" customHeight="1">
      <c r="A44" s="22" t="s">
        <v>198</v>
      </c>
      <c r="B44" s="23"/>
      <c r="C44" s="26">
        <f>IF(COUNTA('Preenchimento'!$C$104:$C$111)=0,"— nada registrado","")</f>
        <v>0</v>
      </c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30" customHeight="1">
      <c r="B45" s="27" t="s">
        <v>202</v>
      </c>
      <c r="C45" s="28">
        <f>IF(nProg="","","Em uso: "&amp;nProg&amp;CHAR(10))&amp;"Padrões preparados: "&amp;IF(nPadroes="","-",nPadroes)&amp;IF(nPadroesQuais="",""," ("&amp;nPadroesQuais&amp;")")&amp;"   ·   "&amp;"Sistema de ar: "&amp;IF(nAr="","-",nAr)&amp;IF(nArStatus="",""," - "&amp;nArStatus)&amp;IF(nCompressor="","","   ·   "&amp;"Compressor: "&amp;nCompressor)&amp;IF(nNitrogenio="","","   ·   "&amp;"Nitrogênio: "&amp;nNitrogenio)</f>
        <v>0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</row>
    <row r="46" spans="1:13" ht="16" customHeight="1">
      <c r="B46" s="27" t="s">
        <v>203</v>
      </c>
      <c r="C46" s="28">
        <f>"Ausência: "&amp;IF(nAus="","-",nAus)&amp;IF(nAusQuem="",""," ("&amp;nAusQuem&amp;")")&amp;"   ·   "&amp;"Troca combinada: "&amp;IF(nTroca="","-",nTroca)&amp;IF(nTrocaQuem="",""," ("&amp;nTrocaQuem&amp;")")&amp;"   ·   "&amp;"Hora extra: "&amp;IF(nHE="","-",nHE)&amp;IF(nHEQuem="",""," ("&amp;nHEQuem&amp;")")&amp;IF(nRecebe="","","   ·   "&amp;"Letra que recebe: "&amp;nRecebe)</f>
        <v>0</v>
      </c>
      <c r="D46" s="28"/>
      <c r="E46" s="28"/>
      <c r="F46" s="28"/>
      <c r="G46" s="28"/>
      <c r="H46" s="28"/>
      <c r="I46" s="28"/>
      <c r="J46" s="28"/>
      <c r="K46" s="28"/>
      <c r="L46" s="28"/>
      <c r="M46" s="28"/>
    </row>
    <row r="47" spans="1:13" ht="16" customHeight="1">
      <c r="B47" s="27" t="s">
        <v>204</v>
      </c>
      <c r="C47" s="28">
        <f>"Repassados: "&amp;IF(nCadinhos="","-",nCadinhos)&amp;"   ·   "&amp;"Retirados para reforma: "&amp;IF(nReforma="","-",nReforma)</f>
        <v>0</v>
      </c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40" customHeight="1">
      <c r="B48" s="27" t="s">
        <v>187</v>
      </c>
      <c r="C48" s="28">
        <f>IF(nH2Carvao&amp;nH2Coque&amp;nCoque04&amp;nObs="","-",TRIM(IF(nH2Carvao="","","Hidrogênio no carvão: "&amp;nH2Carvao&amp;"     ")&amp;IF(nH2Coque="","","Hidrogênio no coque: "&amp;nH2Coque&amp;"     ")&amp;IF(nCoque04="","","Coque Planta 04: "&amp;nCoque04))&amp;IF(AND(nH2Carvao&amp;nH2Coque&amp;nCoque04&lt;&gt;"",nObs&lt;&gt;""),CHAR(10),"")&amp;nObs)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8" ht="8" customHeight="1"/>
    <row r="50" spans="1:18" ht="22" customHeight="1">
      <c r="B50" s="14" t="s">
        <v>205</v>
      </c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</row>
    <row r="51" spans="1:18">
      <c r="B51" s="29" t="s">
        <v>206</v>
      </c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8" ht="18" customHeight="1">
      <c r="B52" s="30">
        <f>"Produto US3: "&amp;IF(nProdUS3="","— não selecionado",nProdUS3)&amp;"     ·     Produto US4: "&amp;IF(nProdUS4="","— não selecionado",nProdUS4)</f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</row>
    <row r="53" spans="1:18" ht="26" customHeight="1">
      <c r="B53" s="31" t="s">
        <v>207</v>
      </c>
      <c r="C53" s="31" t="s">
        <v>208</v>
      </c>
      <c r="D53" s="31" t="s">
        <v>209</v>
      </c>
      <c r="E53" s="31" t="s">
        <v>260</v>
      </c>
      <c r="F53" s="31" t="s">
        <v>261</v>
      </c>
      <c r="G53" s="31" t="s">
        <v>262</v>
      </c>
      <c r="H53" s="31" t="s">
        <v>263</v>
      </c>
      <c r="I53" s="31" t="s">
        <v>264</v>
      </c>
      <c r="J53" s="31" t="s">
        <v>265</v>
      </c>
      <c r="K53" s="31" t="s">
        <v>216</v>
      </c>
      <c r="L53" s="31" t="s">
        <v>217</v>
      </c>
      <c r="M53" s="31" t="s">
        <v>218</v>
      </c>
    </row>
    <row r="54" spans="1:18">
      <c r="A54" s="22" t="s">
        <v>219</v>
      </c>
      <c r="B54" s="32" t="s">
        <v>33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</row>
    <row r="55" spans="1:18" ht="14" customHeight="1">
      <c r="A55" s="22" t="s">
        <v>220</v>
      </c>
      <c r="B55" s="33" t="s">
        <v>34</v>
      </c>
      <c r="C55" s="34" t="s">
        <v>35</v>
      </c>
      <c r="D55" s="35" t="s">
        <v>221</v>
      </c>
      <c r="E55" s="36"/>
      <c r="F55" s="36"/>
      <c r="G55" s="36"/>
      <c r="H55" s="36"/>
      <c r="I55" s="36"/>
      <c r="J55" s="36"/>
      <c r="K55" s="37">
        <f>IF(COUNT(E55:J55)=0,"",AVERAGE(E55:J55))</f>
        <v>0</v>
      </c>
      <c r="L55" s="38">
        <f>IF(COUNT(E55:J55)=0,"",MIN(E55:J55))</f>
        <v>0</v>
      </c>
      <c r="M55" s="38">
        <f>IF(COUNT(E55:J55)=0,"",MAX(E55:J55))</f>
        <v>0</v>
      </c>
    </row>
    <row r="56" spans="1:18" ht="14" customHeight="1">
      <c r="A56" s="22" t="s">
        <v>222</v>
      </c>
      <c r="B56" s="39" t="s">
        <v>38</v>
      </c>
      <c r="C56" s="40" t="s">
        <v>35</v>
      </c>
      <c r="D56" s="41" t="s">
        <v>221</v>
      </c>
      <c r="E56" s="42"/>
      <c r="F56" s="42"/>
      <c r="G56" s="42"/>
      <c r="H56" s="42"/>
      <c r="I56" s="42"/>
      <c r="J56" s="42"/>
      <c r="K56" s="37">
        <f>IF(COUNT(E56:J56)=0,"",AVERAGE(E56:J56))</f>
        <v>0</v>
      </c>
      <c r="L56" s="43">
        <f>IF(COUNT(E56:J56)=0,"",MIN(E56:J56))</f>
        <v>0</v>
      </c>
      <c r="M56" s="43">
        <f>IF(COUNT(E56:J56)=0,"",MAX(E56:J56))</f>
        <v>0</v>
      </c>
      <c r="Q56">
        <f>IFERROR(IF(INDEX('Limites'!$N:$N,MATCH(IF(nProdUS3="",nProdUS4,nProdUS3),'Limites'!$B:$B,0))="","",INDEX('Limites'!$N:$N,MATCH(IF(nProdUS3="",nProdUS4,nProdUS3),'Limites'!$B:$B,0))),"")</f>
        <v>0</v>
      </c>
      <c r="R56">
        <f>IFERROR(IF(INDEX('Limites'!$O:$O,MATCH(IF(nProdUS3="",nProdUS4,nProdUS3),'Limites'!$B:$B,0))="","",INDEX('Limites'!$O:$O,MATCH(IF(nProdUS3="",nProdUS4,nProdUS3),'Limites'!$B:$B,0))),"")</f>
        <v>0</v>
      </c>
    </row>
    <row r="57" spans="1:18" ht="14" customHeight="1">
      <c r="A57" s="22" t="s">
        <v>223</v>
      </c>
      <c r="B57" s="33" t="s">
        <v>40</v>
      </c>
      <c r="C57" s="34" t="s">
        <v>35</v>
      </c>
      <c r="D57" s="35" t="s">
        <v>221</v>
      </c>
      <c r="E57" s="36"/>
      <c r="F57" s="36"/>
      <c r="G57" s="36"/>
      <c r="H57" s="36"/>
      <c r="I57" s="36"/>
      <c r="J57" s="36"/>
      <c r="K57" s="37">
        <f>IF(COUNT(E57:J57)=0,"",AVERAGE(E57:J57))</f>
        <v>0</v>
      </c>
      <c r="L57" s="38">
        <f>IF(COUNT(E57:J57)=0,"",MIN(E57:J57))</f>
        <v>0</v>
      </c>
      <c r="M57" s="38">
        <f>IF(COUNT(E57:J57)=0,"",MAX(E57:J57))</f>
        <v>0</v>
      </c>
    </row>
    <row r="58" spans="1:18" ht="14" customHeight="1">
      <c r="A58" s="22" t="s">
        <v>224</v>
      </c>
      <c r="B58" s="39" t="s">
        <v>41</v>
      </c>
      <c r="C58" s="40" t="s">
        <v>35</v>
      </c>
      <c r="D58" s="41" t="s">
        <v>221</v>
      </c>
      <c r="E58" s="42"/>
      <c r="F58" s="42"/>
      <c r="G58" s="42"/>
      <c r="H58" s="42"/>
      <c r="I58" s="42"/>
      <c r="J58" s="42"/>
      <c r="K58" s="37">
        <f>IF(COUNT(E58:J58)=0,"",AVERAGE(E58:J58))</f>
        <v>0</v>
      </c>
      <c r="L58" s="43">
        <f>IF(COUNT(E58:J58)=0,"",MIN(E58:J58))</f>
        <v>0</v>
      </c>
      <c r="M58" s="43">
        <f>IF(COUNT(E58:J58)=0,"",MAX(E58:J58))</f>
        <v>0</v>
      </c>
    </row>
    <row r="59" spans="1:18" ht="14" customHeight="1">
      <c r="A59" s="22" t="s">
        <v>225</v>
      </c>
      <c r="B59" s="33" t="s">
        <v>43</v>
      </c>
      <c r="C59" s="34" t="s">
        <v>35</v>
      </c>
      <c r="D59" s="35" t="s">
        <v>221</v>
      </c>
      <c r="E59" s="36"/>
      <c r="F59" s="36"/>
      <c r="G59" s="36"/>
      <c r="H59" s="36"/>
      <c r="I59" s="36"/>
      <c r="J59" s="36"/>
      <c r="K59" s="37">
        <f>IF(COUNT(E59:J59)=0,"",AVERAGE(E59:J59))</f>
        <v>0</v>
      </c>
      <c r="L59" s="38">
        <f>IF(COUNT(E59:J59)=0,"",MIN(E59:J59))</f>
        <v>0</v>
      </c>
      <c r="M59" s="38">
        <f>IF(COUNT(E59:J59)=0,"",MAX(E59:J59))</f>
        <v>0</v>
      </c>
    </row>
    <row r="60" spans="1:18" ht="14" customHeight="1">
      <c r="A60" s="22" t="s">
        <v>226</v>
      </c>
      <c r="B60" s="39" t="s">
        <v>44</v>
      </c>
      <c r="C60" s="40" t="s">
        <v>35</v>
      </c>
      <c r="D60" s="41" t="s">
        <v>221</v>
      </c>
      <c r="E60" s="44"/>
      <c r="F60" s="44"/>
      <c r="G60" s="44"/>
      <c r="H60" s="44"/>
      <c r="I60" s="44"/>
      <c r="J60" s="44"/>
      <c r="K60" s="45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  <c r="Q60">
        <f>IFERROR(IF(INDEX('Limites'!$P:$P,MATCH(IF(nProdUS3="",nProdUS4,nProdUS3),'Limites'!$B:$B,0))="","",INDEX('Limites'!$P:$P,MATCH(IF(nProdUS3="",nProdUS4,nProdUS3),'Limites'!$B:$B,0))),"")</f>
        <v>0</v>
      </c>
      <c r="R60">
        <f>IFERROR(IF(INDEX('Limites'!$Q:$Q,MATCH(IF(nProdUS3="",nProdUS4,nProdUS3),'Limites'!$B:$B,0))="","",INDEX('Limites'!$Q:$Q,MATCH(IF(nProdUS3="",nProdUS4,nProdUS3),'Limites'!$B:$B,0))),"")</f>
        <v>0</v>
      </c>
    </row>
    <row r="61" spans="1:18" ht="14" customHeight="1">
      <c r="A61" s="22" t="s">
        <v>227</v>
      </c>
      <c r="B61" s="33" t="s">
        <v>45</v>
      </c>
      <c r="C61" s="34" t="s">
        <v>35</v>
      </c>
      <c r="D61" s="35" t="s">
        <v>221</v>
      </c>
      <c r="E61" s="47"/>
      <c r="F61" s="47"/>
      <c r="G61" s="47"/>
      <c r="H61" s="47"/>
      <c r="I61" s="47"/>
      <c r="J61" s="47"/>
      <c r="K61" s="45">
        <f>IF(COUNT(E61:J61)=0,"",AVERAGE(E61:J61))</f>
        <v>0</v>
      </c>
      <c r="L61" s="48">
        <f>IF(COUNT(E61:J61)=0,"",MIN(E61:J61))</f>
        <v>0</v>
      </c>
      <c r="M61" s="48">
        <f>IF(COUNT(E61:J61)=0,"",MAX(E61:J61))</f>
        <v>0</v>
      </c>
    </row>
    <row r="62" spans="1:18" ht="14" customHeight="1">
      <c r="A62" s="22" t="s">
        <v>228</v>
      </c>
      <c r="B62" s="39" t="s">
        <v>46</v>
      </c>
      <c r="C62" s="40" t="s">
        <v>35</v>
      </c>
      <c r="D62" s="41" t="s">
        <v>221</v>
      </c>
      <c r="E62" s="44"/>
      <c r="F62" s="44"/>
      <c r="G62" s="44"/>
      <c r="H62" s="44"/>
      <c r="I62" s="44"/>
      <c r="J62" s="44"/>
      <c r="K62" s="45">
        <f>IF(COUNT(E62:J62)=0,"",AVERAGE(E62:J62))</f>
        <v>0</v>
      </c>
      <c r="L62" s="46">
        <f>IF(COUNT(E62:J62)=0,"",MIN(E62:J62))</f>
        <v>0</v>
      </c>
      <c r="M62" s="46">
        <f>IF(COUNT(E62:J62)=0,"",MAX(E62:J62))</f>
        <v>0</v>
      </c>
    </row>
    <row r="63" spans="1:18" ht="14" customHeight="1">
      <c r="A63" s="22" t="s">
        <v>229</v>
      </c>
      <c r="B63" s="33" t="s">
        <v>47</v>
      </c>
      <c r="C63" s="34" t="s">
        <v>35</v>
      </c>
      <c r="D63" s="35" t="s">
        <v>221</v>
      </c>
      <c r="E63" s="36"/>
      <c r="F63" s="36"/>
      <c r="G63" s="36"/>
      <c r="H63" s="36"/>
      <c r="I63" s="36"/>
      <c r="J63" s="36"/>
      <c r="K63" s="37">
        <f>IF(COUNT(E63:J63)=0,"",AVERAGE(E63:J63))</f>
        <v>0</v>
      </c>
      <c r="L63" s="38">
        <f>IF(COUNT(E63:J63)=0,"",MIN(E63:J63))</f>
        <v>0</v>
      </c>
      <c r="M63" s="38">
        <f>IF(COUNT(E63:J63)=0,"",MAX(E63:J63))</f>
        <v>0</v>
      </c>
      <c r="Q63">
        <f>IFERROR(IF(INDEX('Limites'!$R:$R,MATCH(IF(nProdUS3="",nProdUS4,nProdUS3),'Limites'!$B:$B,0))="","",INDEX('Limites'!$R:$R,MATCH(IF(nProdUS3="",nProdUS4,nProdUS3),'Limites'!$B:$B,0))),"")</f>
        <v>0</v>
      </c>
      <c r="R63">
        <f>IFERROR(IF(INDEX('Limites'!$S:$S,MATCH(IF(nProdUS3="",nProdUS4,nProdUS3),'Limites'!$B:$B,0))="","",INDEX('Limites'!$S:$S,MATCH(IF(nProdUS3="",nProdUS4,nProdUS3),'Limites'!$B:$B,0))),"")</f>
        <v>0</v>
      </c>
    </row>
    <row r="64" spans="1:18" ht="14" customHeight="1">
      <c r="A64" s="22" t="s">
        <v>230</v>
      </c>
      <c r="B64" s="39" t="s">
        <v>49</v>
      </c>
      <c r="C64" s="40" t="s">
        <v>50</v>
      </c>
      <c r="D64" s="41" t="s">
        <v>221</v>
      </c>
      <c r="E64" s="42"/>
      <c r="F64" s="42"/>
      <c r="G64" s="42"/>
      <c r="H64" s="42"/>
      <c r="I64" s="42"/>
      <c r="J64" s="42"/>
      <c r="K64" s="37">
        <f>IF(COUNT(E64:J64)=0,"",AVERAGE(E64:J64))</f>
        <v>0</v>
      </c>
      <c r="L64" s="43">
        <f>IF(COUNT(E64:J64)=0,"",MIN(E64:J64))</f>
        <v>0</v>
      </c>
      <c r="M64" s="43">
        <f>IF(COUNT(E64:J64)=0,"",MAX(E64:J64))</f>
        <v>0</v>
      </c>
    </row>
    <row r="65" spans="1:18">
      <c r="A65" s="22" t="s">
        <v>231</v>
      </c>
      <c r="B65" s="32" t="s">
        <v>51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</row>
    <row r="66" spans="1:18" ht="14" customHeight="1">
      <c r="A66" s="22" t="s">
        <v>232</v>
      </c>
      <c r="B66" s="33" t="s">
        <v>34</v>
      </c>
      <c r="C66" s="34" t="s">
        <v>35</v>
      </c>
      <c r="D66" s="35" t="s">
        <v>233</v>
      </c>
      <c r="E66" s="36"/>
      <c r="F66" s="36"/>
      <c r="G66" s="36"/>
      <c r="H66" s="36"/>
      <c r="I66" s="36"/>
      <c r="J66" s="36"/>
      <c r="K66" s="37">
        <f>IF(COUNT(E66:J66)=0,"",AVERAGE(E66:J66))</f>
        <v>0</v>
      </c>
      <c r="L66" s="38">
        <f>IF(COUNT(E66:J66)=0,"",MIN(E66:J66))</f>
        <v>0</v>
      </c>
      <c r="M66" s="38">
        <f>IF(COUNT(E66:J66)=0,"",MAX(E66:J66))</f>
        <v>0</v>
      </c>
      <c r="Q66">
        <f>IFERROR(IF(INDEX('Limites'!$D:$D,MATCH(nProdUS3,'Limites'!$B:$B,0))="","",INDEX('Limites'!$D:$D,MATCH(nProdUS3,'Limites'!$B:$B,0))),"")</f>
        <v>0</v>
      </c>
      <c r="R66">
        <f>IFERROR(IF(INDEX('Limites'!$E:$E,MATCH(nProdUS3,'Limites'!$B:$B,0))="","",INDEX('Limites'!$E:$E,MATCH(nProdUS3,'Limites'!$B:$B,0))),"")</f>
        <v>0</v>
      </c>
    </row>
    <row r="67" spans="1:18" ht="14" customHeight="1">
      <c r="A67" s="22" t="s">
        <v>234</v>
      </c>
      <c r="B67" s="33"/>
      <c r="C67" s="34"/>
      <c r="D67" s="49" t="s">
        <v>235</v>
      </c>
      <c r="E67" s="36"/>
      <c r="F67" s="36"/>
      <c r="G67" s="36"/>
      <c r="H67" s="36"/>
      <c r="I67" s="36"/>
      <c r="J67" s="36"/>
      <c r="K67" s="37">
        <f>IF(COUNT(E67:J67)=0,"",AVERAGE(E67:J67))</f>
        <v>0</v>
      </c>
      <c r="L67" s="38">
        <f>IF(COUNT(E67:J67)=0,"",MIN(E67:J67))</f>
        <v>0</v>
      </c>
      <c r="M67" s="38">
        <f>IF(COUNT(E67:J67)=0,"",MAX(E67:J67))</f>
        <v>0</v>
      </c>
      <c r="Q67">
        <f>IFERROR(IF(INDEX('Limites'!$D:$D,MATCH(nProdUS4,'Limites'!$B:$B,0))="","",INDEX('Limites'!$D:$D,MATCH(nProdUS4,'Limites'!$B:$B,0))),"")</f>
        <v>0</v>
      </c>
      <c r="R67">
        <f>IFERROR(IF(INDEX('Limites'!$E:$E,MATCH(nProdUS4,'Limites'!$B:$B,0))="","",INDEX('Limites'!$E:$E,MATCH(nProdUS4,'Limites'!$B:$B,0))),"")</f>
        <v>0</v>
      </c>
    </row>
    <row r="68" spans="1:18" ht="14" customHeight="1">
      <c r="A68" s="22" t="s">
        <v>236</v>
      </c>
      <c r="B68" s="39" t="s">
        <v>38</v>
      </c>
      <c r="C68" s="40" t="s">
        <v>35</v>
      </c>
      <c r="D68" s="41" t="s">
        <v>233</v>
      </c>
      <c r="E68" s="42"/>
      <c r="F68" s="42"/>
      <c r="G68" s="42"/>
      <c r="H68" s="42"/>
      <c r="I68" s="42"/>
      <c r="J68" s="42"/>
      <c r="K68" s="37">
        <f>IF(COUNT(E68:J68)=0,"",AVERAGE(E68:J68))</f>
        <v>0</v>
      </c>
      <c r="L68" s="43">
        <f>IF(COUNT(E68:J68)=0,"",MIN(E68:J68))</f>
        <v>0</v>
      </c>
      <c r="M68" s="43">
        <f>IF(COUNT(E68:J68)=0,"",MAX(E68:J68))</f>
        <v>0</v>
      </c>
      <c r="Q68">
        <f>IFERROR(IF(INDEX('Limites'!$F:$F,MATCH(nProdUS3,'Limites'!$B:$B,0))="","",INDEX('Limites'!$F:$F,MATCH(nProdUS3,'Limites'!$B:$B,0))),"")</f>
        <v>0</v>
      </c>
      <c r="R68">
        <f>IFERROR(IF(INDEX('Limites'!$G:$G,MATCH(nProdUS3,'Limites'!$B:$B,0))="","",INDEX('Limites'!$G:$G,MATCH(nProdUS3,'Limites'!$B:$B,0))),"")</f>
        <v>0</v>
      </c>
    </row>
    <row r="69" spans="1:18" ht="14" customHeight="1">
      <c r="A69" s="22" t="s">
        <v>237</v>
      </c>
      <c r="B69" s="39"/>
      <c r="C69" s="40"/>
      <c r="D69" s="50" t="s">
        <v>235</v>
      </c>
      <c r="E69" s="42"/>
      <c r="F69" s="42"/>
      <c r="G69" s="42"/>
      <c r="H69" s="42"/>
      <c r="I69" s="42"/>
      <c r="J69" s="42"/>
      <c r="K69" s="37">
        <f>IF(COUNT(E69:J69)=0,"",AVERAGE(E69:J69))</f>
        <v>0</v>
      </c>
      <c r="L69" s="43">
        <f>IF(COUNT(E69:J69)=0,"",MIN(E69:J69))</f>
        <v>0</v>
      </c>
      <c r="M69" s="43">
        <f>IF(COUNT(E69:J69)=0,"",MAX(E69:J69))</f>
        <v>0</v>
      </c>
      <c r="Q69">
        <f>IFERROR(IF(INDEX('Limites'!$F:$F,MATCH(nProdUS4,'Limites'!$B:$B,0))="","",INDEX('Limites'!$F:$F,MATCH(nProdUS4,'Limites'!$B:$B,0))),"")</f>
        <v>0</v>
      </c>
      <c r="R69">
        <f>IFERROR(IF(INDEX('Limites'!$G:$G,MATCH(nProdUS4,'Limites'!$B:$B,0))="","",INDEX('Limites'!$G:$G,MATCH(nProdUS4,'Limites'!$B:$B,0))),"")</f>
        <v>0</v>
      </c>
    </row>
    <row r="70" spans="1:18" ht="14" customHeight="1">
      <c r="A70" s="22" t="s">
        <v>238</v>
      </c>
      <c r="B70" s="33" t="s">
        <v>40</v>
      </c>
      <c r="C70" s="34" t="s">
        <v>35</v>
      </c>
      <c r="D70" s="35" t="s">
        <v>233</v>
      </c>
      <c r="E70" s="36"/>
      <c r="F70" s="36"/>
      <c r="G70" s="36"/>
      <c r="H70" s="36"/>
      <c r="I70" s="36"/>
      <c r="J70" s="36"/>
      <c r="K70" s="37">
        <f>IF(COUNT(E70:J70)=0,"",AVERAGE(E70:J70))</f>
        <v>0</v>
      </c>
      <c r="L70" s="38">
        <f>IF(COUNT(E70:J70)=0,"",MIN(E70:J70))</f>
        <v>0</v>
      </c>
      <c r="M70" s="38">
        <f>IF(COUNT(E70:J70)=0,"",MAX(E70:J70))</f>
        <v>0</v>
      </c>
    </row>
    <row r="71" spans="1:18" ht="14" customHeight="1">
      <c r="A71" s="22" t="s">
        <v>239</v>
      </c>
      <c r="B71" s="33"/>
      <c r="C71" s="34"/>
      <c r="D71" s="49" t="s">
        <v>235</v>
      </c>
      <c r="E71" s="36"/>
      <c r="F71" s="36"/>
      <c r="G71" s="36"/>
      <c r="H71" s="36"/>
      <c r="I71" s="36"/>
      <c r="J71" s="36"/>
      <c r="K71" s="37">
        <f>IF(COUNT(E71:J71)=0,"",AVERAGE(E71:J71))</f>
        <v>0</v>
      </c>
      <c r="L71" s="38">
        <f>IF(COUNT(E71:J71)=0,"",MIN(E71:J71))</f>
        <v>0</v>
      </c>
      <c r="M71" s="38">
        <f>IF(COUNT(E71:J71)=0,"",MAX(E71:J71))</f>
        <v>0</v>
      </c>
    </row>
    <row r="72" spans="1:18" ht="14" customHeight="1">
      <c r="A72" s="22" t="s">
        <v>240</v>
      </c>
      <c r="B72" s="39" t="s">
        <v>41</v>
      </c>
      <c r="C72" s="40" t="s">
        <v>35</v>
      </c>
      <c r="D72" s="41" t="s">
        <v>233</v>
      </c>
      <c r="E72" s="42"/>
      <c r="F72" s="42"/>
      <c r="G72" s="42"/>
      <c r="H72" s="42"/>
      <c r="I72" s="42"/>
      <c r="J72" s="42"/>
      <c r="K72" s="37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IFERROR(IF(INDEX('Limites'!$J:$J,MATCH(nProdUS3,'Limites'!$B:$B,0))="","",INDEX('Limites'!$J:$J,MATCH(nProdUS3,'Limites'!$B:$B,0))),"")</f>
        <v>0</v>
      </c>
      <c r="R72">
        <f>IFERROR(IF(INDEX('Limites'!$K:$K,MATCH(nProdUS3,'Limites'!$B:$B,0))="","",INDEX('Limites'!$K:$K,MATCH(nProdUS3,'Limites'!$B:$B,0))),"")</f>
        <v>0</v>
      </c>
    </row>
    <row r="73" spans="1:18" ht="14" customHeight="1">
      <c r="A73" s="22" t="s">
        <v>241</v>
      </c>
      <c r="B73" s="39"/>
      <c r="C73" s="40"/>
      <c r="D73" s="50" t="s">
        <v>235</v>
      </c>
      <c r="E73" s="42"/>
      <c r="F73" s="42"/>
      <c r="G73" s="42"/>
      <c r="H73" s="42"/>
      <c r="I73" s="42"/>
      <c r="J73" s="42"/>
      <c r="K73" s="37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IFERROR(IF(INDEX('Limites'!$J:$J,MATCH(nProdUS4,'Limites'!$B:$B,0))="","",INDEX('Limites'!$J:$J,MATCH(nProdUS4,'Limites'!$B:$B,0))),"")</f>
        <v>0</v>
      </c>
      <c r="R73">
        <f>IFERROR(IF(INDEX('Limites'!$K:$K,MATCH(nProdUS4,'Limites'!$B:$B,0))="","",INDEX('Limites'!$K:$K,MATCH(nProdUS4,'Limites'!$B:$B,0))),"")</f>
        <v>0</v>
      </c>
    </row>
    <row r="74" spans="1:18" ht="14" customHeight="1">
      <c r="A74" s="22" t="s">
        <v>242</v>
      </c>
      <c r="B74" s="33" t="s">
        <v>43</v>
      </c>
      <c r="C74" s="34" t="s">
        <v>35</v>
      </c>
      <c r="D74" s="35" t="s">
        <v>233</v>
      </c>
      <c r="E74" s="36"/>
      <c r="F74" s="36"/>
      <c r="G74" s="36"/>
      <c r="H74" s="36"/>
      <c r="I74" s="36"/>
      <c r="J74" s="36"/>
      <c r="K74" s="37">
        <f>IF(COUNT(E74:J74)=0,"",AVERAGE(E74:J74))</f>
        <v>0</v>
      </c>
      <c r="L74" s="38">
        <f>IF(COUNT(E74:J74)=0,"",MIN(E74:J74))</f>
        <v>0</v>
      </c>
      <c r="M74" s="38">
        <f>IF(COUNT(E74:J74)=0,"",MAX(E74:J74))</f>
        <v>0</v>
      </c>
    </row>
    <row r="75" spans="1:18" ht="14" customHeight="1">
      <c r="A75" s="22" t="s">
        <v>243</v>
      </c>
      <c r="B75" s="33"/>
      <c r="C75" s="34"/>
      <c r="D75" s="49" t="s">
        <v>235</v>
      </c>
      <c r="E75" s="36"/>
      <c r="F75" s="36"/>
      <c r="G75" s="36"/>
      <c r="H75" s="36"/>
      <c r="I75" s="36"/>
      <c r="J75" s="36"/>
      <c r="K75" s="37">
        <f>IF(COUNT(E75:J75)=0,"",AVERAGE(E75:J75))</f>
        <v>0</v>
      </c>
      <c r="L75" s="38">
        <f>IF(COUNT(E75:J75)=0,"",MIN(E75:J75))</f>
        <v>0</v>
      </c>
      <c r="M75" s="38">
        <f>IF(COUNT(E75:J75)=0,"",MAX(E75:J75))</f>
        <v>0</v>
      </c>
    </row>
    <row r="76" spans="1:18" ht="14" customHeight="1">
      <c r="A76" s="22" t="s">
        <v>244</v>
      </c>
      <c r="B76" s="39" t="s">
        <v>56</v>
      </c>
      <c r="C76" s="40" t="s">
        <v>50</v>
      </c>
      <c r="D76" s="41" t="s">
        <v>233</v>
      </c>
      <c r="E76" s="42"/>
      <c r="F76" s="42"/>
      <c r="G76" s="42"/>
      <c r="H76" s="42"/>
      <c r="I76" s="42"/>
      <c r="J76" s="42"/>
      <c r="K76" s="37">
        <f>IF(COUNT(E76:J76)=0,"",AVERAGE(E76:J76))</f>
        <v>0</v>
      </c>
      <c r="L76" s="43">
        <f>IF(COUNT(E76:J76)=0,"",MIN(E76:J76))</f>
        <v>0</v>
      </c>
      <c r="M76" s="43">
        <f>IF(COUNT(E76:J76)=0,"",MAX(E76:J76))</f>
        <v>0</v>
      </c>
      <c r="Q76">
        <f>IFERROR(IF(INDEX('Limites'!$L:$L,MATCH(nProdUS3,'Limites'!$B:$B,0))="","",INDEX('Limites'!$L:$L,MATCH(nProdUS3,'Limites'!$B:$B,0))),"")</f>
        <v>0</v>
      </c>
      <c r="R76">
        <f>IFERROR(IF(INDEX('Limites'!$M:$M,MATCH(nProdUS3,'Limites'!$B:$B,0))="","",INDEX('Limites'!$M:$M,MATCH(nProdUS3,'Limites'!$B:$B,0))),"")</f>
        <v>0</v>
      </c>
    </row>
    <row r="77" spans="1:18" ht="14" customHeight="1">
      <c r="A77" s="22" t="s">
        <v>245</v>
      </c>
      <c r="B77" s="39"/>
      <c r="C77" s="40"/>
      <c r="D77" s="50" t="s">
        <v>235</v>
      </c>
      <c r="E77" s="42"/>
      <c r="F77" s="42"/>
      <c r="G77" s="42"/>
      <c r="H77" s="42"/>
      <c r="I77" s="42"/>
      <c r="J77" s="42"/>
      <c r="K77" s="37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  <c r="Q77">
        <f>IFERROR(IF(INDEX('Limites'!$L:$L,MATCH(nProdUS4,'Limites'!$B:$B,0))="","",INDEX('Limites'!$L:$L,MATCH(nProdUS4,'Limites'!$B:$B,0))),"")</f>
        <v>0</v>
      </c>
      <c r="R77">
        <f>IFERROR(IF(INDEX('Limites'!$M:$M,MATCH(nProdUS4,'Limites'!$B:$B,0))="","",INDEX('Limites'!$M:$M,MATCH(nProdUS4,'Limites'!$B:$B,0))),"")</f>
        <v>0</v>
      </c>
    </row>
    <row r="78" spans="1:18" ht="14" customHeight="1">
      <c r="A78" s="22" t="s">
        <v>246</v>
      </c>
      <c r="B78" s="33" t="s">
        <v>59</v>
      </c>
      <c r="C78" s="34" t="s">
        <v>60</v>
      </c>
      <c r="D78" s="35" t="s">
        <v>233</v>
      </c>
      <c r="E78" s="51"/>
      <c r="F78" s="51"/>
      <c r="G78" s="51"/>
      <c r="H78" s="51"/>
      <c r="I78" s="51"/>
      <c r="J78" s="51"/>
      <c r="K78" s="52">
        <f>IF(COUNT(E78:J78)=0,"",AVERAGE(E78:J78))</f>
        <v>0</v>
      </c>
      <c r="L78" s="53">
        <f>IF(COUNT(E78:J78)=0,"",MIN(E78:J78))</f>
        <v>0</v>
      </c>
      <c r="M78" s="53">
        <f>IF(COUNT(E78:J78)=0,"",MAX(E78:J78))</f>
        <v>0</v>
      </c>
    </row>
    <row r="79" spans="1:18" ht="14" customHeight="1">
      <c r="A79" s="22" t="s">
        <v>247</v>
      </c>
      <c r="B79" s="33"/>
      <c r="C79" s="34"/>
      <c r="D79" s="49" t="s">
        <v>235</v>
      </c>
      <c r="E79" s="51"/>
      <c r="F79" s="51"/>
      <c r="G79" s="51"/>
      <c r="H79" s="51"/>
      <c r="I79" s="51"/>
      <c r="J79" s="51"/>
      <c r="K79" s="52">
        <f>IF(COUNT(E79:J79)=0,"",AVERAGE(E79:J79))</f>
        <v>0</v>
      </c>
      <c r="L79" s="53">
        <f>IF(COUNT(E79:J79)=0,"",MIN(E79:J79))</f>
        <v>0</v>
      </c>
      <c r="M79" s="53">
        <f>IF(COUNT(E79:J79)=0,"",MAX(E79:J79))</f>
        <v>0</v>
      </c>
    </row>
    <row r="80" spans="1:18" ht="14" customHeight="1">
      <c r="A80" s="22" t="s">
        <v>248</v>
      </c>
      <c r="B80" s="39" t="s">
        <v>63</v>
      </c>
      <c r="C80" s="40" t="s">
        <v>35</v>
      </c>
      <c r="D80" s="41" t="s">
        <v>233</v>
      </c>
      <c r="E80" s="42"/>
      <c r="F80" s="42"/>
      <c r="G80" s="42"/>
      <c r="H80" s="42"/>
      <c r="I80" s="42"/>
      <c r="J80" s="42"/>
      <c r="K80" s="37">
        <f>IF(COUNT(E80:J80)=0,"",AVERAGE(E80:J80))</f>
        <v>0</v>
      </c>
      <c r="L80" s="43">
        <f>IF(COUNT(E80:J80)=0,"",MIN(E80:J80))</f>
        <v>0</v>
      </c>
      <c r="M80" s="43">
        <f>IF(COUNT(E80:J80)=0,"",MAX(E80:J80))</f>
        <v>0</v>
      </c>
    </row>
    <row r="81" spans="1:18" ht="14" customHeight="1">
      <c r="A81" s="22" t="s">
        <v>249</v>
      </c>
      <c r="B81" s="39"/>
      <c r="C81" s="40"/>
      <c r="D81" s="50" t="s">
        <v>235</v>
      </c>
      <c r="E81" s="42"/>
      <c r="F81" s="42"/>
      <c r="G81" s="42"/>
      <c r="H81" s="42"/>
      <c r="I81" s="42"/>
      <c r="J81" s="42"/>
      <c r="K81" s="37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4" customHeight="1">
      <c r="A82" s="22" t="s">
        <v>250</v>
      </c>
      <c r="B82" s="33" t="s">
        <v>44</v>
      </c>
      <c r="C82" s="34" t="s">
        <v>35</v>
      </c>
      <c r="D82" s="35" t="s">
        <v>233</v>
      </c>
      <c r="E82" s="47"/>
      <c r="F82" s="47"/>
      <c r="G82" s="47"/>
      <c r="H82" s="47"/>
      <c r="I82" s="47"/>
      <c r="J82" s="47"/>
      <c r="K82" s="45">
        <f>IF(COUNT(E82:J82)=0,"",AVERAGE(E82:J82))</f>
        <v>0</v>
      </c>
      <c r="L82" s="48">
        <f>IF(COUNT(E82:J82)=0,"",MIN(E82:J82))</f>
        <v>0</v>
      </c>
      <c r="M82" s="48">
        <f>IF(COUNT(E82:J82)=0,"",MAX(E82:J82))</f>
        <v>0</v>
      </c>
      <c r="Q82">
        <f>IFERROR(IF(INDEX('Limites'!$H:$H,MATCH(nProdUS3,'Limites'!$B:$B,0))="","",INDEX('Limites'!$H:$H,MATCH(nProdUS3,'Limites'!$B:$B,0))),"")</f>
        <v>0</v>
      </c>
      <c r="R82">
        <f>IFERROR(IF(INDEX('Limites'!$I:$I,MATCH(nProdUS3,'Limites'!$B:$B,0))="","",INDEX('Limites'!$I:$I,MATCH(nProdUS3,'Limites'!$B:$B,0))),"")</f>
        <v>0</v>
      </c>
    </row>
    <row r="83" spans="1:18" ht="14" customHeight="1">
      <c r="A83" s="22" t="s">
        <v>251</v>
      </c>
      <c r="B83" s="33"/>
      <c r="C83" s="34"/>
      <c r="D83" s="49" t="s">
        <v>235</v>
      </c>
      <c r="E83" s="47"/>
      <c r="F83" s="47"/>
      <c r="G83" s="47"/>
      <c r="H83" s="47"/>
      <c r="I83" s="47"/>
      <c r="J83" s="47"/>
      <c r="K83" s="45">
        <f>IF(COUNT(E83:J83)=0,"",AVERAGE(E83:J83))</f>
        <v>0</v>
      </c>
      <c r="L83" s="48">
        <f>IF(COUNT(E83:J83)=0,"",MIN(E83:J83))</f>
        <v>0</v>
      </c>
      <c r="M83" s="48">
        <f>IF(COUNT(E83:J83)=0,"",MAX(E83:J83))</f>
        <v>0</v>
      </c>
      <c r="Q83">
        <f>IFERROR(IF(INDEX('Limites'!$H:$H,MATCH(nProdUS4,'Limites'!$B:$B,0))="","",INDEX('Limites'!$H:$H,MATCH(nProdUS4,'Limites'!$B:$B,0))),"")</f>
        <v>0</v>
      </c>
      <c r="R83">
        <f>IFERROR(IF(INDEX('Limites'!$I:$I,MATCH(nProdUS4,'Limites'!$B:$B,0))="","",INDEX('Limites'!$I:$I,MATCH(nProdUS4,'Limites'!$B:$B,0))),"")</f>
        <v>0</v>
      </c>
    </row>
    <row r="84" spans="1:18" ht="14" customHeight="1">
      <c r="A84" s="22" t="s">
        <v>252</v>
      </c>
      <c r="B84" s="39" t="s">
        <v>45</v>
      </c>
      <c r="C84" s="40" t="s">
        <v>35</v>
      </c>
      <c r="D84" s="41" t="s">
        <v>233</v>
      </c>
      <c r="E84" s="44"/>
      <c r="F84" s="44"/>
      <c r="G84" s="44"/>
      <c r="H84" s="44"/>
      <c r="I84" s="44"/>
      <c r="J84" s="44"/>
      <c r="K84" s="45">
        <f>IF(COUNT(E84:J84)=0,"",AVERAGE(E84:J84))</f>
        <v>0</v>
      </c>
      <c r="L84" s="46">
        <f>IF(COUNT(E84:J84)=0,"",MIN(E84:J84))</f>
        <v>0</v>
      </c>
      <c r="M84" s="46">
        <f>IF(COUNT(E84:J84)=0,"",MAX(E84:J84))</f>
        <v>0</v>
      </c>
    </row>
    <row r="85" spans="1:18" ht="14" customHeight="1">
      <c r="A85" s="22" t="s">
        <v>253</v>
      </c>
      <c r="B85" s="39"/>
      <c r="C85" s="40"/>
      <c r="D85" s="50" t="s">
        <v>235</v>
      </c>
      <c r="E85" s="44"/>
      <c r="F85" s="44"/>
      <c r="G85" s="44"/>
      <c r="H85" s="44"/>
      <c r="I85" s="44"/>
      <c r="J85" s="44"/>
      <c r="K85" s="45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8" ht="14" customHeight="1">
      <c r="A86" s="22" t="s">
        <v>254</v>
      </c>
      <c r="B86" s="33" t="s">
        <v>46</v>
      </c>
      <c r="C86" s="34" t="s">
        <v>35</v>
      </c>
      <c r="D86" s="35" t="s">
        <v>233</v>
      </c>
      <c r="E86" s="47"/>
      <c r="F86" s="47"/>
      <c r="G86" s="47"/>
      <c r="H86" s="47"/>
      <c r="I86" s="47"/>
      <c r="J86" s="47"/>
      <c r="K86" s="45">
        <f>IF(COUNT(E86:J86)=0,"",AVERAGE(E86:J86))</f>
        <v>0</v>
      </c>
      <c r="L86" s="48">
        <f>IF(COUNT(E86:J86)=0,"",MIN(E86:J86))</f>
        <v>0</v>
      </c>
      <c r="M86" s="48">
        <f>IF(COUNT(E86:J86)=0,"",MAX(E86:J86))</f>
        <v>0</v>
      </c>
    </row>
    <row r="87" spans="1:18" ht="14" customHeight="1">
      <c r="A87" s="22" t="s">
        <v>255</v>
      </c>
      <c r="B87" s="33"/>
      <c r="C87" s="34"/>
      <c r="D87" s="49" t="s">
        <v>235</v>
      </c>
      <c r="E87" s="47"/>
      <c r="F87" s="47"/>
      <c r="G87" s="47"/>
      <c r="H87" s="47"/>
      <c r="I87" s="47"/>
      <c r="J87" s="47"/>
      <c r="K87" s="45">
        <f>IF(COUNT(E87:J87)=0,"",AVERAGE(E87:J87))</f>
        <v>0</v>
      </c>
      <c r="L87" s="48">
        <f>IF(COUNT(E87:J87)=0,"",MIN(E87:J87))</f>
        <v>0</v>
      </c>
      <c r="M87" s="48">
        <f>IF(COUNT(E87:J87)=0,"",MAX(E87:J87))</f>
        <v>0</v>
      </c>
    </row>
    <row r="88" spans="1:18" ht="26" customHeight="1">
      <c r="B88" s="54" t="s">
        <v>256</v>
      </c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</row>
  </sheetData>
  <sheetProtection sheet="1" objects="1" scenarios="1" formatColumns="0" formatRows="0"/>
  <mergeCells count="73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2:M52"/>
    <mergeCell ref="B54:M54"/>
    <mergeCell ref="B65:M65"/>
    <mergeCell ref="B66:B67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4:B85"/>
    <mergeCell ref="C84:C85"/>
    <mergeCell ref="B86:B87"/>
    <mergeCell ref="C86:C87"/>
    <mergeCell ref="B88:M88"/>
    <mergeCell ref="O12:O17"/>
  </mergeCells>
  <conditionalFormatting sqref="E56:K56">
    <cfRule type="expression" dxfId="1" priority="1">
      <formula>AND(ISNUMBER(E56),OR(AND(ISNUMBER($Q56),ROUND(E56,2)&lt;$Q56),AND(ISNUMBER($R56),ROUND(E56,2)&gt;$R56)))</formula>
    </cfRule>
    <cfRule type="expression" dxfId="2" priority="2">
      <formula>AND(ISNUMBER(E56),OR(ISNUMBER($Q56),ISNUMBER($R56)),NOT(OR(AND(ISNUMBER($Q56),ROUND(E56,2)&lt;$Q56),AND(ISNUMBER($R56),ROUND(E56,2)&gt;$R56))))</formula>
    </cfRule>
  </conditionalFormatting>
  <conditionalFormatting sqref="E60:K60">
    <cfRule type="expression" dxfId="1" priority="3">
      <formula>AND(ISNUMBER(E60),OR(AND(ISNUMBER($Q60),ROUND(E60,3)&lt;$Q60),AND(ISNUMBER($R60),ROUND(E60,3)&gt;$R60)))</formula>
    </cfRule>
    <cfRule type="expression" dxfId="2" priority="4">
      <formula>AND(ISNUMBER(E60),OR(ISNUMBER($Q60),ISNUMBER($R60)),NOT(OR(AND(ISNUMBER($Q60),ROUND(E60,3)&lt;$Q60),AND(ISNUMBER($R60),ROUND(E60,3)&gt;$R60))))</formula>
    </cfRule>
  </conditionalFormatting>
  <conditionalFormatting sqref="E63:K63">
    <cfRule type="expression" dxfId="1" priority="5">
      <formula>AND(ISNUMBER(E63),OR(AND(ISNUMBER($Q63),ROUND(E63,2)&lt;$Q63),AND(ISNUMBER($R63),ROUND(E63,2)&gt;$R63)))</formula>
    </cfRule>
    <cfRule type="expression" dxfId="2" priority="6">
      <formula>AND(ISNUMBER(E63),OR(ISNUMBER($Q63),ISNUMBER($R63)),NOT(OR(AND(ISNUMBER($Q63),ROUND(E63,2)&lt;$Q63),AND(ISNUMBER($R63),ROUND(E63,2)&gt;$R63))))</formula>
    </cfRule>
  </conditionalFormatting>
  <conditionalFormatting sqref="E66:K66">
    <cfRule type="expression" dxfId="1" priority="7">
      <formula>AND(ISNUMBER(E66),OR(AND(ISNUMBER($Q66),ROUND(E66,2)&lt;$Q66),AND(ISNUMBER($R66),ROUND(E66,2)&gt;$R66)))</formula>
    </cfRule>
    <cfRule type="expression" dxfId="2" priority="8">
      <formula>AND(ISNUMBER(E66),OR(ISNUMBER($Q66),ISNUMBER($R66)),NOT(OR(AND(ISNUMBER($Q66),ROUND(E66,2)&lt;$Q66),AND(ISNUMBER($R66),ROUND(E66,2)&gt;$R66))))</formula>
    </cfRule>
  </conditionalFormatting>
  <conditionalFormatting sqref="E67:K67">
    <cfRule type="expression" dxfId="1" priority="9">
      <formula>AND(ISNUMBER(E67),OR(AND(ISNUMBER($Q67),ROUND(E67,2)&lt;$Q67),AND(ISNUMBER($R67),ROUND(E67,2)&gt;$R67)))</formula>
    </cfRule>
    <cfRule type="expression" dxfId="2" priority="10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11">
      <formula>AND(ISNUMBER(E68),OR(AND(ISNUMBER($Q68),ROUND(E68,2)&lt;$Q68),AND(ISNUMBER($R68),ROUND(E68,2)&gt;$R68)))</formula>
    </cfRule>
    <cfRule type="expression" dxfId="2" priority="12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13">
      <formula>AND(ISNUMBER(E69),OR(AND(ISNUMBER($Q69),ROUND(E69,2)&lt;$Q69),AND(ISNUMBER($R69),ROUND(E69,2)&gt;$R69)))</formula>
    </cfRule>
    <cfRule type="expression" dxfId="2" priority="14">
      <formula>AND(ISNUMBER(E69),OR(ISNUMBER($Q69),ISNUMBER($R69)),NOT(OR(AND(ISNUMBER($Q69),ROUND(E69,2)&lt;$Q69),AND(ISNUMBER($R69),ROUND(E69,2)&gt;$R69))))</formula>
    </cfRule>
  </conditionalFormatting>
  <conditionalFormatting sqref="E72:K72">
    <cfRule type="expression" dxfId="1" priority="15">
      <formula>AND(ISNUMBER(E72),OR(AND(ISNUMBER($Q72),ROUND(E72,2)&lt;$Q72),AND(ISNUMBER($R72),ROUND(E72,2)&gt;$R72)))</formula>
    </cfRule>
    <cfRule type="expression" dxfId="2" priority="16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7">
      <formula>AND(ISNUMBER(E73),OR(AND(ISNUMBER($Q73),ROUND(E73,2)&lt;$Q73),AND(ISNUMBER($R73),ROUND(E73,2)&gt;$R73)))</formula>
    </cfRule>
    <cfRule type="expression" dxfId="2" priority="18">
      <formula>AND(ISNUMBER(E73),OR(ISNUMBER($Q73),ISNUMBER($R73)),NOT(OR(AND(ISNUMBER($Q73),ROUND(E73,2)&lt;$Q73),AND(ISNUMBER($R73),ROUND(E73,2)&gt;$R73))))</formula>
    </cfRule>
  </conditionalFormatting>
  <conditionalFormatting sqref="E76:K76">
    <cfRule type="expression" dxfId="1" priority="19">
      <formula>AND(ISNUMBER(E76),OR(AND(ISNUMBER($Q76),ROUND(E76,2)&lt;$Q76),AND(ISNUMBER($R76),ROUND(E76,2)&gt;$R76)))</formula>
    </cfRule>
    <cfRule type="expression" dxfId="2" priority="20">
      <formula>AND(ISNUMBER(E76),OR(ISNUMBER($Q76),ISNUMBER($R76)),NOT(OR(AND(ISNUMBER($Q76),ROUND(E76,2)&lt;$Q76),AND(ISNUMBER($R76),ROUND(E76,2)&gt;$R76))))</formula>
    </cfRule>
  </conditionalFormatting>
  <conditionalFormatting sqref="E77:K77">
    <cfRule type="expression" dxfId="1" priority="21">
      <formula>AND(ISNUMBER(E77),OR(AND(ISNUMBER($Q77),ROUND(E77,2)&lt;$Q77),AND(ISNUMBER($R77),ROUND(E77,2)&gt;$R77)))</formula>
    </cfRule>
    <cfRule type="expression" dxfId="2" priority="22">
      <formula>AND(ISNUMBER(E77),OR(ISNUMBER($Q77),ISNUMBER($R77)),NOT(OR(AND(ISNUMBER($Q77),ROUND(E77,2)&lt;$Q77),AND(ISNUMBER($R77),ROUND(E77,2)&gt;$R77))))</formula>
    </cfRule>
  </conditionalFormatting>
  <conditionalFormatting sqref="E82:K82">
    <cfRule type="expression" dxfId="1" priority="23">
      <formula>AND(ISNUMBER(E82),OR(AND(ISNUMBER($Q82),ROUND(E82,3)&lt;$Q82),AND(ISNUMBER($R82),ROUND(E82,3)&gt;$R82)))</formula>
    </cfRule>
    <cfRule type="expression" dxfId="2" priority="24">
      <formula>AND(ISNUMBER(E82),OR(ISNUMBER($Q82),ISNUMBER($R82)),NOT(OR(AND(ISNUMBER($Q82),ROUND(E82,3)&lt;$Q82),AND(ISNUMBER($R82),ROUND(E82,3)&gt;$R82))))</formula>
    </cfRule>
  </conditionalFormatting>
  <conditionalFormatting sqref="E83:K83">
    <cfRule type="expression" dxfId="1" priority="25">
      <formula>AND(ISNUMBER(E83),OR(AND(ISNUMBER($Q83),ROUND(E83,3)&lt;$Q83),AND(ISNUMBER($R83),ROUND(E83,3)&gt;$R83)))</formula>
    </cfRule>
    <cfRule type="expression" dxfId="2" priority="26">
      <formula>AND(ISNUMBER(E83),OR(ISNUMBER($Q83),ISNUMBER($R83)),NOT(OR(AND(ISNUMBER($Q83),ROUND(E83,3)&lt;$Q83),AND(ISNUMBER($R83),ROUND(E83,3)&gt;$R83))))</formula>
    </cfRule>
  </conditionalFormatting>
  <hyperlinks>
    <hyperlink ref="O10" location="'Preenchimento'!B73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46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6" width="7.7109375" customWidth="1"/>
    <col min="17" max="17" width="9.7109375" customWidth="1"/>
    <col min="18" max="19" width="7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6" customHeight="1"/>
    <row r="2" spans="1:24" ht="26" customHeight="1">
      <c r="B2" s="1"/>
      <c r="C2" s="1"/>
      <c r="D2" s="2" t="s">
        <v>267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0" customHeight="1">
      <c r="B3" s="1"/>
      <c r="C3" s="1"/>
      <c r="D3" s="3" t="s">
        <v>268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21" t="s">
        <v>269</v>
      </c>
      <c r="C6" s="55" t="s">
        <v>130</v>
      </c>
      <c r="D6" s="55"/>
      <c r="E6" s="56"/>
      <c r="F6" s="56"/>
      <c r="G6" s="56"/>
      <c r="H6" s="57" t="s">
        <v>131</v>
      </c>
      <c r="I6" s="56"/>
      <c r="J6" s="56"/>
      <c r="K6" s="56"/>
      <c r="L6" s="58" t="s">
        <v>270</v>
      </c>
      <c r="M6" s="58"/>
      <c r="N6" s="58"/>
      <c r="O6" s="58"/>
      <c r="P6" s="58"/>
      <c r="Q6" s="58"/>
      <c r="R6" s="58"/>
      <c r="S6" s="58"/>
    </row>
    <row r="7" spans="1:24" ht="6" customHeight="1"/>
    <row r="8" spans="1:24" ht="20" customHeight="1">
      <c r="B8" s="21" t="s">
        <v>271</v>
      </c>
      <c r="C8" s="59">
        <f>IF(dProdUS3="","",dProdUS3)</f>
        <v>0</v>
      </c>
      <c r="D8" s="59"/>
      <c r="E8" s="58" t="s">
        <v>273</v>
      </c>
      <c r="F8" s="58"/>
      <c r="G8" s="58"/>
      <c r="H8" s="58"/>
      <c r="I8" s="58"/>
      <c r="J8" s="58"/>
    </row>
    <row r="9" spans="1:24" ht="20" customHeight="1">
      <c r="B9" s="21" t="s">
        <v>272</v>
      </c>
      <c r="C9" s="59">
        <f>IF(dProdUS4="","",dProdUS4)</f>
        <v>0</v>
      </c>
      <c r="D9" s="59"/>
      <c r="E9" s="58"/>
      <c r="F9" s="58"/>
      <c r="G9" s="58"/>
      <c r="H9" s="58"/>
      <c r="I9" s="58"/>
      <c r="J9" s="58"/>
    </row>
    <row r="10" spans="1:24">
      <c r="B10" s="29" t="s">
        <v>274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U10" s="10" t="s">
        <v>257</v>
      </c>
    </row>
    <row r="11" spans="1:24" ht="26" customHeight="1">
      <c r="B11" s="31" t="s">
        <v>207</v>
      </c>
      <c r="C11" s="31" t="s">
        <v>208</v>
      </c>
      <c r="D11" s="31" t="s">
        <v>209</v>
      </c>
      <c r="E11" s="31" t="s">
        <v>275</v>
      </c>
      <c r="F11" s="31" t="s">
        <v>275</v>
      </c>
      <c r="G11" s="31" t="s">
        <v>275</v>
      </c>
      <c r="H11" s="31" t="s">
        <v>275</v>
      </c>
      <c r="I11" s="31" t="s">
        <v>275</v>
      </c>
      <c r="J11" s="31" t="s">
        <v>275</v>
      </c>
      <c r="K11" s="31" t="s">
        <v>275</v>
      </c>
      <c r="L11" s="31" t="s">
        <v>275</v>
      </c>
      <c r="M11" s="31" t="s">
        <v>275</v>
      </c>
      <c r="N11" s="31" t="s">
        <v>275</v>
      </c>
      <c r="O11" s="31" t="s">
        <v>275</v>
      </c>
      <c r="P11" s="31" t="s">
        <v>275</v>
      </c>
      <c r="Q11" s="31" t="s">
        <v>276</v>
      </c>
      <c r="R11" s="31" t="s">
        <v>217</v>
      </c>
      <c r="S11" s="31" t="s">
        <v>218</v>
      </c>
    </row>
    <row r="12" spans="1:24">
      <c r="A12" s="22" t="s">
        <v>219</v>
      </c>
      <c r="B12" s="32" t="s">
        <v>33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</row>
    <row r="13" spans="1:24" ht="14" customHeight="1">
      <c r="A13" s="22" t="s">
        <v>220</v>
      </c>
      <c r="B13" s="33" t="s">
        <v>34</v>
      </c>
      <c r="C13" s="34" t="s">
        <v>35</v>
      </c>
      <c r="D13" s="35" t="s">
        <v>221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7">
        <f>IF(COUNT(E13:P13)=0,"",AVERAGE(E13:P13))</f>
        <v>0</v>
      </c>
      <c r="R13" s="38">
        <f>IF(COUNT(E13:P13)=0,"",MIN(E13:P13))</f>
        <v>0</v>
      </c>
      <c r="S13" s="38">
        <f>IF(COUNT(E13:P13)=0,"",MAX(E13:P13))</f>
        <v>0</v>
      </c>
    </row>
    <row r="14" spans="1:24" ht="14" customHeight="1">
      <c r="A14" s="22" t="s">
        <v>222</v>
      </c>
      <c r="B14" s="39" t="s">
        <v>38</v>
      </c>
      <c r="C14" s="40" t="s">
        <v>35</v>
      </c>
      <c r="D14" s="41" t="s">
        <v>221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37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IFERROR(IF(INDEX('Limites'!$N:$N,MATCH(IF(gProdUS3="",gProdUS4,gProdUS3),'Limites'!$B:$B,0))="","",INDEX('Limites'!$N:$N,MATCH(IF(gProdUS3="",gProdUS4,gProdUS3),'Limites'!$B:$B,0))),"")</f>
        <v>0</v>
      </c>
      <c r="X14">
        <f>IFERROR(IF(INDEX('Limites'!$O:$O,MATCH(IF(gProdUS3="",gProdUS4,gProdUS3),'Limites'!$B:$B,0))="","",INDEX('Limites'!$O:$O,MATCH(IF(gProdUS3="",gProdUS4,gProdUS3),'Limites'!$B:$B,0))),"")</f>
        <v>0</v>
      </c>
    </row>
    <row r="15" spans="1:24" ht="14" customHeight="1">
      <c r="A15" s="22" t="s">
        <v>223</v>
      </c>
      <c r="B15" s="33" t="s">
        <v>40</v>
      </c>
      <c r="C15" s="34" t="s">
        <v>35</v>
      </c>
      <c r="D15" s="35" t="s">
        <v>221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7">
        <f>IF(COUNT(E15:P15)=0,"",AVERAGE(E15:P15))</f>
        <v>0</v>
      </c>
      <c r="R15" s="38">
        <f>IF(COUNT(E15:P15)=0,"",MIN(E15:P15))</f>
        <v>0</v>
      </c>
      <c r="S15" s="38">
        <f>IF(COUNT(E15:P15)=0,"",MAX(E15:P15))</f>
        <v>0</v>
      </c>
    </row>
    <row r="16" spans="1:24" ht="14" customHeight="1">
      <c r="A16" s="22" t="s">
        <v>224</v>
      </c>
      <c r="B16" s="39" t="s">
        <v>41</v>
      </c>
      <c r="C16" s="40" t="s">
        <v>35</v>
      </c>
      <c r="D16" s="41" t="s">
        <v>221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7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4" customHeight="1">
      <c r="A17" s="22" t="s">
        <v>225</v>
      </c>
      <c r="B17" s="33" t="s">
        <v>43</v>
      </c>
      <c r="C17" s="34" t="s">
        <v>35</v>
      </c>
      <c r="D17" s="35" t="s">
        <v>221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7">
        <f>IF(COUNT(E17:P17)=0,"",AVERAGE(E17:P17))</f>
        <v>0</v>
      </c>
      <c r="R17" s="38">
        <f>IF(COUNT(E17:P17)=0,"",MIN(E17:P17))</f>
        <v>0</v>
      </c>
      <c r="S17" s="38">
        <f>IF(COUNT(E17:P17)=0,"",MAX(E17:P17))</f>
        <v>0</v>
      </c>
    </row>
    <row r="18" spans="1:24" ht="14" customHeight="1">
      <c r="A18" s="22" t="s">
        <v>226</v>
      </c>
      <c r="B18" s="39" t="s">
        <v>44</v>
      </c>
      <c r="C18" s="40" t="s">
        <v>35</v>
      </c>
      <c r="D18" s="41" t="s">
        <v>221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5">
        <f>IF(COUNT(E18:P18)=0,"",AVERAGE(E18:P18))</f>
        <v>0</v>
      </c>
      <c r="R18" s="46">
        <f>IF(COUNT(E18:P18)=0,"",MIN(E18:P18))</f>
        <v>0</v>
      </c>
      <c r="S18" s="46">
        <f>IF(COUNT(E18:P18)=0,"",MAX(E18:P18))</f>
        <v>0</v>
      </c>
      <c r="W18">
        <f>IFERROR(IF(INDEX('Limites'!$P:$P,MATCH(IF(gProdUS3="",gProdUS4,gProdUS3),'Limites'!$B:$B,0))="","",INDEX('Limites'!$P:$P,MATCH(IF(gProdUS3="",gProdUS4,gProdUS3),'Limites'!$B:$B,0))),"")</f>
        <v>0</v>
      </c>
      <c r="X18">
        <f>IFERROR(IF(INDEX('Limites'!$Q:$Q,MATCH(IF(gProdUS3="",gProdUS4,gProdUS3),'Limites'!$B:$B,0))="","",INDEX('Limites'!$Q:$Q,MATCH(IF(gProdUS3="",gProdUS4,gProdUS3),'Limites'!$B:$B,0))),"")</f>
        <v>0</v>
      </c>
    </row>
    <row r="19" spans="1:24" ht="14" customHeight="1">
      <c r="A19" s="22" t="s">
        <v>227</v>
      </c>
      <c r="B19" s="33" t="s">
        <v>45</v>
      </c>
      <c r="C19" s="34" t="s">
        <v>35</v>
      </c>
      <c r="D19" s="35" t="s">
        <v>221</v>
      </c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5">
        <f>IF(COUNT(E19:P19)=0,"",AVERAGE(E19:P19))</f>
        <v>0</v>
      </c>
      <c r="R19" s="48">
        <f>IF(COUNT(E19:P19)=0,"",MIN(E19:P19))</f>
        <v>0</v>
      </c>
      <c r="S19" s="48">
        <f>IF(COUNT(E19:P19)=0,"",MAX(E19:P19))</f>
        <v>0</v>
      </c>
    </row>
    <row r="20" spans="1:24" ht="14" customHeight="1">
      <c r="A20" s="22" t="s">
        <v>228</v>
      </c>
      <c r="B20" s="39" t="s">
        <v>46</v>
      </c>
      <c r="C20" s="40" t="s">
        <v>35</v>
      </c>
      <c r="D20" s="41" t="s">
        <v>221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5">
        <f>IF(COUNT(E20:P20)=0,"",AVERAGE(E20:P20))</f>
        <v>0</v>
      </c>
      <c r="R20" s="46">
        <f>IF(COUNT(E20:P20)=0,"",MIN(E20:P20))</f>
        <v>0</v>
      </c>
      <c r="S20" s="46">
        <f>IF(COUNT(E20:P20)=0,"",MAX(E20:P20))</f>
        <v>0</v>
      </c>
    </row>
    <row r="21" spans="1:24" ht="14" customHeight="1">
      <c r="A21" s="22" t="s">
        <v>229</v>
      </c>
      <c r="B21" s="33" t="s">
        <v>47</v>
      </c>
      <c r="C21" s="34" t="s">
        <v>35</v>
      </c>
      <c r="D21" s="35" t="s">
        <v>221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7">
        <f>IF(COUNT(E21:P21)=0,"",AVERAGE(E21:P21))</f>
        <v>0</v>
      </c>
      <c r="R21" s="38">
        <f>IF(COUNT(E21:P21)=0,"",MIN(E21:P21))</f>
        <v>0</v>
      </c>
      <c r="S21" s="38">
        <f>IF(COUNT(E21:P21)=0,"",MAX(E21:P21))</f>
        <v>0</v>
      </c>
      <c r="W21">
        <f>IFERROR(IF(INDEX('Limites'!$R:$R,MATCH(IF(gProdUS3="",gProdUS4,gProdUS3),'Limites'!$B:$B,0))="","",INDEX('Limites'!$R:$R,MATCH(IF(gProdUS3="",gProdUS4,gProdUS3),'Limites'!$B:$B,0))),"")</f>
        <v>0</v>
      </c>
      <c r="X21">
        <f>IFERROR(IF(INDEX('Limites'!$S:$S,MATCH(IF(gProdUS3="",gProdUS4,gProdUS3),'Limites'!$B:$B,0))="","",INDEX('Limites'!$S:$S,MATCH(IF(gProdUS3="",gProdUS4,gProdUS3),'Limites'!$B:$B,0))),"")</f>
        <v>0</v>
      </c>
    </row>
    <row r="22" spans="1:24" ht="14" customHeight="1">
      <c r="A22" s="22" t="s">
        <v>230</v>
      </c>
      <c r="B22" s="39" t="s">
        <v>49</v>
      </c>
      <c r="C22" s="40" t="s">
        <v>50</v>
      </c>
      <c r="D22" s="41" t="s">
        <v>221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37">
        <f>IF(COUNT(E22:P22)=0,"",AVERAGE(E22:P22))</f>
        <v>0</v>
      </c>
      <c r="R22" s="43">
        <f>IF(COUNT(E22:P22)=0,"",MIN(E22:P22))</f>
        <v>0</v>
      </c>
      <c r="S22" s="43">
        <f>IF(COUNT(E22:P22)=0,"",MAX(E22:P22))</f>
        <v>0</v>
      </c>
    </row>
    <row r="23" spans="1:24">
      <c r="A23" s="22" t="s">
        <v>231</v>
      </c>
      <c r="B23" s="32" t="s">
        <v>51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</row>
    <row r="24" spans="1:24" ht="14" customHeight="1">
      <c r="A24" s="22" t="s">
        <v>232</v>
      </c>
      <c r="B24" s="33" t="s">
        <v>34</v>
      </c>
      <c r="C24" s="34" t="s">
        <v>35</v>
      </c>
      <c r="D24" s="35" t="s">
        <v>233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7">
        <f>IF(COUNT(E24:P24)=0,"",AVERAGE(E24:P24))</f>
        <v>0</v>
      </c>
      <c r="R24" s="38">
        <f>IF(COUNT(E24:P24)=0,"",MIN(E24:P24))</f>
        <v>0</v>
      </c>
      <c r="S24" s="38">
        <f>IF(COUNT(E24:P24)=0,"",MAX(E24:P24))</f>
        <v>0</v>
      </c>
      <c r="W24">
        <f>IFERROR(IF(INDEX('Limites'!$D:$D,MATCH(gProdUS3,'Limites'!$B:$B,0))="","",INDEX('Limites'!$D:$D,MATCH(gProdUS3,'Limites'!$B:$B,0))),"")</f>
        <v>0</v>
      </c>
      <c r="X24">
        <f>IFERROR(IF(INDEX('Limites'!$E:$E,MATCH(gProdUS3,'Limites'!$B:$B,0))="","",INDEX('Limites'!$E:$E,MATCH(gProdUS3,'Limites'!$B:$B,0))),"")</f>
        <v>0</v>
      </c>
    </row>
    <row r="25" spans="1:24" ht="14" customHeight="1">
      <c r="A25" s="22" t="s">
        <v>234</v>
      </c>
      <c r="B25" s="33"/>
      <c r="C25" s="34"/>
      <c r="D25" s="49" t="s">
        <v>235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7">
        <f>IF(COUNT(E25:P25)=0,"",AVERAGE(E25:P25))</f>
        <v>0</v>
      </c>
      <c r="R25" s="38">
        <f>IF(COUNT(E25:P25)=0,"",MIN(E25:P25))</f>
        <v>0</v>
      </c>
      <c r="S25" s="38">
        <f>IF(COUNT(E25:P25)=0,"",MAX(E25:P25))</f>
        <v>0</v>
      </c>
      <c r="W25">
        <f>IFERROR(IF(INDEX('Limites'!$D:$D,MATCH(gProdUS4,'Limites'!$B:$B,0))="","",INDEX('Limites'!$D:$D,MATCH(gProdUS4,'Limites'!$B:$B,0))),"")</f>
        <v>0</v>
      </c>
      <c r="X25">
        <f>IFERROR(IF(INDEX('Limites'!$E:$E,MATCH(gProdUS4,'Limites'!$B:$B,0))="","",INDEX('Limites'!$E:$E,MATCH(gProdUS4,'Limites'!$B:$B,0))),"")</f>
        <v>0</v>
      </c>
    </row>
    <row r="26" spans="1:24" ht="14" customHeight="1">
      <c r="A26" s="22" t="s">
        <v>236</v>
      </c>
      <c r="B26" s="39" t="s">
        <v>38</v>
      </c>
      <c r="C26" s="40" t="s">
        <v>35</v>
      </c>
      <c r="D26" s="41" t="s">
        <v>233</v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37">
        <f>IF(COUNT(E26:P26)=0,"",AVERAGE(E26:P26))</f>
        <v>0</v>
      </c>
      <c r="R26" s="43">
        <f>IF(COUNT(E26:P26)=0,"",MIN(E26:P26))</f>
        <v>0</v>
      </c>
      <c r="S26" s="43">
        <f>IF(COUNT(E26:P26)=0,"",MAX(E26:P26))</f>
        <v>0</v>
      </c>
      <c r="W26">
        <f>IFERROR(IF(INDEX('Limites'!$F:$F,MATCH(gProdUS3,'Limites'!$B:$B,0))="","",INDEX('Limites'!$F:$F,MATCH(gProdUS3,'Limites'!$B:$B,0))),"")</f>
        <v>0</v>
      </c>
      <c r="X26">
        <f>IFERROR(IF(INDEX('Limites'!$G:$G,MATCH(gProdUS3,'Limites'!$B:$B,0))="","",INDEX('Limites'!$G:$G,MATCH(gProdUS3,'Limites'!$B:$B,0))),"")</f>
        <v>0</v>
      </c>
    </row>
    <row r="27" spans="1:24" ht="14" customHeight="1">
      <c r="A27" s="22" t="s">
        <v>237</v>
      </c>
      <c r="B27" s="39"/>
      <c r="C27" s="40"/>
      <c r="D27" s="50" t="s">
        <v>235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7">
        <f>IF(COUNT(E27:P27)=0,"",AVERAGE(E27:P27))</f>
        <v>0</v>
      </c>
      <c r="R27" s="43">
        <f>IF(COUNT(E27:P27)=0,"",MIN(E27:P27))</f>
        <v>0</v>
      </c>
      <c r="S27" s="43">
        <f>IF(COUNT(E27:P27)=0,"",MAX(E27:P27))</f>
        <v>0</v>
      </c>
      <c r="W27">
        <f>IFERROR(IF(INDEX('Limites'!$F:$F,MATCH(gProdUS4,'Limites'!$B:$B,0))="","",INDEX('Limites'!$F:$F,MATCH(gProdUS4,'Limites'!$B:$B,0))),"")</f>
        <v>0</v>
      </c>
      <c r="X27">
        <f>IFERROR(IF(INDEX('Limites'!$G:$G,MATCH(gProdUS4,'Limites'!$B:$B,0))="","",INDEX('Limites'!$G:$G,MATCH(gProdUS4,'Limites'!$B:$B,0))),"")</f>
        <v>0</v>
      </c>
    </row>
    <row r="28" spans="1:24" ht="14" customHeight="1">
      <c r="A28" s="22" t="s">
        <v>238</v>
      </c>
      <c r="B28" s="33" t="s">
        <v>40</v>
      </c>
      <c r="C28" s="34" t="s">
        <v>35</v>
      </c>
      <c r="D28" s="35" t="s">
        <v>233</v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7">
        <f>IF(COUNT(E28:P28)=0,"",AVERAGE(E28:P28))</f>
        <v>0</v>
      </c>
      <c r="R28" s="38">
        <f>IF(COUNT(E28:P28)=0,"",MIN(E28:P28))</f>
        <v>0</v>
      </c>
      <c r="S28" s="38">
        <f>IF(COUNT(E28:P28)=0,"",MAX(E28:P28))</f>
        <v>0</v>
      </c>
    </row>
    <row r="29" spans="1:24" ht="14" customHeight="1">
      <c r="A29" s="22" t="s">
        <v>239</v>
      </c>
      <c r="B29" s="33"/>
      <c r="C29" s="34"/>
      <c r="D29" s="49" t="s">
        <v>235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7">
        <f>IF(COUNT(E29:P29)=0,"",AVERAGE(E29:P29))</f>
        <v>0</v>
      </c>
      <c r="R29" s="38">
        <f>IF(COUNT(E29:P29)=0,"",MIN(E29:P29))</f>
        <v>0</v>
      </c>
      <c r="S29" s="38">
        <f>IF(COUNT(E29:P29)=0,"",MAX(E29:P29))</f>
        <v>0</v>
      </c>
    </row>
    <row r="30" spans="1:24" ht="14" customHeight="1">
      <c r="A30" s="22" t="s">
        <v>240</v>
      </c>
      <c r="B30" s="39" t="s">
        <v>41</v>
      </c>
      <c r="C30" s="40" t="s">
        <v>35</v>
      </c>
      <c r="D30" s="41" t="s">
        <v>233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37">
        <f>IF(COUNT(E30:P30)=0,"",AVERAGE(E30:P30))</f>
        <v>0</v>
      </c>
      <c r="R30" s="43">
        <f>IF(COUNT(E30:P30)=0,"",MIN(E30:P30))</f>
        <v>0</v>
      </c>
      <c r="S30" s="43">
        <f>IF(COUNT(E30:P30)=0,"",MAX(E30:P30))</f>
        <v>0</v>
      </c>
      <c r="W30">
        <f>IFERROR(IF(INDEX('Limites'!$J:$J,MATCH(gProdUS3,'Limites'!$B:$B,0))="","",INDEX('Limites'!$J:$J,MATCH(gProdUS3,'Limites'!$B:$B,0))),"")</f>
        <v>0</v>
      </c>
      <c r="X30">
        <f>IFERROR(IF(INDEX('Limites'!$K:$K,MATCH(gProdUS3,'Limites'!$B:$B,0))="","",INDEX('Limites'!$K:$K,MATCH(gProdUS3,'Limites'!$B:$B,0))),"")</f>
        <v>0</v>
      </c>
    </row>
    <row r="31" spans="1:24" ht="14" customHeight="1">
      <c r="A31" s="22" t="s">
        <v>241</v>
      </c>
      <c r="B31" s="39"/>
      <c r="C31" s="40"/>
      <c r="D31" s="50" t="s">
        <v>235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37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  <c r="W31">
        <f>IFERROR(IF(INDEX('Limites'!$J:$J,MATCH(gProdUS4,'Limites'!$B:$B,0))="","",INDEX('Limites'!$J:$J,MATCH(gProdUS4,'Limites'!$B:$B,0))),"")</f>
        <v>0</v>
      </c>
      <c r="X31">
        <f>IFERROR(IF(INDEX('Limites'!$K:$K,MATCH(gProdUS4,'Limites'!$B:$B,0))="","",INDEX('Limites'!$K:$K,MATCH(gProdUS4,'Limites'!$B:$B,0))),"")</f>
        <v>0</v>
      </c>
    </row>
    <row r="32" spans="1:24" ht="14" customHeight="1">
      <c r="A32" s="22" t="s">
        <v>242</v>
      </c>
      <c r="B32" s="33" t="s">
        <v>43</v>
      </c>
      <c r="C32" s="34" t="s">
        <v>35</v>
      </c>
      <c r="D32" s="35" t="s">
        <v>233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7">
        <f>IF(COUNT(E32:P32)=0,"",AVERAGE(E32:P32))</f>
        <v>0</v>
      </c>
      <c r="R32" s="38">
        <f>IF(COUNT(E32:P32)=0,"",MIN(E32:P32))</f>
        <v>0</v>
      </c>
      <c r="S32" s="38">
        <f>IF(COUNT(E32:P32)=0,"",MAX(E32:P32))</f>
        <v>0</v>
      </c>
    </row>
    <row r="33" spans="1:24" ht="14" customHeight="1">
      <c r="A33" s="22" t="s">
        <v>243</v>
      </c>
      <c r="B33" s="33"/>
      <c r="C33" s="34"/>
      <c r="D33" s="49" t="s">
        <v>235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7">
        <f>IF(COUNT(E33:P33)=0,"",AVERAGE(E33:P33))</f>
        <v>0</v>
      </c>
      <c r="R33" s="38">
        <f>IF(COUNT(E33:P33)=0,"",MIN(E33:P33))</f>
        <v>0</v>
      </c>
      <c r="S33" s="38">
        <f>IF(COUNT(E33:P33)=0,"",MAX(E33:P33))</f>
        <v>0</v>
      </c>
    </row>
    <row r="34" spans="1:24" ht="14" customHeight="1">
      <c r="A34" s="22" t="s">
        <v>244</v>
      </c>
      <c r="B34" s="39" t="s">
        <v>56</v>
      </c>
      <c r="C34" s="40" t="s">
        <v>50</v>
      </c>
      <c r="D34" s="41" t="s">
        <v>233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37">
        <f>IF(COUNT(E34:P34)=0,"",AVERAGE(E34:P34))</f>
        <v>0</v>
      </c>
      <c r="R34" s="43">
        <f>IF(COUNT(E34:P34)=0,"",MIN(E34:P34))</f>
        <v>0</v>
      </c>
      <c r="S34" s="43">
        <f>IF(COUNT(E34:P34)=0,"",MAX(E34:P34))</f>
        <v>0</v>
      </c>
      <c r="W34">
        <f>IFERROR(IF(INDEX('Limites'!$L:$L,MATCH(gProdUS3,'Limites'!$B:$B,0))="","",INDEX('Limites'!$L:$L,MATCH(gProdUS3,'Limites'!$B:$B,0))),"")</f>
        <v>0</v>
      </c>
      <c r="X34">
        <f>IFERROR(IF(INDEX('Limites'!$M:$M,MATCH(gProdUS3,'Limites'!$B:$B,0))="","",INDEX('Limites'!$M:$M,MATCH(gProdUS3,'Limites'!$B:$B,0))),"")</f>
        <v>0</v>
      </c>
    </row>
    <row r="35" spans="1:24" ht="14" customHeight="1">
      <c r="A35" s="22" t="s">
        <v>245</v>
      </c>
      <c r="B35" s="39"/>
      <c r="C35" s="40"/>
      <c r="D35" s="50" t="s">
        <v>235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37">
        <f>IF(COUNT(E35:P35)=0,"",AVERAGE(E35:P35))</f>
        <v>0</v>
      </c>
      <c r="R35" s="43">
        <f>IF(COUNT(E35:P35)=0,"",MIN(E35:P35))</f>
        <v>0</v>
      </c>
      <c r="S35" s="43">
        <f>IF(COUNT(E35:P35)=0,"",MAX(E35:P35))</f>
        <v>0</v>
      </c>
      <c r="W35">
        <f>IFERROR(IF(INDEX('Limites'!$L:$L,MATCH(gProdUS4,'Limites'!$B:$B,0))="","",INDEX('Limites'!$L:$L,MATCH(gProdUS4,'Limites'!$B:$B,0))),"")</f>
        <v>0</v>
      </c>
      <c r="X35">
        <f>IFERROR(IF(INDEX('Limites'!$M:$M,MATCH(gProdUS4,'Limites'!$B:$B,0))="","",INDEX('Limites'!$M:$M,MATCH(gProdUS4,'Limites'!$B:$B,0))),"")</f>
        <v>0</v>
      </c>
    </row>
    <row r="36" spans="1:24" ht="14" customHeight="1">
      <c r="A36" s="22" t="s">
        <v>246</v>
      </c>
      <c r="B36" s="33" t="s">
        <v>59</v>
      </c>
      <c r="C36" s="34" t="s">
        <v>60</v>
      </c>
      <c r="D36" s="35" t="s">
        <v>233</v>
      </c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2">
        <f>IF(COUNT(E36:P36)=0,"",AVERAGE(E36:P36))</f>
        <v>0</v>
      </c>
      <c r="R36" s="53">
        <f>IF(COUNT(E36:P36)=0,"",MIN(E36:P36))</f>
        <v>0</v>
      </c>
      <c r="S36" s="53">
        <f>IF(COUNT(E36:P36)=0,"",MAX(E36:P36))</f>
        <v>0</v>
      </c>
    </row>
    <row r="37" spans="1:24" ht="14" customHeight="1">
      <c r="A37" s="22" t="s">
        <v>247</v>
      </c>
      <c r="B37" s="33"/>
      <c r="C37" s="34"/>
      <c r="D37" s="49" t="s">
        <v>235</v>
      </c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2">
        <f>IF(COUNT(E37:P37)=0,"",AVERAGE(E37:P37))</f>
        <v>0</v>
      </c>
      <c r="R37" s="53">
        <f>IF(COUNT(E37:P37)=0,"",MIN(E37:P37))</f>
        <v>0</v>
      </c>
      <c r="S37" s="53">
        <f>IF(COUNT(E37:P37)=0,"",MAX(E37:P37))</f>
        <v>0</v>
      </c>
    </row>
    <row r="38" spans="1:24" ht="14" customHeight="1">
      <c r="A38" s="22" t="s">
        <v>248</v>
      </c>
      <c r="B38" s="39" t="s">
        <v>63</v>
      </c>
      <c r="C38" s="40" t="s">
        <v>35</v>
      </c>
      <c r="D38" s="41" t="s">
        <v>233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37">
        <f>IF(COUNT(E38:P38)=0,"",AVERAGE(E38:P38))</f>
        <v>0</v>
      </c>
      <c r="R38" s="43">
        <f>IF(COUNT(E38:P38)=0,"",MIN(E38:P38))</f>
        <v>0</v>
      </c>
      <c r="S38" s="43">
        <f>IF(COUNT(E38:P38)=0,"",MAX(E38:P38))</f>
        <v>0</v>
      </c>
    </row>
    <row r="39" spans="1:24" ht="14" customHeight="1">
      <c r="A39" s="22" t="s">
        <v>249</v>
      </c>
      <c r="B39" s="39"/>
      <c r="C39" s="40"/>
      <c r="D39" s="50" t="s">
        <v>235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37">
        <f>IF(COUNT(E39:P39)=0,"",AVERAGE(E39:P39))</f>
        <v>0</v>
      </c>
      <c r="R39" s="43">
        <f>IF(COUNT(E39:P39)=0,"",MIN(E39:P39))</f>
        <v>0</v>
      </c>
      <c r="S39" s="43">
        <f>IF(COUNT(E39:P39)=0,"",MAX(E39:P39))</f>
        <v>0</v>
      </c>
    </row>
    <row r="40" spans="1:24" ht="14" customHeight="1">
      <c r="A40" s="22" t="s">
        <v>250</v>
      </c>
      <c r="B40" s="33" t="s">
        <v>44</v>
      </c>
      <c r="C40" s="34" t="s">
        <v>35</v>
      </c>
      <c r="D40" s="35" t="s">
        <v>233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5">
        <f>IF(COUNT(E40:P40)=0,"",AVERAGE(E40:P40))</f>
        <v>0</v>
      </c>
      <c r="R40" s="48">
        <f>IF(COUNT(E40:P40)=0,"",MIN(E40:P40))</f>
        <v>0</v>
      </c>
      <c r="S40" s="48">
        <f>IF(COUNT(E40:P40)=0,"",MAX(E40:P40))</f>
        <v>0</v>
      </c>
      <c r="W40">
        <f>IFERROR(IF(INDEX('Limites'!$H:$H,MATCH(gProdUS3,'Limites'!$B:$B,0))="","",INDEX('Limites'!$H:$H,MATCH(gProdUS3,'Limites'!$B:$B,0))),"")</f>
        <v>0</v>
      </c>
      <c r="X40">
        <f>IFERROR(IF(INDEX('Limites'!$I:$I,MATCH(gProdUS3,'Limites'!$B:$B,0))="","",INDEX('Limites'!$I:$I,MATCH(gProdUS3,'Limites'!$B:$B,0))),"")</f>
        <v>0</v>
      </c>
    </row>
    <row r="41" spans="1:24" ht="14" customHeight="1">
      <c r="A41" s="22" t="s">
        <v>251</v>
      </c>
      <c r="B41" s="33"/>
      <c r="C41" s="34"/>
      <c r="D41" s="49" t="s">
        <v>235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5">
        <f>IF(COUNT(E41:P41)=0,"",AVERAGE(E41:P41))</f>
        <v>0</v>
      </c>
      <c r="R41" s="48">
        <f>IF(COUNT(E41:P41)=0,"",MIN(E41:P41))</f>
        <v>0</v>
      </c>
      <c r="S41" s="48">
        <f>IF(COUNT(E41:P41)=0,"",MAX(E41:P41))</f>
        <v>0</v>
      </c>
      <c r="W41">
        <f>IFERROR(IF(INDEX('Limites'!$H:$H,MATCH(gProdUS4,'Limites'!$B:$B,0))="","",INDEX('Limites'!$H:$H,MATCH(gProdUS4,'Limites'!$B:$B,0))),"")</f>
        <v>0</v>
      </c>
      <c r="X41">
        <f>IFERROR(IF(INDEX('Limites'!$I:$I,MATCH(gProdUS4,'Limites'!$B:$B,0))="","",INDEX('Limites'!$I:$I,MATCH(gProdUS4,'Limites'!$B:$B,0))),"")</f>
        <v>0</v>
      </c>
    </row>
    <row r="42" spans="1:24" ht="14" customHeight="1">
      <c r="A42" s="22" t="s">
        <v>252</v>
      </c>
      <c r="B42" s="39" t="s">
        <v>45</v>
      </c>
      <c r="C42" s="40" t="s">
        <v>35</v>
      </c>
      <c r="D42" s="41" t="s">
        <v>233</v>
      </c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5">
        <f>IF(COUNT(E42:P42)=0,"",AVERAGE(E42:P42))</f>
        <v>0</v>
      </c>
      <c r="R42" s="46">
        <f>IF(COUNT(E42:P42)=0,"",MIN(E42:P42))</f>
        <v>0</v>
      </c>
      <c r="S42" s="46">
        <f>IF(COUNT(E42:P42)=0,"",MAX(E42:P42))</f>
        <v>0</v>
      </c>
    </row>
    <row r="43" spans="1:24" ht="14" customHeight="1">
      <c r="A43" s="22" t="s">
        <v>253</v>
      </c>
      <c r="B43" s="39"/>
      <c r="C43" s="40"/>
      <c r="D43" s="50" t="s">
        <v>235</v>
      </c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5">
        <f>IF(COUNT(E43:P43)=0,"",AVERAGE(E43:P43))</f>
        <v>0</v>
      </c>
      <c r="R43" s="46">
        <f>IF(COUNT(E43:P43)=0,"",MIN(E43:P43))</f>
        <v>0</v>
      </c>
      <c r="S43" s="46">
        <f>IF(COUNT(E43:P43)=0,"",MAX(E43:P43))</f>
        <v>0</v>
      </c>
    </row>
    <row r="44" spans="1:24" ht="14" customHeight="1">
      <c r="A44" s="22" t="s">
        <v>254</v>
      </c>
      <c r="B44" s="33" t="s">
        <v>46</v>
      </c>
      <c r="C44" s="34" t="s">
        <v>35</v>
      </c>
      <c r="D44" s="35" t="s">
        <v>233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5">
        <f>IF(COUNT(E44:P44)=0,"",AVERAGE(E44:P44))</f>
        <v>0</v>
      </c>
      <c r="R44" s="48">
        <f>IF(COUNT(E44:P44)=0,"",MIN(E44:P44))</f>
        <v>0</v>
      </c>
      <c r="S44" s="48">
        <f>IF(COUNT(E44:P44)=0,"",MAX(E44:P44))</f>
        <v>0</v>
      </c>
    </row>
    <row r="45" spans="1:24" ht="14" customHeight="1">
      <c r="A45" s="22" t="s">
        <v>255</v>
      </c>
      <c r="B45" s="33"/>
      <c r="C45" s="34"/>
      <c r="D45" s="49" t="s">
        <v>235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5">
        <f>IF(COUNT(E45:P45)=0,"",AVERAGE(E45:P45))</f>
        <v>0</v>
      </c>
      <c r="R45" s="48">
        <f>IF(COUNT(E45:P45)=0,"",MIN(E45:P45))</f>
        <v>0</v>
      </c>
      <c r="S45" s="48">
        <f>IF(COUNT(E45:P45)=0,"",MAX(E45:P45))</f>
        <v>0</v>
      </c>
    </row>
    <row r="46" spans="1:24" ht="16" customHeight="1">
      <c r="B46" s="60" t="s">
        <v>277</v>
      </c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</row>
  </sheetData>
  <sheetProtection sheet="1" objects="1" scenarios="1" formatColumns="0" formatRows="0"/>
  <mergeCells count="35">
    <mergeCell ref="D2:S2"/>
    <mergeCell ref="D3:S3"/>
    <mergeCell ref="C6:D6"/>
    <mergeCell ref="E6:G6"/>
    <mergeCell ref="I6:K6"/>
    <mergeCell ref="L6:S6"/>
    <mergeCell ref="C8:D8"/>
    <mergeCell ref="C9:D9"/>
    <mergeCell ref="E8:J9"/>
    <mergeCell ref="B10:S10"/>
    <mergeCell ref="B12:S12"/>
    <mergeCell ref="B23:S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S46"/>
  </mergeCells>
  <conditionalFormatting sqref="E14:Q14">
    <cfRule type="expression" dxfId="1" priority="1">
      <formula>AND(ISNUMBER(E14),OR(AND(ISNUMBER($W14),ROUND(E14,2)&lt;$W14),AND(ISNUMBER($X14),ROUND(E14,2)&gt;$X14)))</formula>
    </cfRule>
    <cfRule type="expression" dxfId="2" priority="2">
      <formula>AND(ISNUMBER(E14),OR(ISNUMBER($W14),ISNUMBER($X14)),NOT(OR(AND(ISNUMBER($W14),ROUND(E14,2)&lt;$W14),AND(ISNUMBER($X14),ROUND(E14,2)&gt;$X14))))</formula>
    </cfRule>
  </conditionalFormatting>
  <conditionalFormatting sqref="E18:Q18">
    <cfRule type="expression" dxfId="1" priority="3">
      <formula>AND(ISNUMBER(E18),OR(AND(ISNUMBER($W18),ROUND(E18,3)&lt;$W18),AND(ISNUMBER($X18),ROUND(E18,3)&gt;$X18)))</formula>
    </cfRule>
    <cfRule type="expression" dxfId="2" priority="4">
      <formula>AND(ISNUMBER(E18),OR(ISNUMBER($W18),ISNUMBER($X18)),NOT(OR(AND(ISNUMBER($W18),ROUND(E18,3)&lt;$W18),AND(ISNUMBER($X18),ROUND(E18,3)&gt;$X18))))</formula>
    </cfRule>
  </conditionalFormatting>
  <conditionalFormatting sqref="E21:Q21">
    <cfRule type="expression" dxfId="1" priority="5">
      <formula>AND(ISNUMBER(E21),OR(AND(ISNUMBER($W21),ROUND(E21,2)&lt;$W21),AND(ISNUMBER($X21),ROUND(E21,2)&gt;$X21)))</formula>
    </cfRule>
    <cfRule type="expression" dxfId="2" priority="6">
      <formula>AND(ISNUMBER(E21),OR(ISNUMBER($W21),ISNUMBER($X21)),NOT(OR(AND(ISNUMBER($W21),ROUND(E21,2)&lt;$W21),AND(ISNUMBER($X21),ROUND(E21,2)&gt;$X21))))</formula>
    </cfRule>
  </conditionalFormatting>
  <conditionalFormatting sqref="E24:Q24">
    <cfRule type="expression" dxfId="1" priority="7">
      <formula>AND(ISNUMBER(E24),OR(AND(ISNUMBER($W24),ROUND(E24,2)&lt;$W24),AND(ISNUMBER($X24),ROUND(E24,2)&gt;$X24)))</formula>
    </cfRule>
    <cfRule type="expression" dxfId="2" priority="8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9">
      <formula>AND(ISNUMBER(E25),OR(AND(ISNUMBER($W25),ROUND(E25,2)&lt;$W25),AND(ISNUMBER($X25),ROUND(E25,2)&gt;$X25)))</formula>
    </cfRule>
    <cfRule type="expression" dxfId="2" priority="10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1">
      <formula>AND(ISNUMBER(E26),OR(AND(ISNUMBER($W26),ROUND(E26,2)&lt;$W26),AND(ISNUMBER($X26),ROUND(E26,2)&gt;$X26)))</formula>
    </cfRule>
    <cfRule type="expression" dxfId="2" priority="12">
      <formula>AND(ISNUMBER(E26),OR(ISNUMBER($W26),ISNUMBER($X26)),NOT(OR(AND(ISNUMBER($W26),ROUND(E26,2)&lt;$W26),AND(ISNUMBER($X26),ROUND(E26,2)&gt;$X26))))</formula>
    </cfRule>
  </conditionalFormatting>
  <conditionalFormatting sqref="E27:Q27">
    <cfRule type="expression" dxfId="1" priority="13">
      <formula>AND(ISNUMBER(E27),OR(AND(ISNUMBER($W27),ROUND(E27,2)&lt;$W27),AND(ISNUMBER($X27),ROUND(E27,2)&gt;$X27)))</formula>
    </cfRule>
    <cfRule type="expression" dxfId="2" priority="14">
      <formula>AND(ISNUMBER(E27),OR(ISNUMBER($W27),ISNUMBER($X27)),NOT(OR(AND(ISNUMBER($W27),ROUND(E27,2)&lt;$W27),AND(ISNUMBER($X27),ROUND(E27,2)&gt;$X27))))</formula>
    </cfRule>
  </conditionalFormatting>
  <conditionalFormatting sqref="E30:Q30">
    <cfRule type="expression" dxfId="1" priority="15">
      <formula>AND(ISNUMBER(E30),OR(AND(ISNUMBER($W30),ROUND(E30,2)&lt;$W30),AND(ISNUMBER($X30),ROUND(E30,2)&gt;$X30)))</formula>
    </cfRule>
    <cfRule type="expression" dxfId="2" priority="16">
      <formula>AND(ISNUMBER(E30),OR(ISNUMBER($W30),ISNUMBER($X30)),NOT(OR(AND(ISNUMBER($W30),ROUND(E30,2)&lt;$W30),AND(ISNUMBER($X30),ROUND(E30,2)&gt;$X30))))</formula>
    </cfRule>
  </conditionalFormatting>
  <conditionalFormatting sqref="E31:Q31">
    <cfRule type="expression" dxfId="1" priority="17">
      <formula>AND(ISNUMBER(E31),OR(AND(ISNUMBER($W31),ROUND(E31,2)&lt;$W31),AND(ISNUMBER($X31),ROUND(E31,2)&gt;$X31)))</formula>
    </cfRule>
    <cfRule type="expression" dxfId="2" priority="18">
      <formula>AND(ISNUMBER(E31),OR(ISNUMBER($W31),ISNUMBER($X31)),NOT(OR(AND(ISNUMBER($W31),ROUND(E31,2)&lt;$W31),AND(ISNUMBER($X31),ROUND(E31,2)&gt;$X31))))</formula>
    </cfRule>
  </conditionalFormatting>
  <conditionalFormatting sqref="E34:Q34">
    <cfRule type="expression" dxfId="1" priority="19">
      <formula>AND(ISNUMBER(E34),OR(AND(ISNUMBER($W34),ROUND(E34,2)&lt;$W34),AND(ISNUMBER($X34),ROUND(E34,2)&gt;$X34)))</formula>
    </cfRule>
    <cfRule type="expression" dxfId="2" priority="20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21">
      <formula>AND(ISNUMBER(E35),OR(AND(ISNUMBER($W35),ROUND(E35,2)&lt;$W35),AND(ISNUMBER($X35),ROUND(E35,2)&gt;$X35)))</formula>
    </cfRule>
    <cfRule type="expression" dxfId="2" priority="22">
      <formula>AND(ISNUMBER(E35),OR(ISNUMBER($W35),ISNUMBER($X35)),NOT(OR(AND(ISNUMBER($W35),ROUND(E35,2)&lt;$W35),AND(ISNUMBER($X35),ROUND(E35,2)&gt;$X35))))</formula>
    </cfRule>
  </conditionalFormatting>
  <conditionalFormatting sqref="E40:Q40">
    <cfRule type="expression" dxfId="1" priority="23">
      <formula>AND(ISNUMBER(E40),OR(AND(ISNUMBER($W40),ROUND(E40,3)&lt;$W40),AND(ISNUMBER($X40),ROUND(E40,3)&gt;$X40)))</formula>
    </cfRule>
    <cfRule type="expression" dxfId="2" priority="24">
      <formula>AND(ISNUMBER(E40),OR(ISNUMBER($W40),ISNUMBER($X40)),NOT(OR(AND(ISNUMBER($W40),ROUND(E40,3)&lt;$W40),AND(ISNUMBER($X40),ROUND(E40,3)&gt;$X40))))</formula>
    </cfRule>
  </conditionalFormatting>
  <conditionalFormatting sqref="E41:Q41">
    <cfRule type="expression" dxfId="1" priority="25">
      <formula>AND(ISNUMBER(E41),OR(AND(ISNUMBER($W41),ROUND(E41,3)&lt;$W41),AND(ISNUMBER($X41),ROUND(E41,3)&gt;$X41)))</formula>
    </cfRule>
    <cfRule type="expression" dxfId="2" priority="26">
      <formula>AND(ISNUMBER(E41),OR(ISNUMBER($W41),ISNUMBER($X41)),NOT(OR(AND(ISNUMBER($W41),ROUND(E41,3)&lt;$W41),AND(ISNUMBER($X41),ROUND(E41,3)&gt;$X41))))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◀ 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6" customHeight="1"/>
    <row r="2" spans="2:19" ht="26" customHeight="1">
      <c r="B2" s="1"/>
      <c r="C2" s="1"/>
      <c r="D2" s="2" t="s">
        <v>98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0" customHeight="1">
      <c r="B3" s="1"/>
      <c r="C3" s="1"/>
      <c r="D3" s="3" t="s">
        <v>99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44" customHeight="1">
      <c r="B6" s="61" t="s">
        <v>100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</row>
    <row r="7" spans="2:19" ht="30" customHeight="1">
      <c r="B7" s="62" t="s">
        <v>101</v>
      </c>
      <c r="C7" s="62" t="s">
        <v>102</v>
      </c>
      <c r="D7" s="62" t="s">
        <v>103</v>
      </c>
      <c r="E7" s="62"/>
      <c r="F7" s="62"/>
      <c r="G7" s="62"/>
      <c r="H7" s="62"/>
      <c r="I7" s="62"/>
      <c r="J7" s="62"/>
      <c r="K7" s="62"/>
      <c r="L7" s="62"/>
      <c r="M7" s="62"/>
      <c r="N7" s="62" t="s">
        <v>104</v>
      </c>
      <c r="O7" s="62"/>
      <c r="P7" s="62"/>
      <c r="Q7" s="62"/>
      <c r="R7" s="62"/>
      <c r="S7" s="62"/>
    </row>
    <row r="8" spans="2:19">
      <c r="B8" s="62"/>
      <c r="C8" s="62"/>
      <c r="D8" s="63" t="s">
        <v>105</v>
      </c>
      <c r="E8" s="63" t="s">
        <v>106</v>
      </c>
      <c r="F8" s="63" t="s">
        <v>107</v>
      </c>
      <c r="G8" s="63" t="s">
        <v>108</v>
      </c>
      <c r="H8" s="63" t="s">
        <v>109</v>
      </c>
      <c r="I8" s="63" t="s">
        <v>110</v>
      </c>
      <c r="J8" s="63" t="s">
        <v>111</v>
      </c>
      <c r="K8" s="63" t="s">
        <v>112</v>
      </c>
      <c r="L8" s="63" t="s">
        <v>113</v>
      </c>
      <c r="M8" s="63" t="s">
        <v>114</v>
      </c>
      <c r="N8" s="63" t="s">
        <v>107</v>
      </c>
      <c r="O8" s="63" t="s">
        <v>108</v>
      </c>
      <c r="P8" s="63" t="s">
        <v>109</v>
      </c>
      <c r="Q8" s="63" t="s">
        <v>110</v>
      </c>
      <c r="R8" s="63" t="s">
        <v>115</v>
      </c>
      <c r="S8" s="63" t="s">
        <v>116</v>
      </c>
    </row>
    <row r="9" spans="2:19" ht="17" customHeight="1">
      <c r="B9" s="64" t="s">
        <v>117</v>
      </c>
      <c r="C9" s="65" t="s">
        <v>118</v>
      </c>
      <c r="D9" s="66">
        <v>67.39</v>
      </c>
      <c r="E9" s="66"/>
      <c r="F9" s="66"/>
      <c r="G9" s="66">
        <v>1.54</v>
      </c>
      <c r="H9" s="67"/>
      <c r="I9" s="67">
        <v>0.05</v>
      </c>
      <c r="J9" s="66">
        <v>0.7</v>
      </c>
      <c r="K9" s="66"/>
      <c r="L9" s="66"/>
      <c r="M9" s="66"/>
      <c r="N9" s="66"/>
      <c r="O9" s="66">
        <v>1.36</v>
      </c>
      <c r="P9" s="67"/>
      <c r="Q9" s="67">
        <v>0.05</v>
      </c>
      <c r="R9" s="66"/>
      <c r="S9" s="66">
        <v>4.3</v>
      </c>
    </row>
    <row r="10" spans="2:19" ht="17" customHeight="1">
      <c r="B10" s="64" t="s">
        <v>119</v>
      </c>
      <c r="C10" s="65" t="s">
        <v>120</v>
      </c>
      <c r="D10" s="66">
        <v>67.19</v>
      </c>
      <c r="E10" s="66"/>
      <c r="F10" s="66"/>
      <c r="G10" s="66">
        <v>2.05</v>
      </c>
      <c r="H10" s="67"/>
      <c r="I10" s="67">
        <v>0.074</v>
      </c>
      <c r="J10" s="66">
        <v>0.65</v>
      </c>
      <c r="K10" s="66"/>
      <c r="L10" s="66"/>
      <c r="M10" s="66"/>
      <c r="N10" s="66"/>
      <c r="O10" s="66">
        <v>1.99</v>
      </c>
      <c r="P10" s="67"/>
      <c r="Q10" s="67">
        <v>0.075</v>
      </c>
      <c r="R10" s="66"/>
      <c r="S10" s="66">
        <v>4.3</v>
      </c>
    </row>
    <row r="11" spans="2:19" ht="17" customHeight="1">
      <c r="B11" s="64" t="s">
        <v>121</v>
      </c>
      <c r="C11" s="65" t="s">
        <v>122</v>
      </c>
      <c r="D11" s="66">
        <v>65.3</v>
      </c>
      <c r="E11" s="66"/>
      <c r="F11" s="66"/>
      <c r="G11" s="66">
        <v>3.45</v>
      </c>
      <c r="H11" s="67"/>
      <c r="I11" s="67">
        <v>0.074</v>
      </c>
      <c r="J11" s="66"/>
      <c r="K11" s="66"/>
      <c r="L11" s="66"/>
      <c r="M11" s="66">
        <v>0.55</v>
      </c>
      <c r="N11" s="66"/>
      <c r="O11" s="66">
        <v>2.5</v>
      </c>
      <c r="P11" s="67"/>
      <c r="Q11" s="67">
        <v>0.075</v>
      </c>
      <c r="R11" s="66"/>
      <c r="S11" s="66">
        <v>4.3</v>
      </c>
    </row>
    <row r="12" spans="2:19" ht="17" customHeight="1">
      <c r="B12" s="64" t="s">
        <v>123</v>
      </c>
      <c r="C12" s="65" t="s">
        <v>122</v>
      </c>
      <c r="D12" s="66">
        <v>65.09999999999999</v>
      </c>
      <c r="E12" s="66"/>
      <c r="F12" s="66"/>
      <c r="G12" s="66">
        <v>3.2</v>
      </c>
      <c r="H12" s="67"/>
      <c r="I12" s="67">
        <v>0.074</v>
      </c>
      <c r="J12" s="66"/>
      <c r="K12" s="66"/>
      <c r="L12" s="66">
        <v>0.75</v>
      </c>
      <c r="M12" s="66"/>
      <c r="N12" s="66"/>
      <c r="O12" s="66">
        <v>2.5</v>
      </c>
      <c r="P12" s="67"/>
      <c r="Q12" s="67">
        <v>0.075</v>
      </c>
      <c r="R12" s="66"/>
      <c r="S12" s="66">
        <v>4.3</v>
      </c>
    </row>
    <row r="13" spans="2:19" ht="17" customHeight="1">
      <c r="B13" s="64" t="s">
        <v>124</v>
      </c>
      <c r="C13" s="65" t="s">
        <v>120</v>
      </c>
      <c r="D13" s="66">
        <v>65.3</v>
      </c>
      <c r="E13" s="66"/>
      <c r="F13" s="66"/>
      <c r="G13" s="66">
        <v>2.8</v>
      </c>
      <c r="H13" s="67"/>
      <c r="I13" s="67">
        <v>0.074</v>
      </c>
      <c r="J13" s="66"/>
      <c r="K13" s="66"/>
      <c r="L13" s="66">
        <v>0.95</v>
      </c>
      <c r="M13" s="66"/>
      <c r="N13" s="66"/>
      <c r="O13" s="66">
        <v>1.99</v>
      </c>
      <c r="P13" s="67"/>
      <c r="Q13" s="67">
        <v>0.075</v>
      </c>
      <c r="R13" s="66"/>
      <c r="S13" s="66">
        <v>4.3</v>
      </c>
    </row>
    <row r="14" spans="2:19" ht="17" customHeight="1">
      <c r="B14" s="64" t="s">
        <v>125</v>
      </c>
      <c r="C14" s="65" t="s">
        <v>120</v>
      </c>
      <c r="D14" s="66">
        <v>65</v>
      </c>
      <c r="E14" s="66"/>
      <c r="F14" s="66"/>
      <c r="G14" s="66">
        <v>3</v>
      </c>
      <c r="H14" s="67"/>
      <c r="I14" s="67">
        <v>0.07199999999999999</v>
      </c>
      <c r="J14" s="66"/>
      <c r="K14" s="66"/>
      <c r="L14" s="66">
        <v>1.1</v>
      </c>
      <c r="M14" s="66"/>
      <c r="N14" s="66"/>
      <c r="O14" s="66">
        <v>1.99</v>
      </c>
      <c r="P14" s="67"/>
      <c r="Q14" s="67">
        <v>0.075</v>
      </c>
      <c r="R14" s="66"/>
      <c r="S14" s="66">
        <v>4.3</v>
      </c>
    </row>
    <row r="15" spans="2:19" ht="17" customHeight="1">
      <c r="B15" s="64" t="s">
        <v>126</v>
      </c>
      <c r="C15" s="65" t="s">
        <v>127</v>
      </c>
      <c r="D15" s="66">
        <v>63.5</v>
      </c>
      <c r="E15" s="66"/>
      <c r="F15" s="66"/>
      <c r="G15" s="66">
        <v>5.3</v>
      </c>
      <c r="H15" s="67"/>
      <c r="I15" s="67">
        <v>0.1</v>
      </c>
      <c r="J15" s="66"/>
      <c r="K15" s="66"/>
      <c r="L15" s="66">
        <v>0.4</v>
      </c>
      <c r="M15" s="66"/>
      <c r="N15" s="66"/>
      <c r="O15" s="66">
        <v>5.3</v>
      </c>
      <c r="P15" s="67"/>
      <c r="Q15" s="67">
        <v>0.11</v>
      </c>
      <c r="R15" s="66"/>
      <c r="S15" s="66">
        <v>4.3</v>
      </c>
    </row>
    <row r="16" spans="2:19" ht="17" customHeight="1">
      <c r="B16" s="64"/>
      <c r="C16" s="65"/>
      <c r="D16" s="66"/>
      <c r="E16" s="66"/>
      <c r="F16" s="66"/>
      <c r="G16" s="66"/>
      <c r="H16" s="67"/>
      <c r="I16" s="67"/>
      <c r="J16" s="66"/>
      <c r="K16" s="66"/>
      <c r="L16" s="66"/>
      <c r="M16" s="66"/>
      <c r="N16" s="66"/>
      <c r="O16" s="66"/>
      <c r="P16" s="67"/>
      <c r="Q16" s="67"/>
      <c r="R16" s="66"/>
      <c r="S16" s="66"/>
    </row>
    <row r="17" spans="2:19" ht="17" customHeight="1">
      <c r="B17" s="64"/>
      <c r="C17" s="65"/>
      <c r="D17" s="66"/>
      <c r="E17" s="66"/>
      <c r="F17" s="66"/>
      <c r="G17" s="66"/>
      <c r="H17" s="67"/>
      <c r="I17" s="67"/>
      <c r="J17" s="66"/>
      <c r="K17" s="66"/>
      <c r="L17" s="66"/>
      <c r="M17" s="66"/>
      <c r="N17" s="66"/>
      <c r="O17" s="66"/>
      <c r="P17" s="67"/>
      <c r="Q17" s="67"/>
      <c r="R17" s="66"/>
      <c r="S17" s="66"/>
    </row>
    <row r="18" spans="2:19" ht="17" customHeight="1">
      <c r="B18" s="64"/>
      <c r="C18" s="65"/>
      <c r="D18" s="66"/>
      <c r="E18" s="66"/>
      <c r="F18" s="66"/>
      <c r="G18" s="66"/>
      <c r="H18" s="67"/>
      <c r="I18" s="67"/>
      <c r="J18" s="66"/>
      <c r="K18" s="66"/>
      <c r="L18" s="66"/>
      <c r="M18" s="66"/>
      <c r="N18" s="66"/>
      <c r="O18" s="66"/>
      <c r="P18" s="67"/>
      <c r="Q18" s="67"/>
      <c r="R18" s="66"/>
      <c r="S18" s="66"/>
    </row>
    <row r="19" spans="2:19" ht="17" customHeight="1">
      <c r="B19" s="64"/>
      <c r="C19" s="65"/>
      <c r="D19" s="66"/>
      <c r="E19" s="66"/>
      <c r="F19" s="66"/>
      <c r="G19" s="66"/>
      <c r="H19" s="67"/>
      <c r="I19" s="67"/>
      <c r="J19" s="66"/>
      <c r="K19" s="66"/>
      <c r="L19" s="66"/>
      <c r="M19" s="66"/>
      <c r="N19" s="66"/>
      <c r="O19" s="66"/>
      <c r="P19" s="67"/>
      <c r="Q19" s="67"/>
      <c r="R19" s="66"/>
      <c r="S19" s="66"/>
    </row>
    <row r="20" spans="2:19" ht="17" customHeight="1">
      <c r="B20" s="64"/>
      <c r="C20" s="65"/>
      <c r="D20" s="66"/>
      <c r="E20" s="66"/>
      <c r="F20" s="66"/>
      <c r="G20" s="66"/>
      <c r="H20" s="67"/>
      <c r="I20" s="67"/>
      <c r="J20" s="66"/>
      <c r="K20" s="66"/>
      <c r="L20" s="66"/>
      <c r="M20" s="66"/>
      <c r="N20" s="66"/>
      <c r="O20" s="66"/>
      <c r="P20" s="67"/>
      <c r="Q20" s="67"/>
      <c r="R20" s="66"/>
      <c r="S20" s="66"/>
    </row>
    <row r="21" spans="2:19" ht="17" customHeight="1">
      <c r="B21" s="64"/>
      <c r="C21" s="65"/>
      <c r="D21" s="66"/>
      <c r="E21" s="66"/>
      <c r="F21" s="66"/>
      <c r="G21" s="66"/>
      <c r="H21" s="67"/>
      <c r="I21" s="67"/>
      <c r="J21" s="66"/>
      <c r="K21" s="66"/>
      <c r="L21" s="66"/>
      <c r="M21" s="66"/>
      <c r="N21" s="66"/>
      <c r="O21" s="66"/>
      <c r="P21" s="67"/>
      <c r="Q21" s="67"/>
      <c r="R21" s="66"/>
      <c r="S21" s="66"/>
    </row>
    <row r="22" spans="2:19" ht="17" customHeight="1">
      <c r="B22" s="64"/>
      <c r="C22" s="65"/>
      <c r="D22" s="66"/>
      <c r="E22" s="66"/>
      <c r="F22" s="66"/>
      <c r="G22" s="66"/>
      <c r="H22" s="67"/>
      <c r="I22" s="67"/>
      <c r="J22" s="66"/>
      <c r="K22" s="66"/>
      <c r="L22" s="66"/>
      <c r="M22" s="66"/>
      <c r="N22" s="66"/>
      <c r="O22" s="66"/>
      <c r="P22" s="67"/>
      <c r="Q22" s="67"/>
      <c r="R22" s="66"/>
      <c r="S22" s="66"/>
    </row>
    <row r="23" spans="2:19" ht="17" customHeight="1">
      <c r="B23" s="64"/>
      <c r="C23" s="65"/>
      <c r="D23" s="66"/>
      <c r="E23" s="66"/>
      <c r="F23" s="66"/>
      <c r="G23" s="66"/>
      <c r="H23" s="67"/>
      <c r="I23" s="67"/>
      <c r="J23" s="66"/>
      <c r="K23" s="66"/>
      <c r="L23" s="66"/>
      <c r="M23" s="66"/>
      <c r="N23" s="66"/>
      <c r="O23" s="66"/>
      <c r="P23" s="67"/>
      <c r="Q23" s="67"/>
      <c r="R23" s="66"/>
      <c r="S23" s="66"/>
    </row>
    <row r="24" spans="2:19" ht="17" customHeight="1">
      <c r="B24" s="64"/>
      <c r="C24" s="65"/>
      <c r="D24" s="66"/>
      <c r="E24" s="66"/>
      <c r="F24" s="66"/>
      <c r="G24" s="66"/>
      <c r="H24" s="67"/>
      <c r="I24" s="67"/>
      <c r="J24" s="66"/>
      <c r="K24" s="66"/>
      <c r="L24" s="66"/>
      <c r="M24" s="66"/>
      <c r="N24" s="66"/>
      <c r="O24" s="66"/>
      <c r="P24" s="67"/>
      <c r="Q24" s="67"/>
      <c r="R24" s="66"/>
      <c r="S24" s="66"/>
    </row>
    <row r="25" spans="2:19" ht="17" customHeight="1">
      <c r="B25" s="64"/>
      <c r="C25" s="65"/>
      <c r="D25" s="66"/>
      <c r="E25" s="66"/>
      <c r="F25" s="66"/>
      <c r="G25" s="66"/>
      <c r="H25" s="67"/>
      <c r="I25" s="67"/>
      <c r="J25" s="66"/>
      <c r="K25" s="66"/>
      <c r="L25" s="66"/>
      <c r="M25" s="66"/>
      <c r="N25" s="66"/>
      <c r="O25" s="66"/>
      <c r="P25" s="67"/>
      <c r="Q25" s="67"/>
      <c r="R25" s="66"/>
      <c r="S25" s="66"/>
    </row>
    <row r="26" spans="2:19" ht="17" customHeight="1">
      <c r="B26" s="64"/>
      <c r="C26" s="65"/>
      <c r="D26" s="66"/>
      <c r="E26" s="66"/>
      <c r="F26" s="66"/>
      <c r="G26" s="66"/>
      <c r="H26" s="67"/>
      <c r="I26" s="67"/>
      <c r="J26" s="66"/>
      <c r="K26" s="66"/>
      <c r="L26" s="66"/>
      <c r="M26" s="66"/>
      <c r="N26" s="66"/>
      <c r="O26" s="66"/>
      <c r="P26" s="67"/>
      <c r="Q26" s="67"/>
      <c r="R26" s="66"/>
      <c r="S26" s="66"/>
    </row>
    <row r="27" spans="2:19" ht="17" customHeight="1">
      <c r="B27" s="64"/>
      <c r="C27" s="65"/>
      <c r="D27" s="66"/>
      <c r="E27" s="66"/>
      <c r="F27" s="66"/>
      <c r="G27" s="66"/>
      <c r="H27" s="67"/>
      <c r="I27" s="67"/>
      <c r="J27" s="66"/>
      <c r="K27" s="66"/>
      <c r="L27" s="66"/>
      <c r="M27" s="66"/>
      <c r="N27" s="66"/>
      <c r="O27" s="66"/>
      <c r="P27" s="67"/>
      <c r="Q27" s="67"/>
      <c r="R27" s="66"/>
      <c r="S27" s="66"/>
    </row>
    <row r="28" spans="2:19" ht="17" customHeight="1">
      <c r="B28" s="64"/>
      <c r="C28" s="65"/>
      <c r="D28" s="66"/>
      <c r="E28" s="66"/>
      <c r="F28" s="66"/>
      <c r="G28" s="66"/>
      <c r="H28" s="67"/>
      <c r="I28" s="67"/>
      <c r="J28" s="66"/>
      <c r="K28" s="66"/>
      <c r="L28" s="66"/>
      <c r="M28" s="66"/>
      <c r="N28" s="66"/>
      <c r="O28" s="66"/>
      <c r="P28" s="67"/>
      <c r="Q28" s="67"/>
      <c r="R28" s="66"/>
      <c r="S28" s="66"/>
    </row>
    <row r="29" spans="2:19" ht="17" customHeight="1">
      <c r="B29" s="64"/>
      <c r="C29" s="65"/>
      <c r="D29" s="66"/>
      <c r="E29" s="66"/>
      <c r="F29" s="66"/>
      <c r="G29" s="66"/>
      <c r="H29" s="67"/>
      <c r="I29" s="67"/>
      <c r="J29" s="66"/>
      <c r="K29" s="66"/>
      <c r="L29" s="66"/>
      <c r="M29" s="66"/>
      <c r="N29" s="66"/>
      <c r="O29" s="66"/>
      <c r="P29" s="67"/>
      <c r="Q29" s="67"/>
      <c r="R29" s="66"/>
      <c r="S29" s="66"/>
    </row>
    <row r="30" spans="2:19" ht="17" customHeight="1">
      <c r="B30" s="64"/>
      <c r="C30" s="65"/>
      <c r="D30" s="66"/>
      <c r="E30" s="66"/>
      <c r="F30" s="66"/>
      <c r="G30" s="66"/>
      <c r="H30" s="67"/>
      <c r="I30" s="67"/>
      <c r="J30" s="66"/>
      <c r="K30" s="66"/>
      <c r="L30" s="66"/>
      <c r="M30" s="66"/>
      <c r="N30" s="66"/>
      <c r="O30" s="66"/>
      <c r="P30" s="67"/>
      <c r="Q30" s="67"/>
      <c r="R30" s="66"/>
      <c r="S30" s="66"/>
    </row>
    <row r="31" spans="2:19" ht="17" customHeight="1">
      <c r="B31" s="64"/>
      <c r="C31" s="65"/>
      <c r="D31" s="66"/>
      <c r="E31" s="66"/>
      <c r="F31" s="66"/>
      <c r="G31" s="66"/>
      <c r="H31" s="67"/>
      <c r="I31" s="67"/>
      <c r="J31" s="66"/>
      <c r="K31" s="66"/>
      <c r="L31" s="66"/>
      <c r="M31" s="66"/>
      <c r="N31" s="66"/>
      <c r="O31" s="66"/>
      <c r="P31" s="67"/>
      <c r="Q31" s="67"/>
      <c r="R31" s="66"/>
      <c r="S31" s="66"/>
    </row>
    <row r="32" spans="2:19" ht="17" customHeight="1">
      <c r="B32" s="64"/>
      <c r="C32" s="65"/>
      <c r="D32" s="66"/>
      <c r="E32" s="66"/>
      <c r="F32" s="66"/>
      <c r="G32" s="66"/>
      <c r="H32" s="67"/>
      <c r="I32" s="67"/>
      <c r="J32" s="66"/>
      <c r="K32" s="66"/>
      <c r="L32" s="66"/>
      <c r="M32" s="66"/>
      <c r="N32" s="66"/>
      <c r="O32" s="66"/>
      <c r="P32" s="67"/>
      <c r="Q32" s="67"/>
      <c r="R32" s="66"/>
      <c r="S32" s="66"/>
    </row>
    <row r="33" spans="2:19" ht="17" customHeight="1">
      <c r="B33" s="64"/>
      <c r="C33" s="65"/>
      <c r="D33" s="66"/>
      <c r="E33" s="66"/>
      <c r="F33" s="66"/>
      <c r="G33" s="66"/>
      <c r="H33" s="67"/>
      <c r="I33" s="67"/>
      <c r="J33" s="66"/>
      <c r="K33" s="66"/>
      <c r="L33" s="66"/>
      <c r="M33" s="66"/>
      <c r="N33" s="66"/>
      <c r="O33" s="66"/>
      <c r="P33" s="67"/>
      <c r="Q33" s="67"/>
      <c r="R33" s="66"/>
      <c r="S33" s="66"/>
    </row>
    <row r="35" spans="2:19">
      <c r="B35" s="68" t="s">
        <v>128</v>
      </c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</row>
    <row r="36" spans="2:19"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</row>
    <row r="37" spans="2:19"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</row>
  </sheetData>
  <sheetProtection sheet="1" objects="1" scenarios="1" formatColumns="0" formatRows="0"/>
  <mergeCells count="8">
    <mergeCell ref="D2:S2"/>
    <mergeCell ref="D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6" customHeight="1"/>
    <row r="2" spans="2:28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4" t="s">
        <v>2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S5" s="69" t="s">
        <v>67</v>
      </c>
      <c r="T5" s="69"/>
      <c r="U5" s="69"/>
      <c r="V5" s="69"/>
      <c r="W5" s="69"/>
      <c r="X5" s="69"/>
      <c r="Y5" s="69"/>
      <c r="Z5" s="69"/>
      <c r="AA5" s="69"/>
      <c r="AB5" s="69"/>
    </row>
    <row r="6" spans="2:28" ht="20" customHeight="1">
      <c r="B6" s="70" t="s">
        <v>3</v>
      </c>
      <c r="C6" s="70"/>
      <c r="D6" s="65" t="s">
        <v>4</v>
      </c>
      <c r="E6" s="65"/>
      <c r="F6" s="65"/>
      <c r="G6" s="71" t="s">
        <v>5</v>
      </c>
      <c r="H6" s="71"/>
      <c r="I6" s="71"/>
      <c r="J6" s="71"/>
      <c r="S6" s="72" t="s">
        <v>68</v>
      </c>
      <c r="T6" s="72" t="s">
        <v>71</v>
      </c>
      <c r="U6" s="72" t="s">
        <v>76</v>
      </c>
      <c r="V6" s="72" t="s">
        <v>79</v>
      </c>
      <c r="W6" s="72" t="s">
        <v>82</v>
      </c>
      <c r="X6" s="72" t="s">
        <v>22</v>
      </c>
      <c r="Y6" s="72" t="s">
        <v>88</v>
      </c>
      <c r="Z6" s="72" t="s">
        <v>90</v>
      </c>
      <c r="AA6" s="72" t="s">
        <v>93</v>
      </c>
      <c r="AB6" s="72" t="s">
        <v>95</v>
      </c>
    </row>
    <row r="7" spans="2:28" ht="20" customHeight="1">
      <c r="B7" s="70" t="s">
        <v>6</v>
      </c>
      <c r="C7" s="70"/>
      <c r="D7" s="65" t="s">
        <v>7</v>
      </c>
      <c r="E7" s="65"/>
      <c r="F7" s="65"/>
      <c r="G7" s="71" t="s">
        <v>8</v>
      </c>
      <c r="H7" s="71"/>
      <c r="I7" s="71"/>
      <c r="J7" s="71"/>
      <c r="S7" s="73" t="s">
        <v>69</v>
      </c>
      <c r="T7" s="73" t="s">
        <v>72</v>
      </c>
      <c r="U7" s="73" t="s">
        <v>77</v>
      </c>
      <c r="V7" s="73" t="s">
        <v>80</v>
      </c>
      <c r="W7" s="73" t="s">
        <v>83</v>
      </c>
      <c r="X7" s="73" t="s">
        <v>36</v>
      </c>
      <c r="Y7" s="73" t="s">
        <v>4</v>
      </c>
      <c r="Z7" s="73" t="s">
        <v>91</v>
      </c>
      <c r="AA7" s="73" t="s">
        <v>37</v>
      </c>
      <c r="AB7" s="73" t="s">
        <v>96</v>
      </c>
    </row>
    <row r="8" spans="2:28" ht="20" customHeight="1">
      <c r="B8" s="70" t="s">
        <v>9</v>
      </c>
      <c r="C8" s="70"/>
      <c r="D8" s="74">
        <v>0.2916666666666667</v>
      </c>
      <c r="E8" s="74"/>
      <c r="F8" s="74"/>
      <c r="G8" s="71" t="s">
        <v>10</v>
      </c>
      <c r="H8" s="71"/>
      <c r="I8" s="71"/>
      <c r="J8" s="71"/>
      <c r="S8" s="73" t="s">
        <v>70</v>
      </c>
      <c r="T8" s="73" t="s">
        <v>73</v>
      </c>
      <c r="U8" s="73" t="s">
        <v>78</v>
      </c>
      <c r="V8" s="73" t="s">
        <v>81</v>
      </c>
      <c r="W8" s="73" t="s">
        <v>84</v>
      </c>
      <c r="X8" s="73" t="s">
        <v>86</v>
      </c>
      <c r="Y8" s="73" t="s">
        <v>89</v>
      </c>
      <c r="Z8" s="73" t="s">
        <v>92</v>
      </c>
      <c r="AA8" s="73" t="s">
        <v>94</v>
      </c>
      <c r="AB8" s="73" t="s">
        <v>14</v>
      </c>
    </row>
    <row r="9" spans="2:28" ht="20" customHeight="1">
      <c r="B9" s="70" t="s">
        <v>11</v>
      </c>
      <c r="C9" s="70"/>
      <c r="D9" s="65">
        <v>60</v>
      </c>
      <c r="E9" s="65"/>
      <c r="F9" s="65"/>
      <c r="G9" s="71" t="s">
        <v>12</v>
      </c>
      <c r="H9" s="71"/>
      <c r="I9" s="71"/>
      <c r="J9" s="71"/>
      <c r="T9" s="73" t="s">
        <v>74</v>
      </c>
      <c r="W9" s="73" t="s">
        <v>85</v>
      </c>
      <c r="X9" s="73" t="s">
        <v>87</v>
      </c>
      <c r="AB9" s="73" t="s">
        <v>97</v>
      </c>
    </row>
    <row r="10" spans="2:28" ht="20" customHeight="1">
      <c r="B10" s="70" t="s">
        <v>13</v>
      </c>
      <c r="C10" s="70"/>
      <c r="D10" s="65" t="s">
        <v>14</v>
      </c>
      <c r="E10" s="65"/>
      <c r="F10" s="65"/>
      <c r="G10" s="71" t="s">
        <v>15</v>
      </c>
      <c r="H10" s="71"/>
      <c r="I10" s="71"/>
      <c r="J10" s="71"/>
      <c r="T10" s="73" t="s">
        <v>75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4" t="s">
        <v>17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65" t="s">
        <v>35</v>
      </c>
      <c r="E18" s="65">
        <v>2</v>
      </c>
      <c r="F18" s="65" t="s">
        <v>36</v>
      </c>
      <c r="G18" s="79"/>
      <c r="H18" s="80" t="s">
        <v>37</v>
      </c>
      <c r="I18" s="81">
        <f>IF(G18="","",G18)</f>
        <v/>
      </c>
      <c r="J18" s="80" t="s">
        <v>37</v>
      </c>
      <c r="K18" s="65"/>
      <c r="L18" s="65"/>
      <c r="M18" s="65">
        <v>0</v>
      </c>
      <c r="N18" s="65">
        <v>50000</v>
      </c>
      <c r="O18" s="65">
        <v>67.5</v>
      </c>
      <c r="P18" s="65">
        <v>67.5</v>
      </c>
    </row>
    <row r="19" spans="2:16">
      <c r="B19" s="82" t="s">
        <v>33</v>
      </c>
      <c r="C19" s="83" t="s">
        <v>38</v>
      </c>
      <c r="D19" s="65" t="s">
        <v>35</v>
      </c>
      <c r="E19" s="65">
        <v>2</v>
      </c>
      <c r="F19" s="65" t="s">
        <v>36</v>
      </c>
      <c r="G19" s="79" t="s">
        <v>39</v>
      </c>
      <c r="H19" s="80" t="s">
        <v>37</v>
      </c>
      <c r="I19" s="81" t="str">
        <f>IF(G19="","",G19)</f>
        <v>M650030010-0004-HHLQU</v>
      </c>
      <c r="J19" s="80" t="s">
        <v>37</v>
      </c>
      <c r="K19" s="65"/>
      <c r="L19" s="65"/>
      <c r="M19" s="65">
        <v>0</v>
      </c>
      <c r="N19" s="65">
        <v>50000</v>
      </c>
      <c r="O19" s="65">
        <v>1.29</v>
      </c>
      <c r="P19" s="65">
        <v>1.29</v>
      </c>
    </row>
    <row r="20" spans="2:16">
      <c r="B20" s="77" t="s">
        <v>33</v>
      </c>
      <c r="C20" s="78" t="s">
        <v>40</v>
      </c>
      <c r="D20" s="65" t="s">
        <v>35</v>
      </c>
      <c r="E20" s="65">
        <v>2</v>
      </c>
      <c r="F20" s="65" t="s">
        <v>36</v>
      </c>
      <c r="G20" s="79"/>
      <c r="H20" s="80" t="s">
        <v>37</v>
      </c>
      <c r="I20" s="81">
        <f>IF(G20="","",G20)</f>
        <v/>
      </c>
      <c r="J20" s="80" t="s">
        <v>37</v>
      </c>
      <c r="K20" s="65"/>
      <c r="L20" s="65"/>
      <c r="M20" s="65">
        <v>0</v>
      </c>
      <c r="N20" s="65">
        <v>50000</v>
      </c>
      <c r="O20" s="65">
        <v>0.4</v>
      </c>
      <c r="P20" s="65">
        <v>0.4</v>
      </c>
    </row>
    <row r="21" spans="2:16">
      <c r="B21" s="82" t="s">
        <v>33</v>
      </c>
      <c r="C21" s="83" t="s">
        <v>41</v>
      </c>
      <c r="D21" s="65" t="s">
        <v>35</v>
      </c>
      <c r="E21" s="65">
        <v>2</v>
      </c>
      <c r="F21" s="65" t="s">
        <v>36</v>
      </c>
      <c r="G21" s="79" t="s">
        <v>42</v>
      </c>
      <c r="H21" s="80" t="s">
        <v>37</v>
      </c>
      <c r="I21" s="81" t="str">
        <f>IF(G21="","",G21)</f>
        <v>M650030010-0006-HHLQU</v>
      </c>
      <c r="J21" s="80" t="s">
        <v>37</v>
      </c>
      <c r="K21" s="65"/>
      <c r="L21" s="65"/>
      <c r="M21" s="65">
        <v>0</v>
      </c>
      <c r="N21" s="65">
        <v>50000</v>
      </c>
      <c r="O21" s="65">
        <v>0.09</v>
      </c>
      <c r="P21" s="65">
        <v>0.09</v>
      </c>
    </row>
    <row r="22" spans="2:16">
      <c r="B22" s="77" t="s">
        <v>33</v>
      </c>
      <c r="C22" s="78" t="s">
        <v>43</v>
      </c>
      <c r="D22" s="65" t="s">
        <v>35</v>
      </c>
      <c r="E22" s="65">
        <v>2</v>
      </c>
      <c r="F22" s="65" t="s">
        <v>36</v>
      </c>
      <c r="G22" s="79"/>
      <c r="H22" s="80" t="s">
        <v>37</v>
      </c>
      <c r="I22" s="81">
        <f>IF(G22="","",G22)</f>
        <v/>
      </c>
      <c r="J22" s="80" t="s">
        <v>37</v>
      </c>
      <c r="K22" s="65"/>
      <c r="L22" s="65"/>
      <c r="M22" s="65">
        <v>0</v>
      </c>
      <c r="N22" s="65">
        <v>50000</v>
      </c>
      <c r="O22" s="65">
        <v>0.05</v>
      </c>
      <c r="P22" s="65">
        <v>0.05</v>
      </c>
    </row>
    <row r="23" spans="2:16">
      <c r="B23" s="82" t="s">
        <v>33</v>
      </c>
      <c r="C23" s="83" t="s">
        <v>44</v>
      </c>
      <c r="D23" s="65" t="s">
        <v>35</v>
      </c>
      <c r="E23" s="65">
        <v>3</v>
      </c>
      <c r="F23" s="65" t="s">
        <v>36</v>
      </c>
      <c r="G23" s="79"/>
      <c r="H23" s="80" t="s">
        <v>37</v>
      </c>
      <c r="I23" s="81">
        <f>IF(G23="","",G23)</f>
        <v/>
      </c>
      <c r="J23" s="80" t="s">
        <v>37</v>
      </c>
      <c r="K23" s="65"/>
      <c r="L23" s="65"/>
      <c r="M23" s="65">
        <v>0</v>
      </c>
      <c r="N23" s="65">
        <v>50000</v>
      </c>
      <c r="O23" s="65">
        <v>0.04</v>
      </c>
      <c r="P23" s="65">
        <v>0.04</v>
      </c>
    </row>
    <row r="24" spans="2:16">
      <c r="B24" s="77" t="s">
        <v>33</v>
      </c>
      <c r="C24" s="78" t="s">
        <v>45</v>
      </c>
      <c r="D24" s="65" t="s">
        <v>35</v>
      </c>
      <c r="E24" s="65">
        <v>3</v>
      </c>
      <c r="F24" s="65" t="s">
        <v>36</v>
      </c>
      <c r="G24" s="79"/>
      <c r="H24" s="80" t="s">
        <v>37</v>
      </c>
      <c r="I24" s="81">
        <f>IF(G24="","",G24)</f>
        <v/>
      </c>
      <c r="J24" s="80" t="s">
        <v>37</v>
      </c>
      <c r="K24" s="65"/>
      <c r="L24" s="65"/>
      <c r="M24" s="65">
        <v>0</v>
      </c>
      <c r="N24" s="65">
        <v>50000</v>
      </c>
      <c r="O24" s="65">
        <v>0.06</v>
      </c>
      <c r="P24" s="65">
        <v>0.06</v>
      </c>
    </row>
    <row r="25" spans="2:16">
      <c r="B25" s="82" t="s">
        <v>33</v>
      </c>
      <c r="C25" s="83" t="s">
        <v>46</v>
      </c>
      <c r="D25" s="65" t="s">
        <v>35</v>
      </c>
      <c r="E25" s="65">
        <v>3</v>
      </c>
      <c r="F25" s="65" t="s">
        <v>36</v>
      </c>
      <c r="G25" s="79"/>
      <c r="H25" s="80" t="s">
        <v>37</v>
      </c>
      <c r="I25" s="81">
        <f>IF(G25="","",G25)</f>
        <v/>
      </c>
      <c r="J25" s="80" t="s">
        <v>37</v>
      </c>
      <c r="K25" s="65"/>
      <c r="L25" s="65"/>
      <c r="M25" s="65">
        <v>0</v>
      </c>
      <c r="N25" s="65">
        <v>50000</v>
      </c>
      <c r="O25" s="65">
        <v>0.05</v>
      </c>
      <c r="P25" s="65">
        <v>0.05</v>
      </c>
    </row>
    <row r="26" spans="2:16">
      <c r="B26" s="77" t="s">
        <v>33</v>
      </c>
      <c r="C26" s="78" t="s">
        <v>47</v>
      </c>
      <c r="D26" s="65" t="s">
        <v>35</v>
      </c>
      <c r="E26" s="65">
        <v>2</v>
      </c>
      <c r="F26" s="65" t="s">
        <v>36</v>
      </c>
      <c r="G26" s="79" t="s">
        <v>48</v>
      </c>
      <c r="H26" s="80" t="s">
        <v>37</v>
      </c>
      <c r="I26" s="81" t="str">
        <f>IF(G26="","",G26)</f>
        <v>M650030010-0013-HHLQU</v>
      </c>
      <c r="J26" s="80" t="s">
        <v>37</v>
      </c>
      <c r="K26" s="65"/>
      <c r="L26" s="65"/>
      <c r="M26" s="65">
        <v>0</v>
      </c>
      <c r="N26" s="65">
        <v>50000</v>
      </c>
      <c r="O26" s="65">
        <v>3.66</v>
      </c>
      <c r="P26" s="65">
        <v>3.66</v>
      </c>
    </row>
    <row r="27" spans="2:16">
      <c r="B27" s="82" t="s">
        <v>33</v>
      </c>
      <c r="C27" s="83" t="s">
        <v>49</v>
      </c>
      <c r="D27" s="65" t="s">
        <v>50</v>
      </c>
      <c r="E27" s="65">
        <v>2</v>
      </c>
      <c r="F27" s="65" t="s">
        <v>36</v>
      </c>
      <c r="G27" s="79"/>
      <c r="H27" s="80" t="s">
        <v>37</v>
      </c>
      <c r="I27" s="81">
        <f>IF(G27="","",G27)</f>
        <v/>
      </c>
      <c r="J27" s="80" t="s">
        <v>37</v>
      </c>
      <c r="K27" s="65"/>
      <c r="L27" s="65"/>
      <c r="M27" s="65">
        <v>0</v>
      </c>
      <c r="N27" s="65">
        <v>50000</v>
      </c>
      <c r="O27" s="65">
        <v>10.5</v>
      </c>
      <c r="P27" s="65">
        <v>10.5</v>
      </c>
    </row>
    <row r="28" spans="2:16">
      <c r="B28" s="77" t="s">
        <v>51</v>
      </c>
      <c r="C28" s="78" t="s">
        <v>34</v>
      </c>
      <c r="D28" s="65" t="s">
        <v>35</v>
      </c>
      <c r="E28" s="65">
        <v>2</v>
      </c>
      <c r="F28" s="65" t="s">
        <v>36</v>
      </c>
      <c r="G28" s="79"/>
      <c r="H28" s="80" t="s">
        <v>37</v>
      </c>
      <c r="I28" s="79"/>
      <c r="J28" s="80" t="s">
        <v>37</v>
      </c>
      <c r="K28" s="65"/>
      <c r="L28" s="65"/>
      <c r="M28" s="65">
        <v>0</v>
      </c>
      <c r="N28" s="65">
        <v>50000</v>
      </c>
      <c r="O28" s="65">
        <v>65.5</v>
      </c>
      <c r="P28" s="65">
        <v>65.3</v>
      </c>
    </row>
    <row r="29" spans="2:16">
      <c r="B29" s="82" t="s">
        <v>51</v>
      </c>
      <c r="C29" s="83" t="s">
        <v>38</v>
      </c>
      <c r="D29" s="65" t="s">
        <v>35</v>
      </c>
      <c r="E29" s="65">
        <v>2</v>
      </c>
      <c r="F29" s="65" t="s">
        <v>36</v>
      </c>
      <c r="G29" s="79" t="s">
        <v>52</v>
      </c>
      <c r="H29" s="80" t="s">
        <v>37</v>
      </c>
      <c r="I29" s="79" t="s">
        <v>53</v>
      </c>
      <c r="J29" s="80" t="s">
        <v>37</v>
      </c>
      <c r="K29" s="65"/>
      <c r="L29" s="65"/>
      <c r="M29" s="65">
        <v>0</v>
      </c>
      <c r="N29" s="65">
        <v>50000</v>
      </c>
      <c r="O29" s="65">
        <v>1.82</v>
      </c>
      <c r="P29" s="65">
        <v>1.9</v>
      </c>
    </row>
    <row r="30" spans="2:16">
      <c r="B30" s="77" t="s">
        <v>51</v>
      </c>
      <c r="C30" s="78" t="s">
        <v>40</v>
      </c>
      <c r="D30" s="65" t="s">
        <v>35</v>
      </c>
      <c r="E30" s="65">
        <v>2</v>
      </c>
      <c r="F30" s="65" t="s">
        <v>36</v>
      </c>
      <c r="G30" s="79"/>
      <c r="H30" s="80" t="s">
        <v>37</v>
      </c>
      <c r="I30" s="79"/>
      <c r="J30" s="80" t="s">
        <v>37</v>
      </c>
      <c r="K30" s="65"/>
      <c r="L30" s="65"/>
      <c r="M30" s="65">
        <v>0</v>
      </c>
      <c r="N30" s="65">
        <v>50000</v>
      </c>
      <c r="O30" s="65">
        <v>0.42</v>
      </c>
      <c r="P30" s="65">
        <v>0.44</v>
      </c>
    </row>
    <row r="31" spans="2:16">
      <c r="B31" s="82" t="s">
        <v>51</v>
      </c>
      <c r="C31" s="83" t="s">
        <v>41</v>
      </c>
      <c r="D31" s="65" t="s">
        <v>35</v>
      </c>
      <c r="E31" s="65">
        <v>2</v>
      </c>
      <c r="F31" s="65" t="s">
        <v>36</v>
      </c>
      <c r="G31" s="79" t="s">
        <v>54</v>
      </c>
      <c r="H31" s="80" t="s">
        <v>37</v>
      </c>
      <c r="I31" s="79" t="s">
        <v>55</v>
      </c>
      <c r="J31" s="80" t="s">
        <v>37</v>
      </c>
      <c r="K31" s="65"/>
      <c r="L31" s="65"/>
      <c r="M31" s="65">
        <v>0</v>
      </c>
      <c r="N31" s="65">
        <v>50000</v>
      </c>
      <c r="O31" s="65">
        <v>0.82</v>
      </c>
      <c r="P31" s="65">
        <v>0.88</v>
      </c>
    </row>
    <row r="32" spans="2:16">
      <c r="B32" s="77" t="s">
        <v>51</v>
      </c>
      <c r="C32" s="78" t="s">
        <v>43</v>
      </c>
      <c r="D32" s="65" t="s">
        <v>35</v>
      </c>
      <c r="E32" s="65">
        <v>2</v>
      </c>
      <c r="F32" s="65" t="s">
        <v>36</v>
      </c>
      <c r="G32" s="79"/>
      <c r="H32" s="80" t="s">
        <v>37</v>
      </c>
      <c r="I32" s="79"/>
      <c r="J32" s="80" t="s">
        <v>37</v>
      </c>
      <c r="K32" s="65"/>
      <c r="L32" s="65"/>
      <c r="M32" s="65">
        <v>0</v>
      </c>
      <c r="N32" s="65">
        <v>50000</v>
      </c>
      <c r="O32" s="65">
        <v>0.1</v>
      </c>
      <c r="P32" s="65">
        <v>0.11</v>
      </c>
    </row>
    <row r="33" spans="2:16">
      <c r="B33" s="82" t="s">
        <v>51</v>
      </c>
      <c r="C33" s="83" t="s">
        <v>56</v>
      </c>
      <c r="D33" s="65" t="s">
        <v>50</v>
      </c>
      <c r="E33" s="65">
        <v>2</v>
      </c>
      <c r="F33" s="65" t="s">
        <v>36</v>
      </c>
      <c r="G33" s="79" t="s">
        <v>57</v>
      </c>
      <c r="H33" s="80" t="s">
        <v>37</v>
      </c>
      <c r="I33" s="79" t="s">
        <v>58</v>
      </c>
      <c r="J33" s="80" t="s">
        <v>37</v>
      </c>
      <c r="K33" s="65"/>
      <c r="L33" s="65"/>
      <c r="M33" s="65">
        <v>0</v>
      </c>
      <c r="N33" s="65">
        <v>50000</v>
      </c>
      <c r="O33" s="65">
        <v>0.45</v>
      </c>
      <c r="P33" s="65">
        <v>0.46</v>
      </c>
    </row>
    <row r="34" spans="2:16">
      <c r="B34" s="77" t="s">
        <v>51</v>
      </c>
      <c r="C34" s="78" t="s">
        <v>59</v>
      </c>
      <c r="D34" s="65" t="s">
        <v>60</v>
      </c>
      <c r="E34" s="65">
        <v>1</v>
      </c>
      <c r="F34" s="65" t="s">
        <v>36</v>
      </c>
      <c r="G34" s="79" t="s">
        <v>61</v>
      </c>
      <c r="H34" s="80" t="s">
        <v>37</v>
      </c>
      <c r="I34" s="79" t="s">
        <v>62</v>
      </c>
      <c r="J34" s="80" t="s">
        <v>37</v>
      </c>
      <c r="K34" s="65"/>
      <c r="L34" s="65"/>
      <c r="M34" s="65">
        <v>0</v>
      </c>
      <c r="N34" s="65">
        <v>50000</v>
      </c>
      <c r="O34" s="65">
        <v>12.7</v>
      </c>
      <c r="P34" s="65">
        <v>17.6</v>
      </c>
    </row>
    <row r="35" spans="2:16">
      <c r="B35" s="82" t="s">
        <v>51</v>
      </c>
      <c r="C35" s="83" t="s">
        <v>63</v>
      </c>
      <c r="D35" s="65" t="s">
        <v>35</v>
      </c>
      <c r="E35" s="65">
        <v>2</v>
      </c>
      <c r="F35" s="65" t="s">
        <v>36</v>
      </c>
      <c r="G35" s="79" t="s">
        <v>64</v>
      </c>
      <c r="H35" s="80" t="s">
        <v>37</v>
      </c>
      <c r="I35" s="79" t="s">
        <v>65</v>
      </c>
      <c r="J35" s="80" t="s">
        <v>37</v>
      </c>
      <c r="K35" s="65"/>
      <c r="L35" s="65"/>
      <c r="M35" s="65">
        <v>0</v>
      </c>
      <c r="N35" s="65">
        <v>50000</v>
      </c>
      <c r="O35" s="65">
        <v>1.07</v>
      </c>
      <c r="P35" s="65">
        <v>1.2</v>
      </c>
    </row>
    <row r="36" spans="2:16">
      <c r="B36" s="77" t="s">
        <v>51</v>
      </c>
      <c r="C36" s="78" t="s">
        <v>44</v>
      </c>
      <c r="D36" s="65" t="s">
        <v>35</v>
      </c>
      <c r="E36" s="65">
        <v>3</v>
      </c>
      <c r="F36" s="65" t="s">
        <v>36</v>
      </c>
      <c r="G36" s="79"/>
      <c r="H36" s="80" t="s">
        <v>37</v>
      </c>
      <c r="I36" s="79"/>
      <c r="J36" s="80" t="s">
        <v>37</v>
      </c>
      <c r="K36" s="65"/>
      <c r="L36" s="65"/>
      <c r="M36" s="65">
        <v>0</v>
      </c>
      <c r="N36" s="65">
        <v>50000</v>
      </c>
      <c r="O36" s="65">
        <v>0.045</v>
      </c>
      <c r="P36" s="65">
        <v>0.046</v>
      </c>
    </row>
    <row r="37" spans="2:16">
      <c r="B37" s="82" t="s">
        <v>51</v>
      </c>
      <c r="C37" s="83" t="s">
        <v>45</v>
      </c>
      <c r="D37" s="65" t="s">
        <v>35</v>
      </c>
      <c r="E37" s="65">
        <v>3</v>
      </c>
      <c r="F37" s="65" t="s">
        <v>36</v>
      </c>
      <c r="G37" s="79"/>
      <c r="H37" s="80" t="s">
        <v>37</v>
      </c>
      <c r="I37" s="79"/>
      <c r="J37" s="80" t="s">
        <v>37</v>
      </c>
      <c r="K37" s="65"/>
      <c r="L37" s="65"/>
      <c r="M37" s="65">
        <v>0</v>
      </c>
      <c r="N37" s="65">
        <v>50000</v>
      </c>
      <c r="O37" s="65">
        <v>0.07000000000000001</v>
      </c>
      <c r="P37" s="65">
        <v>0.07099999999999999</v>
      </c>
    </row>
    <row r="38" spans="2:16">
      <c r="B38" s="77" t="s">
        <v>51</v>
      </c>
      <c r="C38" s="78" t="s">
        <v>46</v>
      </c>
      <c r="D38" s="65" t="s">
        <v>35</v>
      </c>
      <c r="E38" s="65">
        <v>3</v>
      </c>
      <c r="F38" s="65" t="s">
        <v>36</v>
      </c>
      <c r="G38" s="79"/>
      <c r="H38" s="80" t="s">
        <v>37</v>
      </c>
      <c r="I38" s="79"/>
      <c r="J38" s="80" t="s">
        <v>37</v>
      </c>
      <c r="K38" s="65"/>
      <c r="L38" s="65"/>
      <c r="M38" s="65">
        <v>0</v>
      </c>
      <c r="N38" s="65">
        <v>50000</v>
      </c>
      <c r="O38" s="65">
        <v>0.055</v>
      </c>
      <c r="P38" s="65">
        <v>0.056</v>
      </c>
    </row>
    <row r="40" spans="2:16">
      <c r="C40" s="84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85" customWidth="1"/>
    <col min="2" max="43" width="14.7109375" customWidth="1"/>
  </cols>
  <sheetData>
    <row r="1" spans="1:17">
      <c r="A1" s="86" t="s">
        <v>129</v>
      </c>
    </row>
    <row r="3" spans="1:17">
      <c r="A3" s="87" t="s">
        <v>130</v>
      </c>
      <c r="B3" s="88"/>
    </row>
    <row r="4" spans="1:17">
      <c r="A4" s="87" t="s">
        <v>131</v>
      </c>
      <c r="B4" s="88"/>
    </row>
    <row r="6" spans="1:17">
      <c r="A6" s="89" t="s">
        <v>132</v>
      </c>
    </row>
    <row r="7" spans="1:17">
      <c r="A7" s="90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91" t="s">
        <v>133</v>
      </c>
      <c r="B8" s="92" t="s">
        <v>134</v>
      </c>
      <c r="C8" s="92" t="s">
        <v>135</v>
      </c>
      <c r="D8" s="92" t="s">
        <v>136</v>
      </c>
      <c r="E8" s="92" t="s">
        <v>137</v>
      </c>
      <c r="F8" s="92" t="s">
        <v>138</v>
      </c>
      <c r="G8" s="92" t="s">
        <v>139</v>
      </c>
      <c r="H8" s="92" t="s">
        <v>140</v>
      </c>
      <c r="I8" s="92" t="s">
        <v>141</v>
      </c>
      <c r="J8" s="92" t="s">
        <v>142</v>
      </c>
      <c r="K8" s="92" t="s">
        <v>143</v>
      </c>
      <c r="L8" s="92" t="s">
        <v>144</v>
      </c>
      <c r="M8" s="92" t="s">
        <v>145</v>
      </c>
      <c r="N8" s="92" t="s">
        <v>146</v>
      </c>
      <c r="O8" s="92" t="s">
        <v>147</v>
      </c>
      <c r="P8" s="92" t="s">
        <v>148</v>
      </c>
      <c r="Q8" s="92" t="s">
        <v>149</v>
      </c>
    </row>
    <row r="9" spans="1:17">
      <c r="A9" s="93">
        <f t="array" ref="A9:Q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</row>
    <row r="10" spans="1:17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</row>
    <row r="11" spans="1:17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</row>
    <row r="12" spans="1:17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</row>
    <row r="13" spans="1:17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</row>
    <row r="14" spans="1:17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278</v>
      </c>
      <c r="L1" t="s">
        <v>279</v>
      </c>
      <c r="M1" t="s">
        <v>280</v>
      </c>
      <c r="N1" t="s">
        <v>281</v>
      </c>
      <c r="O1" t="s">
        <v>282</v>
      </c>
      <c r="P1" t="s">
        <v>283</v>
      </c>
      <c r="Q1" t="s">
        <v>284</v>
      </c>
    </row>
    <row r="2" spans="11:17">
      <c r="K2" t="s">
        <v>285</v>
      </c>
      <c r="L2" t="s">
        <v>286</v>
      </c>
      <c r="M2" t="s">
        <v>287</v>
      </c>
      <c r="N2" t="s">
        <v>288</v>
      </c>
      <c r="O2" t="s">
        <v>289</v>
      </c>
      <c r="P2" t="s">
        <v>290</v>
      </c>
      <c r="Q2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95</vt:i4>
      </vt:variant>
    </vt:vector>
  </HeadingPairs>
  <TitlesOfParts>
    <vt:vector size="10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dAus</vt:lpstr>
      <vt:lpstr>dAusQuem</vt:lpstr>
      <vt:lpstr>dCadinhos</vt:lpstr>
      <vt:lpstr>dCompressor</vt:lpstr>
      <vt:lpstr>dCoque04</vt:lpstr>
      <vt:lpstr>dEquip</vt:lpstr>
      <vt:lpstr>dH2Carvao</vt:lpstr>
      <vt:lpstr>dH2Coque</vt:lpstr>
      <vt:lpstr>dHE</vt:lpstr>
      <vt:lpstr>dHEQuem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dTroca</vt:lpstr>
      <vt:lpstr>dTrocaQuem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nAr</vt:lpstr>
      <vt:lpstr>nArea</vt:lpstr>
      <vt:lpstr>nAReal</vt:lpstr>
      <vt:lpstr>nArStatus</vt:lpstr>
      <vt:lpstr>nAtualizado</vt:lpstr>
      <vt:lpstr>nAus</vt:lpstr>
      <vt:lpstr>nAusQuem</vt:lpstr>
      <vt:lpstr>nCadinhos</vt:lpstr>
      <vt:lpstr>nCompressor</vt:lpstr>
      <vt:lpstr>nCoque04</vt:lpstr>
      <vt:lpstr>nEquip</vt:lpstr>
      <vt:lpstr>nH2Carvao</vt:lpstr>
      <vt:lpstr>nH2Coque</vt:lpstr>
      <vt:lpstr>nHE</vt:lpstr>
      <vt:lpstr>nHEQuem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nTroca</vt:lpstr>
      <vt:lpstr>nTrocaQuem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Turno - Laboratório Químico - US3/US4</dc:title>
  <dc:creator/>
  <cp:lastModifiedBy/>
  <dcterms:created xsi:type="dcterms:W3CDTF">2026-09-30T22:40:52Z</dcterms:created>
  <dcterms:modified xsi:type="dcterms:W3CDTF">2026-09-30T22:40:52Z</dcterms:modified>
</cp:coreProperties>
</file>