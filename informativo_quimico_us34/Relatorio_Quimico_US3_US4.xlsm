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'Preenchimento'!$E$80</definedName>
    <definedName name="dArea">'Resumo Dia'!$B$2:$N$105</definedName>
    <definedName name="dAReal">'Preenchimento'!$C$41:$C$48</definedName>
    <definedName name="dArStatus">'Preenchimento'!$H$80</definedName>
    <definedName name="dAtualizado">'Resumo Dia'!$B$82</definedName>
    <definedName name="dBatch">'Preenchimento'!$D$56</definedName>
    <definedName name="dBatchAl2O3">'Preenchimento'!$K$56</definedName>
    <definedName name="dBatchFe">'Preenchimento'!$G$56</definedName>
    <definedName name="dBatchP">'Preenchimento'!$D$57</definedName>
    <definedName name="dBatchPPC">'Preenchimento'!$G$57</definedName>
    <definedName name="dBatchSiO2">'Preenchimento'!$I$56</definedName>
    <definedName name="dCadinhos">'Preenchimento'!$E$84</definedName>
    <definedName name="dCompressor">'Preenchimento'!$E$81</definedName>
    <definedName name="dComUS3">'Preenchimento'!$E$70</definedName>
    <definedName name="dComUS4">'Preenchimento'!$E$73</definedName>
    <definedName name="dCoque04">'Preenchimento'!$E$89</definedName>
    <definedName name="dDragas">'Preenchimento'!$C$51:$C$53</definedName>
    <definedName name="dEquip">'Preenchimento'!$C$35:$C$38</definedName>
    <definedName name="dFiltragem">'Preenchimento'!$C$62:$C$67</definedName>
    <definedName name="dH2Carvao">'Preenchimento'!$E$88</definedName>
    <definedName name="dH2Coque">'Preenchimento'!$I$88</definedName>
    <definedName name="dHoras">'Resumo Dia'!$E$83:$K$83</definedName>
    <definedName name="dLetra">'Preenchimento'!$D$11</definedName>
    <definedName name="dMineroduto">'Preenchimento'!$C$58:$C$59</definedName>
    <definedName name="dNitrogenio">'Preenchimento'!$H$81</definedName>
    <definedName name="dObs">'Preenchimento'!$E$90</definedName>
    <definedName name="dPadroes">'Preenchimento'!$E$79</definedName>
    <definedName name="dPadroesQuais">'Preenchimento'!$H$79</definedName>
    <definedName name="dProdUS3">'Preenchimento'!$D$12</definedName>
    <definedName name="dProdUS4">'Preenchimento'!$I$12</definedName>
    <definedName name="dProg">'Preenchimento'!$E$78</definedName>
    <definedName name="dReal">'Preenchimento'!$C$15:$C$26</definedName>
    <definedName name="dReforma">'Preenchimento'!$E$85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'Preenchimento'!$E$164</definedName>
    <definedName name="nArea">'Resumo Noite'!$B$2:$N$105</definedName>
    <definedName name="nAReal">'Preenchimento'!$C$125:$C$132</definedName>
    <definedName name="nArStatus">'Preenchimento'!$H$164</definedName>
    <definedName name="nAtualizado">'Resumo Noite'!$B$82</definedName>
    <definedName name="nBatch">'Preenchimento'!$D$140</definedName>
    <definedName name="nBatchAl2O3">'Preenchimento'!$K$140</definedName>
    <definedName name="nBatchFe">'Preenchimento'!$G$140</definedName>
    <definedName name="nBatchP">'Preenchimento'!$D$141</definedName>
    <definedName name="nBatchPPC">'Preenchimento'!$G$141</definedName>
    <definedName name="nBatchSiO2">'Preenchimento'!$I$140</definedName>
    <definedName name="nCadinhos">'Preenchimento'!$E$168</definedName>
    <definedName name="nCompressor">'Preenchimento'!$E$165</definedName>
    <definedName name="nComUS3">'Preenchimento'!$E$154</definedName>
    <definedName name="nComUS4">'Preenchimento'!$E$157</definedName>
    <definedName name="nCoque04">'Preenchimento'!$E$173</definedName>
    <definedName name="nDragas">'Preenchimento'!$C$135:$C$137</definedName>
    <definedName name="nEquip">'Preenchimento'!$C$119:$C$122</definedName>
    <definedName name="nFiltragem">'Preenchimento'!$C$146:$C$151</definedName>
    <definedName name="nH2Carvao">'Preenchimento'!$E$172</definedName>
    <definedName name="nH2Coque">'Preenchimento'!$I$172</definedName>
    <definedName name="nHoras">'Resumo Noite'!$E$83:$K$83</definedName>
    <definedName name="nLetra">'Preenchimento'!$D$95</definedName>
    <definedName name="nMineroduto">'Preenchimento'!$C$142:$C$143</definedName>
    <definedName name="nNitrogenio">'Preenchimento'!$H$165</definedName>
    <definedName name="nObs">'Preenchimento'!$E$174</definedName>
    <definedName name="nPadroes">'Preenchimento'!$E$163</definedName>
    <definedName name="nPadroesQuais">'Preenchimento'!$H$163</definedName>
    <definedName name="nProdUS3">'Preenchimento'!$D$96</definedName>
    <definedName name="nProdUS4">'Preenchimento'!$I$96</definedName>
    <definedName name="nProg">'Preenchimento'!$E$162</definedName>
    <definedName name="nReal">'Preenchimento'!$C$99:$C$110</definedName>
    <definedName name="nReforma">'Preenchimento'!$E$169</definedName>
    <definedName name="nSol">'Preenchimento'!$C$113:$C$116</definedName>
    <definedName name="nTecnico">'Preenchimento'!$F$95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Preenchimento!$B$2:$K$176</definedName>
    <definedName name="_xlnm.Print_Area" localSheetId="3">'Resultados gerais'!$B$2:$S$33</definedName>
    <definedName name="_xlnm.Print_Area" localSheetId="1">'Resumo Dia'!$B$2:$N$105</definedName>
    <definedName name="_xlnm.Print_Area" localSheetId="2">'Resumo Noite'!$B$2:$N$105</definedName>
  </definedNames>
  <calcPr calcId="124519" fullCalcOnLoad="1"/>
</workbook>
</file>

<file path=xl/sharedStrings.xml><?xml version="1.0" encoding="utf-8"?>
<sst xmlns="http://schemas.openxmlformats.org/spreadsheetml/2006/main" count="783" uniqueCount="267">
  <si>
    <t>CONFIGURAÇÕES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</si>
  <si>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</si>
  <si>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</si>
  <si>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</si>
  <si>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</si>
  <si>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</si>
  <si>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</si>
  <si>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</si>
  <si>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</si>
  <si>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</si>
  <si>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</si>
  <si>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</si>
  <si>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</si>
  <si>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</si>
  <si>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</si>
  <si>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</si>
  <si>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</si>
  <si>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</si>
  <si>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</si>
  <si>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</si>
  <si>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</si>
  <si>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</si>
  <si>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</si>
  <si>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</si>
  <si>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</si>
  <si>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</si>
  <si>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</si>
  <si>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</si>
  <si>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</si>
  <si>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</si>
  <si>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</si>
  <si>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</si>
  <si>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</si>
  <si>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</si>
  <si>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</si>
  <si>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</si>
  <si>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</si>
  <si>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</si>
  <si>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</si>
  <si>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</si>
  <si>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</si>
  <si>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</si>
  <si>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</si>
  <si>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</si>
  <si>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</si>
  <si>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</si>
  <si>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</si>
  <si>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</si>
  <si>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</si>
  <si>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</si>
  <si>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</si>
  <si>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</si>
  <si>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</si>
  <si>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</si>
  <si>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</si>
  <si>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</si>
  <si>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</si>
  <si>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</si>
  <si>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</si>
  <si>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</si>
  <si>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</si>
  <si>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</si>
  <si>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</si>
  <si>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</si>
  <si>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</si>
  <si>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</si>
  <si>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</si>
  <si>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</si>
  <si>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</si>
  <si>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</si>
  <si>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</si>
  <si>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</si>
  <si>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</si>
  <si>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</si>
  <si>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</si>
  <si>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</si>
  <si>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</si>
  <si>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</si>
  <si>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</si>
  <si>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</si>
  <si>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</si>
  <si>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</si>
  <si>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</si>
  <si>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</si>
  <si>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</si>
  <si>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</si>
  <si>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</si>
  <si>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</si>
  <si>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</si>
  <si>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</si>
  <si>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</si>
  <si>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</si>
  <si>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</si>
  <si>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</si>
  <si>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</si>
  <si>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</si>
  <si>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</si>
  <si>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</si>
  <si>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</si>
  <si>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</si>
  <si>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</si>
  <si>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</si>
  <si>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</si>
  <si>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</si>
  <si>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</si>
  <si>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</si>
  <si>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</si>
  <si>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</si>
  <si>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</si>
  <si>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</si>
  <si>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</si>
  <si>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</si>
  <si>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</si>
  <si>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</si>
  <si>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</si>
  <si>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PDR/STD</t>
  </si>
  <si>
    <t>PBF/MB45</t>
  </si>
  <si>
    <t>PBF/STD</t>
  </si>
  <si>
    <t>PBF/HB</t>
  </si>
  <si>
    <t>PBF/SF</t>
  </si>
  <si>
    <t>PBF/SA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</si>
  <si>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</si>
  <si>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</si>
  <si>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</si>
  <si>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</si>
  <si>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</si>
  <si>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</si>
  <si>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</si>
  <si>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</si>
  <si>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</si>
  <si>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</si>
  <si>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</si>
  <si>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</si>
  <si>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</si>
  <si>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</si>
  <si>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</si>
  <si>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</si>
  <si>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</si>
  <si>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</si>
  <si>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</si>
  <si>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</si>
  <si>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</si>
  <si>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</si>
  <si>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</si>
  <si>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</si>
  <si>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</si>
  <si>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</si>
  <si>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</si>
  <si>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</si>
  <si>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</si>
  <si>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</si>
  <si>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</si>
  <si>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</si>
  <si>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</si>
  <si>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</si>
  <si>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</si>
  <si>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</si>
  <si>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</si>
  <si>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</si>
  <si>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</si>
  <si>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</si>
  <si>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</si>
  <si>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</si>
  <si>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</si>
  <si>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</si>
  <si>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</si>
  <si>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Dragas</t>
  </si>
  <si>
    <t>6. Mineroduto 03</t>
  </si>
  <si>
    <t>Batch</t>
  </si>
  <si>
    <t>7. Filtragem</t>
  </si>
  <si>
    <t>8. Comentários por usina</t>
  </si>
  <si>
    <t>Comentário US3</t>
  </si>
  <si>
    <t>Comentário US4</t>
  </si>
  <si>
    <t>9. Controle do laboratório</t>
  </si>
  <si>
    <t>Programa em uso</t>
  </si>
  <si>
    <t>Foi necessário preparar padrões?</t>
  </si>
  <si>
    <t>Quais</t>
  </si>
  <si>
    <t>Sistema de ar utilizado</t>
  </si>
  <si>
    <t>10. Cadinhos de platina</t>
  </si>
  <si>
    <t>Repassados para o turno</t>
  </si>
  <si>
    <t>Retirado para reforma</t>
  </si>
  <si>
    <t>11.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</si>
  <si>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</si>
  <si>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</si>
  <si>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</si>
  <si>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</si>
  <si>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</si>
  <si>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</si>
  <si>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</si>
  <si>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</si>
  <si>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</si>
  <si>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</si>
  <si>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</si>
  <si>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</si>
  <si>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</si>
  <si>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</si>
  <si>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</si>
  <si>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</si>
  <si>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</si>
  <si>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</si>
  <si>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</si>
  <si>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</si>
  <si>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</si>
  <si>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</si>
  <si>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</si>
  <si>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</si>
  <si>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</si>
  <si>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</si>
  <si>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</si>
  <si>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</si>
  <si>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</si>
  <si>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</si>
  <si>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</si>
  <si>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</si>
  <si>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</si>
  <si>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19:30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</si>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</sst>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39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6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6" borderId="0" xfId="0" applyFont="1" applyFill="1" applyAlignment="1">
      <alignment horizontal="left" vertical="center" indent="1"/>
    </xf>
    <xf numFmtId="0" fontId="15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28" fillId="7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1" borderId="0" xfId="0" applyFont="1" applyFill="1" applyAlignment="1">
      <alignment horizontal="left" vertical="center" indent="1"/>
    </xf>
    <xf numFmtId="0" fontId="14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6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2" borderId="5" xfId="0" applyFont="1" applyFill="1" applyBorder="1" applyAlignment="1">
      <alignment horizontal="center" vertical="center" wrapText="1"/>
    </xf>
    <xf numFmtId="0" fontId="31" fillId="4" borderId="5" xfId="0" applyFont="1" applyFill="1" applyBorder="1" applyAlignment="1">
      <alignment horizontal="left" vertical="center" indent="1"/>
    </xf>
    <xf numFmtId="0" fontId="14" fillId="4" borderId="5" xfId="0" applyFont="1" applyFill="1" applyBorder="1" applyAlignment="1">
      <alignment horizontal="left" vertical="center" indent="1"/>
    </xf>
    <xf numFmtId="0" fontId="32" fillId="5" borderId="1" xfId="0" applyFont="1" applyFill="1" applyBorder="1" applyAlignment="1" applyProtection="1">
      <alignment vertical="center"/>
      <protection locked="0"/>
    </xf>
    <xf numFmtId="0" fontId="16" fillId="5" borderId="1" xfId="0" applyFont="1" applyFill="1" applyBorder="1" applyAlignment="1" applyProtection="1">
      <alignment vertical="center"/>
      <protection locked="0"/>
    </xf>
    <xf numFmtId="0" fontId="33" fillId="4" borderId="1" xfId="0" applyFont="1" applyFill="1" applyBorder="1" applyAlignment="1">
      <alignment vertical="center"/>
    </xf>
    <xf numFmtId="0" fontId="31" fillId="8" borderId="5" xfId="0" applyFont="1" applyFill="1" applyBorder="1" applyAlignment="1">
      <alignment horizontal="left" vertical="center" indent="1"/>
    </xf>
    <xf numFmtId="0" fontId="14" fillId="8" borderId="5" xfId="0" applyFont="1" applyFill="1" applyBorder="1" applyAlignment="1">
      <alignment horizontal="left" vertical="center" indent="1"/>
    </xf>
    <xf numFmtId="0" fontId="34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76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152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153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154</v>
      </c>
      <c r="C6" s="5"/>
      <c r="D6" s="5"/>
      <c r="E6" s="6"/>
      <c r="F6" s="6"/>
      <c r="G6" s="7" t="s">
        <v>155</v>
      </c>
      <c r="H6" s="7"/>
      <c r="I6" s="7"/>
      <c r="J6" s="7"/>
      <c r="K6" s="7"/>
    </row>
    <row r="8" spans="2:13" ht="18" customHeight="1">
      <c r="B8" s="8" t="s">
        <v>188</v>
      </c>
      <c r="C8" s="9" t="s">
        <v>189</v>
      </c>
      <c r="E8" s="9" t="s">
        <v>157</v>
      </c>
      <c r="G8" s="9" t="s">
        <v>187</v>
      </c>
      <c r="I8" s="9" t="s">
        <v>190</v>
      </c>
    </row>
    <row r="10" spans="2:13" ht="26" customHeight="1">
      <c r="B10" s="10" t="s">
        <v>156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157</v>
      </c>
    </row>
    <row r="11" spans="2:13" ht="22" customHeight="1">
      <c r="B11" s="5" t="s">
        <v>158</v>
      </c>
      <c r="C11" s="5"/>
      <c r="D11" s="12"/>
      <c r="E11" s="5" t="s">
        <v>159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160</v>
      </c>
      <c r="C12" s="5"/>
      <c r="D12" s="14"/>
      <c r="E12" s="14"/>
      <c r="F12" s="14"/>
      <c r="G12" s="5" t="s">
        <v>161</v>
      </c>
      <c r="H12" s="5"/>
      <c r="I12" s="14"/>
      <c r="J12" s="14"/>
      <c r="K12" s="14"/>
    </row>
    <row r="14" spans="2:13" ht="20" customHeight="1">
      <c r="B14" s="15" t="s">
        <v>162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163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164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165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0" customHeight="1">
      <c r="B50" s="15" t="s">
        <v>166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6">
        <v>1</v>
      </c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9" customHeight="1">
      <c r="B52" s="16">
        <v>2</v>
      </c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9" customHeight="1">
      <c r="B53" s="16">
        <v>3</v>
      </c>
      <c r="C53" s="17"/>
      <c r="D53" s="17"/>
      <c r="E53" s="17"/>
      <c r="F53" s="17"/>
      <c r="G53" s="17"/>
      <c r="H53" s="17"/>
      <c r="I53" s="17"/>
      <c r="J53" s="17"/>
      <c r="K53" s="17"/>
    </row>
    <row r="55" spans="2:11" ht="20" customHeight="1">
      <c r="B55" s="15" t="s">
        <v>167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20" customHeight="1">
      <c r="B56" s="5" t="s">
        <v>168</v>
      </c>
      <c r="C56" s="5"/>
      <c r="D56" s="18"/>
      <c r="E56" s="18"/>
      <c r="F56" s="5" t="s">
        <v>46</v>
      </c>
      <c r="G56" s="19"/>
      <c r="H56" s="5" t="s">
        <v>32</v>
      </c>
      <c r="I56" s="19"/>
      <c r="J56" s="5" t="s">
        <v>51</v>
      </c>
      <c r="K56" s="19"/>
    </row>
    <row r="57" spans="2:11" ht="20" customHeight="1">
      <c r="B57" s="5" t="s">
        <v>37</v>
      </c>
      <c r="C57" s="5"/>
      <c r="D57" s="19"/>
      <c r="E57" s="19"/>
      <c r="F57" s="5" t="s">
        <v>43</v>
      </c>
      <c r="G57" s="19"/>
    </row>
    <row r="58" spans="2:11" ht="19" customHeight="1">
      <c r="B58" s="16">
        <v>1</v>
      </c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9" customHeight="1">
      <c r="B59" s="16">
        <v>2</v>
      </c>
      <c r="C59" s="17"/>
      <c r="D59" s="17"/>
      <c r="E59" s="17"/>
      <c r="F59" s="17"/>
      <c r="G59" s="17"/>
      <c r="H59" s="17"/>
      <c r="I59" s="17"/>
      <c r="J59" s="17"/>
      <c r="K59" s="17"/>
    </row>
    <row r="61" spans="2:11" ht="20" customHeight="1">
      <c r="B61" s="15" t="s">
        <v>169</v>
      </c>
      <c r="C61" s="15"/>
      <c r="D61" s="15"/>
      <c r="E61" s="15"/>
      <c r="F61" s="15"/>
      <c r="G61" s="15"/>
      <c r="H61" s="15"/>
      <c r="I61" s="15"/>
      <c r="J61" s="15"/>
      <c r="K61" s="15"/>
    </row>
    <row r="62" spans="2:11" ht="19" customHeight="1">
      <c r="B62" s="16">
        <v>1</v>
      </c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9" customHeight="1">
      <c r="B63" s="16">
        <v>2</v>
      </c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9" customHeight="1">
      <c r="B64" s="16">
        <v>3</v>
      </c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9" customHeight="1">
      <c r="B65" s="16">
        <v>4</v>
      </c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9" customHeight="1">
      <c r="B66" s="16">
        <v>5</v>
      </c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9" customHeight="1">
      <c r="B67" s="16">
        <v>6</v>
      </c>
      <c r="C67" s="17"/>
      <c r="D67" s="17"/>
      <c r="E67" s="17"/>
      <c r="F67" s="17"/>
      <c r="G67" s="17"/>
      <c r="H67" s="17"/>
      <c r="I67" s="17"/>
      <c r="J67" s="17"/>
      <c r="K67" s="17"/>
    </row>
    <row r="69" spans="2:11" ht="22" customHeight="1">
      <c r="B69" s="15" t="s">
        <v>170</v>
      </c>
      <c r="C69" s="15"/>
      <c r="D69" s="15"/>
      <c r="E69" s="15"/>
      <c r="F69" s="15"/>
      <c r="G69" s="15"/>
      <c r="H69" s="15"/>
      <c r="I69" s="15"/>
      <c r="J69" s="15"/>
      <c r="K69" s="15"/>
    </row>
    <row r="70" spans="2:11" ht="19" customHeight="1">
      <c r="B70" s="20" t="s">
        <v>171</v>
      </c>
      <c r="C70" s="20"/>
      <c r="D70" s="20"/>
      <c r="E70" s="21"/>
      <c r="F70" s="21"/>
      <c r="G70" s="21"/>
      <c r="H70" s="21"/>
      <c r="I70" s="21"/>
      <c r="J70" s="21"/>
      <c r="K70" s="21"/>
    </row>
    <row r="71" spans="2:11" ht="19" customHeight="1">
      <c r="B71" s="20"/>
      <c r="C71" s="20"/>
      <c r="D71" s="20"/>
      <c r="E71" s="21"/>
      <c r="F71" s="21"/>
      <c r="G71" s="21"/>
      <c r="H71" s="21"/>
      <c r="I71" s="21"/>
      <c r="J71" s="21"/>
      <c r="K71" s="21"/>
    </row>
    <row r="72" spans="2:11" ht="19" customHeight="1">
      <c r="B72" s="20"/>
      <c r="C72" s="20"/>
      <c r="D72" s="20"/>
      <c r="E72" s="21"/>
      <c r="F72" s="21"/>
      <c r="G72" s="21"/>
      <c r="H72" s="21"/>
      <c r="I72" s="21"/>
      <c r="J72" s="21"/>
      <c r="K72" s="21"/>
    </row>
    <row r="73" spans="2:11" ht="19" customHeight="1">
      <c r="B73" s="20" t="s">
        <v>172</v>
      </c>
      <c r="C73" s="20"/>
      <c r="D73" s="20"/>
      <c r="E73" s="21"/>
      <c r="F73" s="21"/>
      <c r="G73" s="21"/>
      <c r="H73" s="21"/>
      <c r="I73" s="21"/>
      <c r="J73" s="21"/>
      <c r="K73" s="21"/>
    </row>
    <row r="74" spans="2:11" ht="19" customHeight="1">
      <c r="B74" s="20"/>
      <c r="C74" s="20"/>
      <c r="D74" s="20"/>
      <c r="E74" s="21"/>
      <c r="F74" s="21"/>
      <c r="G74" s="21"/>
      <c r="H74" s="21"/>
      <c r="I74" s="21"/>
      <c r="J74" s="21"/>
      <c r="K74" s="21"/>
    </row>
    <row r="75" spans="2:11" ht="19" customHeight="1">
      <c r="B75" s="20"/>
      <c r="C75" s="20"/>
      <c r="D75" s="20"/>
      <c r="E75" s="21"/>
      <c r="F75" s="21"/>
      <c r="G75" s="21"/>
      <c r="H75" s="21"/>
      <c r="I75" s="21"/>
      <c r="J75" s="21"/>
      <c r="K75" s="21"/>
    </row>
    <row r="77" spans="2:11" ht="22" customHeight="1">
      <c r="B77" s="15" t="s">
        <v>173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1" ht="32" customHeight="1">
      <c r="B78" s="5" t="s">
        <v>174</v>
      </c>
      <c r="C78" s="5"/>
      <c r="D78" s="5"/>
      <c r="E78" s="22"/>
      <c r="F78" s="22"/>
      <c r="G78" s="22"/>
      <c r="H78" s="22"/>
      <c r="I78" s="22"/>
      <c r="J78" s="22"/>
      <c r="K78" s="22"/>
    </row>
    <row r="79" spans="2:11" ht="20" customHeight="1">
      <c r="B79" s="5" t="s">
        <v>175</v>
      </c>
      <c r="C79" s="5"/>
      <c r="D79" s="5"/>
      <c r="E79" s="17"/>
      <c r="F79" s="17"/>
      <c r="G79" s="5" t="s">
        <v>176</v>
      </c>
      <c r="H79" s="17"/>
      <c r="I79" s="17"/>
      <c r="J79" s="17"/>
      <c r="K79" s="17"/>
    </row>
    <row r="80" spans="2:11" ht="20" customHeight="1">
      <c r="B80" s="5" t="s">
        <v>177</v>
      </c>
      <c r="C80" s="5"/>
      <c r="D80" s="5"/>
      <c r="E80" s="17"/>
      <c r="F80" s="17"/>
      <c r="G80" s="5" t="s">
        <v>78</v>
      </c>
      <c r="H80" s="17"/>
      <c r="I80" s="17"/>
    </row>
    <row r="81" spans="2:13" ht="20" customHeight="1">
      <c r="B81" s="5" t="s">
        <v>76</v>
      </c>
      <c r="C81" s="5"/>
      <c r="D81" s="5"/>
      <c r="E81" s="17"/>
      <c r="F81" s="17"/>
      <c r="G81" s="5" t="s">
        <v>77</v>
      </c>
      <c r="H81" s="17"/>
      <c r="I81" s="17"/>
    </row>
    <row r="83" spans="2:13" ht="22" customHeight="1">
      <c r="B83" s="15" t="s">
        <v>178</v>
      </c>
      <c r="C83" s="15"/>
      <c r="D83" s="15"/>
      <c r="E83" s="15"/>
      <c r="F83" s="15"/>
      <c r="G83" s="15"/>
      <c r="H83" s="15"/>
      <c r="I83" s="15"/>
      <c r="J83" s="15"/>
      <c r="K83" s="15"/>
    </row>
    <row r="84" spans="2:13" ht="20" customHeight="1">
      <c r="B84" s="5" t="s">
        <v>179</v>
      </c>
      <c r="C84" s="5"/>
      <c r="D84" s="5"/>
      <c r="E84" s="17"/>
      <c r="F84" s="17"/>
      <c r="G84" s="17"/>
      <c r="H84" s="17"/>
      <c r="I84" s="17"/>
      <c r="J84" s="17"/>
      <c r="K84" s="17"/>
    </row>
    <row r="85" spans="2:13" ht="20" customHeight="1">
      <c r="B85" s="5" t="s">
        <v>180</v>
      </c>
      <c r="C85" s="5"/>
      <c r="D85" s="5"/>
      <c r="E85" s="17"/>
      <c r="F85" s="17"/>
      <c r="G85" s="17"/>
      <c r="H85" s="17"/>
      <c r="I85" s="17"/>
      <c r="J85" s="17"/>
      <c r="K85" s="17"/>
    </row>
    <row r="87" spans="2:13" ht="22" customHeight="1">
      <c r="B87" s="15" t="s">
        <v>181</v>
      </c>
      <c r="C87" s="15"/>
      <c r="D87" s="15"/>
      <c r="E87" s="15"/>
      <c r="F87" s="15"/>
      <c r="G87" s="15"/>
      <c r="H87" s="15"/>
      <c r="I87" s="15"/>
      <c r="J87" s="15"/>
      <c r="K87" s="15"/>
    </row>
    <row r="88" spans="2:13" ht="20" customHeight="1">
      <c r="B88" s="5" t="s">
        <v>182</v>
      </c>
      <c r="C88" s="5"/>
      <c r="D88" s="5"/>
      <c r="E88" s="17"/>
      <c r="F88" s="17"/>
      <c r="G88" s="5" t="s">
        <v>183</v>
      </c>
      <c r="H88" s="5"/>
      <c r="I88" s="17"/>
      <c r="J88" s="17"/>
      <c r="K88" s="17"/>
    </row>
    <row r="89" spans="2:13" ht="20" customHeight="1">
      <c r="B89" s="5" t="s">
        <v>184</v>
      </c>
      <c r="C89" s="5"/>
      <c r="D89" s="5"/>
      <c r="E89" s="17"/>
      <c r="F89" s="17"/>
      <c r="G89" s="17"/>
      <c r="H89" s="17"/>
      <c r="I89" s="17"/>
      <c r="J89" s="17"/>
      <c r="K89" s="17"/>
    </row>
    <row r="90" spans="2:13">
      <c r="B90" s="5" t="s">
        <v>185</v>
      </c>
      <c r="C90" s="5"/>
      <c r="D90" s="5"/>
      <c r="E90" s="21"/>
      <c r="F90" s="21"/>
      <c r="G90" s="21"/>
      <c r="H90" s="21"/>
      <c r="I90" s="21"/>
      <c r="J90" s="21"/>
      <c r="K90" s="21"/>
    </row>
    <row r="91" spans="2:13">
      <c r="B91" s="5"/>
      <c r="C91" s="5"/>
      <c r="D91" s="5"/>
      <c r="E91" s="21"/>
      <c r="F91" s="21"/>
      <c r="G91" s="21"/>
      <c r="H91" s="21"/>
      <c r="I91" s="21"/>
      <c r="J91" s="21"/>
      <c r="K91" s="21"/>
    </row>
    <row r="92" spans="2:13">
      <c r="B92" s="5"/>
      <c r="C92" s="5"/>
      <c r="D92" s="5"/>
      <c r="E92" s="21"/>
      <c r="F92" s="21"/>
      <c r="G92" s="21"/>
      <c r="H92" s="21"/>
      <c r="I92" s="21"/>
      <c r="J92" s="21"/>
      <c r="K92" s="21"/>
    </row>
    <row r="94" spans="2:13" ht="26" customHeight="1">
      <c r="B94" s="10" t="s">
        <v>186</v>
      </c>
      <c r="C94" s="10"/>
      <c r="D94" s="10"/>
      <c r="E94" s="10"/>
      <c r="F94" s="10"/>
      <c r="G94" s="10"/>
      <c r="H94" s="10"/>
      <c r="I94" s="10"/>
      <c r="J94" s="10"/>
      <c r="K94" s="10"/>
      <c r="M94" s="11" t="s">
        <v>187</v>
      </c>
    </row>
    <row r="95" spans="2:13" ht="22" customHeight="1">
      <c r="B95" s="5" t="s">
        <v>158</v>
      </c>
      <c r="C95" s="5"/>
      <c r="D95" s="12"/>
      <c r="E95" s="5" t="s">
        <v>159</v>
      </c>
      <c r="F95" s="13"/>
      <c r="G95" s="13"/>
      <c r="H95" s="13"/>
      <c r="I95" s="13"/>
      <c r="J95" s="13"/>
      <c r="K95" s="13"/>
    </row>
    <row r="96" spans="2:13" ht="22" customHeight="1">
      <c r="B96" s="5" t="s">
        <v>160</v>
      </c>
      <c r="C96" s="5"/>
      <c r="D96" s="14"/>
      <c r="E96" s="14"/>
      <c r="F96" s="14"/>
      <c r="G96" s="5" t="s">
        <v>161</v>
      </c>
      <c r="H96" s="5"/>
      <c r="I96" s="14"/>
      <c r="J96" s="14"/>
      <c r="K96" s="14"/>
    </row>
    <row r="98" spans="2:11" ht="20" customHeight="1">
      <c r="B98" s="15" t="s">
        <v>162</v>
      </c>
      <c r="C98" s="15"/>
      <c r="D98" s="15"/>
      <c r="E98" s="15"/>
      <c r="F98" s="15"/>
      <c r="G98" s="15"/>
      <c r="H98" s="15"/>
      <c r="I98" s="15"/>
      <c r="J98" s="15"/>
      <c r="K98" s="15"/>
    </row>
    <row r="99" spans="2:11" ht="19" customHeight="1">
      <c r="B99" s="16">
        <v>1</v>
      </c>
      <c r="C99" s="17"/>
      <c r="D99" s="17"/>
      <c r="E99" s="17"/>
      <c r="F99" s="17"/>
      <c r="G99" s="17"/>
      <c r="H99" s="17"/>
      <c r="I99" s="17"/>
      <c r="J99" s="17"/>
      <c r="K99" s="17"/>
    </row>
    <row r="100" spans="2:11" ht="19" customHeight="1">
      <c r="B100" s="16">
        <v>2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3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4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5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4" spans="2:11" ht="19" customHeight="1">
      <c r="B104" s="16">
        <v>6</v>
      </c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2:11" ht="19" customHeight="1">
      <c r="B105" s="16">
        <v>7</v>
      </c>
      <c r="C105" s="17"/>
      <c r="D105" s="17"/>
      <c r="E105" s="17"/>
      <c r="F105" s="17"/>
      <c r="G105" s="17"/>
      <c r="H105" s="17"/>
      <c r="I105" s="17"/>
      <c r="J105" s="17"/>
      <c r="K105" s="17"/>
    </row>
    <row r="106" spans="2:11" ht="19" customHeight="1">
      <c r="B106" s="16">
        <v>8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9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10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11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12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2" spans="2:11" ht="20" customHeight="1">
      <c r="B112" s="15" t="s">
        <v>163</v>
      </c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2:11" ht="19" customHeight="1">
      <c r="B113" s="16">
        <v>1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4" spans="2:11" ht="19" customHeight="1">
      <c r="B114" s="16">
        <v>2</v>
      </c>
      <c r="C114" s="17"/>
      <c r="D114" s="17"/>
      <c r="E114" s="17"/>
      <c r="F114" s="17"/>
      <c r="G114" s="17"/>
      <c r="H114" s="17"/>
      <c r="I114" s="17"/>
      <c r="J114" s="17"/>
      <c r="K114" s="17"/>
    </row>
    <row r="115" spans="2:11" ht="19" customHeight="1">
      <c r="B115" s="16">
        <v>3</v>
      </c>
      <c r="C115" s="17"/>
      <c r="D115" s="17"/>
      <c r="E115" s="17"/>
      <c r="F115" s="17"/>
      <c r="G115" s="17"/>
      <c r="H115" s="17"/>
      <c r="I115" s="17"/>
      <c r="J115" s="17"/>
      <c r="K115" s="17"/>
    </row>
    <row r="116" spans="2:11" ht="19" customHeight="1">
      <c r="B116" s="16">
        <v>4</v>
      </c>
      <c r="C116" s="17"/>
      <c r="D116" s="17"/>
      <c r="E116" s="17"/>
      <c r="F116" s="17"/>
      <c r="G116" s="17"/>
      <c r="H116" s="17"/>
      <c r="I116" s="17"/>
      <c r="J116" s="17"/>
      <c r="K116" s="17"/>
    </row>
    <row r="118" spans="2:11" ht="20" customHeight="1">
      <c r="B118" s="15" t="s">
        <v>164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6">
        <v>1</v>
      </c>
      <c r="C119" s="17"/>
      <c r="D119" s="17"/>
      <c r="E119" s="17"/>
      <c r="F119" s="17"/>
      <c r="G119" s="17"/>
      <c r="H119" s="17"/>
      <c r="I119" s="17"/>
      <c r="J119" s="17"/>
      <c r="K119" s="17"/>
    </row>
    <row r="120" spans="2:11" ht="19" customHeight="1">
      <c r="B120" s="16">
        <v>2</v>
      </c>
      <c r="C120" s="17"/>
      <c r="D120" s="17"/>
      <c r="E120" s="17"/>
      <c r="F120" s="17"/>
      <c r="G120" s="17"/>
      <c r="H120" s="17"/>
      <c r="I120" s="17"/>
      <c r="J120" s="17"/>
      <c r="K120" s="17"/>
    </row>
    <row r="121" spans="2:11" ht="19" customHeight="1">
      <c r="B121" s="16">
        <v>3</v>
      </c>
      <c r="C121" s="17"/>
      <c r="D121" s="17"/>
      <c r="E121" s="17"/>
      <c r="F121" s="17"/>
      <c r="G121" s="17"/>
      <c r="H121" s="17"/>
      <c r="I121" s="17"/>
      <c r="J121" s="17"/>
      <c r="K121" s="17"/>
    </row>
    <row r="122" spans="2:11" ht="19" customHeight="1">
      <c r="B122" s="16">
        <v>4</v>
      </c>
      <c r="C122" s="17"/>
      <c r="D122" s="17"/>
      <c r="E122" s="17"/>
      <c r="F122" s="17"/>
      <c r="G122" s="17"/>
      <c r="H122" s="17"/>
      <c r="I122" s="17"/>
      <c r="J122" s="17"/>
      <c r="K122" s="17"/>
    </row>
    <row r="124" spans="2:11" ht="20" customHeight="1">
      <c r="B124" s="15" t="s">
        <v>165</v>
      </c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2:11" ht="19" customHeight="1">
      <c r="B125" s="16">
        <v>1</v>
      </c>
      <c r="C125" s="17"/>
      <c r="D125" s="17"/>
      <c r="E125" s="17"/>
      <c r="F125" s="17"/>
      <c r="G125" s="17"/>
      <c r="H125" s="17"/>
      <c r="I125" s="17"/>
      <c r="J125" s="17"/>
      <c r="K125" s="17"/>
    </row>
    <row r="126" spans="2:11" ht="19" customHeight="1">
      <c r="B126" s="16">
        <v>2</v>
      </c>
      <c r="C126" s="17"/>
      <c r="D126" s="17"/>
      <c r="E126" s="17"/>
      <c r="F126" s="17"/>
      <c r="G126" s="17"/>
      <c r="H126" s="17"/>
      <c r="I126" s="17"/>
      <c r="J126" s="17"/>
      <c r="K126" s="17"/>
    </row>
    <row r="127" spans="2:11" ht="19" customHeight="1">
      <c r="B127" s="16">
        <v>3</v>
      </c>
      <c r="C127" s="17"/>
      <c r="D127" s="17"/>
      <c r="E127" s="17"/>
      <c r="F127" s="17"/>
      <c r="G127" s="17"/>
      <c r="H127" s="17"/>
      <c r="I127" s="17"/>
      <c r="J127" s="17"/>
      <c r="K127" s="17"/>
    </row>
    <row r="128" spans="2:11" ht="19" customHeight="1">
      <c r="B128" s="16">
        <v>4</v>
      </c>
      <c r="C128" s="17"/>
      <c r="D128" s="17"/>
      <c r="E128" s="17"/>
      <c r="F128" s="17"/>
      <c r="G128" s="17"/>
      <c r="H128" s="17"/>
      <c r="I128" s="17"/>
      <c r="J128" s="17"/>
      <c r="K128" s="17"/>
    </row>
    <row r="129" spans="2:11" ht="19" customHeight="1">
      <c r="B129" s="16">
        <v>5</v>
      </c>
      <c r="C129" s="17"/>
      <c r="D129" s="17"/>
      <c r="E129" s="17"/>
      <c r="F129" s="17"/>
      <c r="G129" s="17"/>
      <c r="H129" s="17"/>
      <c r="I129" s="17"/>
      <c r="J129" s="17"/>
      <c r="K129" s="17"/>
    </row>
    <row r="130" spans="2:11" ht="19" customHeight="1">
      <c r="B130" s="16">
        <v>6</v>
      </c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6">
        <v>7</v>
      </c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6">
        <v>8</v>
      </c>
      <c r="C132" s="17"/>
      <c r="D132" s="17"/>
      <c r="E132" s="17"/>
      <c r="F132" s="17"/>
      <c r="G132" s="17"/>
      <c r="H132" s="17"/>
      <c r="I132" s="17"/>
      <c r="J132" s="17"/>
      <c r="K132" s="17"/>
    </row>
    <row r="134" spans="2:11" ht="20" customHeight="1">
      <c r="B134" s="15" t="s">
        <v>166</v>
      </c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2:11" ht="19" customHeight="1">
      <c r="B135" s="16">
        <v>1</v>
      </c>
      <c r="C135" s="17"/>
      <c r="D135" s="17"/>
      <c r="E135" s="17"/>
      <c r="F135" s="17"/>
      <c r="G135" s="17"/>
      <c r="H135" s="17"/>
      <c r="I135" s="17"/>
      <c r="J135" s="17"/>
      <c r="K135" s="17"/>
    </row>
    <row r="136" spans="2:11" ht="19" customHeight="1">
      <c r="B136" s="16">
        <v>2</v>
      </c>
      <c r="C136" s="17"/>
      <c r="D136" s="17"/>
      <c r="E136" s="17"/>
      <c r="F136" s="17"/>
      <c r="G136" s="17"/>
      <c r="H136" s="17"/>
      <c r="I136" s="17"/>
      <c r="J136" s="17"/>
      <c r="K136" s="17"/>
    </row>
    <row r="137" spans="2:11" ht="19" customHeight="1">
      <c r="B137" s="16">
        <v>3</v>
      </c>
      <c r="C137" s="17"/>
      <c r="D137" s="17"/>
      <c r="E137" s="17"/>
      <c r="F137" s="17"/>
      <c r="G137" s="17"/>
      <c r="H137" s="17"/>
      <c r="I137" s="17"/>
      <c r="J137" s="17"/>
      <c r="K137" s="17"/>
    </row>
    <row r="139" spans="2:11" ht="20" customHeight="1">
      <c r="B139" s="15" t="s">
        <v>167</v>
      </c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2:11" ht="20" customHeight="1">
      <c r="B140" s="5" t="s">
        <v>168</v>
      </c>
      <c r="C140" s="5"/>
      <c r="D140" s="18"/>
      <c r="E140" s="18"/>
      <c r="F140" s="5" t="s">
        <v>46</v>
      </c>
      <c r="G140" s="19"/>
      <c r="H140" s="5" t="s">
        <v>32</v>
      </c>
      <c r="I140" s="19"/>
      <c r="J140" s="5" t="s">
        <v>51</v>
      </c>
      <c r="K140" s="19"/>
    </row>
    <row r="141" spans="2:11" ht="20" customHeight="1">
      <c r="B141" s="5" t="s">
        <v>37</v>
      </c>
      <c r="C141" s="5"/>
      <c r="D141" s="19"/>
      <c r="E141" s="19"/>
      <c r="F141" s="5" t="s">
        <v>43</v>
      </c>
      <c r="G141" s="19"/>
    </row>
    <row r="142" spans="2:11" ht="19" customHeight="1">
      <c r="B142" s="16">
        <v>1</v>
      </c>
      <c r="C142" s="17"/>
      <c r="D142" s="17"/>
      <c r="E142" s="17"/>
      <c r="F142" s="17"/>
      <c r="G142" s="17"/>
      <c r="H142" s="17"/>
      <c r="I142" s="17"/>
      <c r="J142" s="17"/>
      <c r="K142" s="17"/>
    </row>
    <row r="143" spans="2:11" ht="19" customHeight="1">
      <c r="B143" s="16">
        <v>2</v>
      </c>
      <c r="C143" s="17"/>
      <c r="D143" s="17"/>
      <c r="E143" s="17"/>
      <c r="F143" s="17"/>
      <c r="G143" s="17"/>
      <c r="H143" s="17"/>
      <c r="I143" s="17"/>
      <c r="J143" s="17"/>
      <c r="K143" s="17"/>
    </row>
    <row r="145" spans="2:11" ht="20" customHeight="1">
      <c r="B145" s="15" t="s">
        <v>169</v>
      </c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2:11" ht="19" customHeight="1">
      <c r="B146" s="16">
        <v>1</v>
      </c>
      <c r="C146" s="17"/>
      <c r="D146" s="17"/>
      <c r="E146" s="17"/>
      <c r="F146" s="17"/>
      <c r="G146" s="17"/>
      <c r="H146" s="17"/>
      <c r="I146" s="17"/>
      <c r="J146" s="17"/>
      <c r="K146" s="17"/>
    </row>
    <row r="147" spans="2:11" ht="19" customHeight="1">
      <c r="B147" s="16">
        <v>2</v>
      </c>
      <c r="C147" s="17"/>
      <c r="D147" s="17"/>
      <c r="E147" s="17"/>
      <c r="F147" s="17"/>
      <c r="G147" s="17"/>
      <c r="H147" s="17"/>
      <c r="I147" s="17"/>
      <c r="J147" s="17"/>
      <c r="K147" s="17"/>
    </row>
    <row r="148" spans="2:11" ht="19" customHeight="1">
      <c r="B148" s="16">
        <v>3</v>
      </c>
      <c r="C148" s="17"/>
      <c r="D148" s="17"/>
      <c r="E148" s="17"/>
      <c r="F148" s="17"/>
      <c r="G148" s="17"/>
      <c r="H148" s="17"/>
      <c r="I148" s="17"/>
      <c r="J148" s="17"/>
      <c r="K148" s="17"/>
    </row>
    <row r="149" spans="2:11" ht="19" customHeight="1">
      <c r="B149" s="16">
        <v>4</v>
      </c>
      <c r="C149" s="17"/>
      <c r="D149" s="17"/>
      <c r="E149" s="17"/>
      <c r="F149" s="17"/>
      <c r="G149" s="17"/>
      <c r="H149" s="17"/>
      <c r="I149" s="17"/>
      <c r="J149" s="17"/>
      <c r="K149" s="17"/>
    </row>
    <row r="150" spans="2:11" ht="19" customHeight="1">
      <c r="B150" s="16">
        <v>5</v>
      </c>
      <c r="C150" s="17"/>
      <c r="D150" s="17"/>
      <c r="E150" s="17"/>
      <c r="F150" s="17"/>
      <c r="G150" s="17"/>
      <c r="H150" s="17"/>
      <c r="I150" s="17"/>
      <c r="J150" s="17"/>
      <c r="K150" s="17"/>
    </row>
    <row r="151" spans="2:11" ht="19" customHeight="1">
      <c r="B151" s="16">
        <v>6</v>
      </c>
      <c r="C151" s="17"/>
      <c r="D151" s="17"/>
      <c r="E151" s="17"/>
      <c r="F151" s="17"/>
      <c r="G151" s="17"/>
      <c r="H151" s="17"/>
      <c r="I151" s="17"/>
      <c r="J151" s="17"/>
      <c r="K151" s="17"/>
    </row>
    <row r="153" spans="2:11" ht="22" customHeight="1">
      <c r="B153" s="15" t="s">
        <v>170</v>
      </c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2:11" ht="19" customHeight="1">
      <c r="B154" s="20" t="s">
        <v>171</v>
      </c>
      <c r="C154" s="20"/>
      <c r="D154" s="20"/>
      <c r="E154" s="21"/>
      <c r="F154" s="21"/>
      <c r="G154" s="21"/>
      <c r="H154" s="21"/>
      <c r="I154" s="21"/>
      <c r="J154" s="21"/>
      <c r="K154" s="21"/>
    </row>
    <row r="155" spans="2:11" ht="19" customHeight="1">
      <c r="B155" s="20"/>
      <c r="C155" s="20"/>
      <c r="D155" s="20"/>
      <c r="E155" s="21"/>
      <c r="F155" s="21"/>
      <c r="G155" s="21"/>
      <c r="H155" s="21"/>
      <c r="I155" s="21"/>
      <c r="J155" s="21"/>
      <c r="K155" s="21"/>
    </row>
    <row r="156" spans="2:11" ht="19" customHeight="1">
      <c r="B156" s="20"/>
      <c r="C156" s="20"/>
      <c r="D156" s="20"/>
      <c r="E156" s="21"/>
      <c r="F156" s="21"/>
      <c r="G156" s="21"/>
      <c r="H156" s="21"/>
      <c r="I156" s="21"/>
      <c r="J156" s="21"/>
      <c r="K156" s="21"/>
    </row>
    <row r="157" spans="2:11" ht="19" customHeight="1">
      <c r="B157" s="20" t="s">
        <v>172</v>
      </c>
      <c r="C157" s="20"/>
      <c r="D157" s="20"/>
      <c r="E157" s="21"/>
      <c r="F157" s="21"/>
      <c r="G157" s="21"/>
      <c r="H157" s="21"/>
      <c r="I157" s="21"/>
      <c r="J157" s="21"/>
      <c r="K157" s="21"/>
    </row>
    <row r="158" spans="2:11" ht="19" customHeight="1">
      <c r="B158" s="20"/>
      <c r="C158" s="20"/>
      <c r="D158" s="20"/>
      <c r="E158" s="21"/>
      <c r="F158" s="21"/>
      <c r="G158" s="21"/>
      <c r="H158" s="21"/>
      <c r="I158" s="21"/>
      <c r="J158" s="21"/>
      <c r="K158" s="21"/>
    </row>
    <row r="159" spans="2:11" ht="19" customHeight="1">
      <c r="B159" s="20"/>
      <c r="C159" s="20"/>
      <c r="D159" s="20"/>
      <c r="E159" s="21"/>
      <c r="F159" s="21"/>
      <c r="G159" s="21"/>
      <c r="H159" s="21"/>
      <c r="I159" s="21"/>
      <c r="J159" s="21"/>
      <c r="K159" s="21"/>
    </row>
    <row r="161" spans="2:11" ht="22" customHeight="1">
      <c r="B161" s="15" t="s">
        <v>173</v>
      </c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2:11" ht="32" customHeight="1">
      <c r="B162" s="5" t="s">
        <v>174</v>
      </c>
      <c r="C162" s="5"/>
      <c r="D162" s="5"/>
      <c r="E162" s="22"/>
      <c r="F162" s="22"/>
      <c r="G162" s="22"/>
      <c r="H162" s="22"/>
      <c r="I162" s="22"/>
      <c r="J162" s="22"/>
      <c r="K162" s="22"/>
    </row>
    <row r="163" spans="2:11" ht="20" customHeight="1">
      <c r="B163" s="5" t="s">
        <v>175</v>
      </c>
      <c r="C163" s="5"/>
      <c r="D163" s="5"/>
      <c r="E163" s="17"/>
      <c r="F163" s="17"/>
      <c r="G163" s="5" t="s">
        <v>176</v>
      </c>
      <c r="H163" s="17"/>
      <c r="I163" s="17"/>
      <c r="J163" s="17"/>
      <c r="K163" s="17"/>
    </row>
    <row r="164" spans="2:11" ht="20" customHeight="1">
      <c r="B164" s="5" t="s">
        <v>177</v>
      </c>
      <c r="C164" s="5"/>
      <c r="D164" s="5"/>
      <c r="E164" s="17"/>
      <c r="F164" s="17"/>
      <c r="G164" s="5" t="s">
        <v>78</v>
      </c>
      <c r="H164" s="17"/>
      <c r="I164" s="17"/>
    </row>
    <row r="165" spans="2:11" ht="20" customHeight="1">
      <c r="B165" s="5" t="s">
        <v>76</v>
      </c>
      <c r="C165" s="5"/>
      <c r="D165" s="5"/>
      <c r="E165" s="17"/>
      <c r="F165" s="17"/>
      <c r="G165" s="5" t="s">
        <v>77</v>
      </c>
      <c r="H165" s="17"/>
      <c r="I165" s="17"/>
    </row>
    <row r="167" spans="2:11" ht="22" customHeight="1">
      <c r="B167" s="15" t="s">
        <v>178</v>
      </c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2:11" ht="20" customHeight="1">
      <c r="B168" s="5" t="s">
        <v>179</v>
      </c>
      <c r="C168" s="5"/>
      <c r="D168" s="5"/>
      <c r="E168" s="17"/>
      <c r="F168" s="17"/>
      <c r="G168" s="17"/>
      <c r="H168" s="17"/>
      <c r="I168" s="17"/>
      <c r="J168" s="17"/>
      <c r="K168" s="17"/>
    </row>
    <row r="169" spans="2:11" ht="20" customHeight="1">
      <c r="B169" s="5" t="s">
        <v>180</v>
      </c>
      <c r="C169" s="5"/>
      <c r="D169" s="5"/>
      <c r="E169" s="17"/>
      <c r="F169" s="17"/>
      <c r="G169" s="17"/>
      <c r="H169" s="17"/>
      <c r="I169" s="17"/>
      <c r="J169" s="17"/>
      <c r="K169" s="17"/>
    </row>
    <row r="171" spans="2:11" ht="22" customHeight="1">
      <c r="B171" s="15" t="s">
        <v>181</v>
      </c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2:11" ht="20" customHeight="1">
      <c r="B172" s="5" t="s">
        <v>182</v>
      </c>
      <c r="C172" s="5"/>
      <c r="D172" s="5"/>
      <c r="E172" s="17"/>
      <c r="F172" s="17"/>
      <c r="G172" s="5" t="s">
        <v>183</v>
      </c>
      <c r="H172" s="5"/>
      <c r="I172" s="17"/>
      <c r="J172" s="17"/>
      <c r="K172" s="17"/>
    </row>
    <row r="173" spans="2:11" ht="20" customHeight="1">
      <c r="B173" s="5" t="s">
        <v>184</v>
      </c>
      <c r="C173" s="5"/>
      <c r="D173" s="5"/>
      <c r="E173" s="17"/>
      <c r="F173" s="17"/>
      <c r="G173" s="17"/>
      <c r="H173" s="17"/>
      <c r="I173" s="17"/>
      <c r="J173" s="17"/>
      <c r="K173" s="17"/>
    </row>
    <row r="174" spans="2:11">
      <c r="B174" s="5" t="s">
        <v>185</v>
      </c>
      <c r="C174" s="5"/>
      <c r="D174" s="5"/>
      <c r="E174" s="21"/>
      <c r="F174" s="21"/>
      <c r="G174" s="21"/>
      <c r="H174" s="21"/>
      <c r="I174" s="21"/>
      <c r="J174" s="21"/>
      <c r="K174" s="21"/>
    </row>
    <row r="175" spans="2:11">
      <c r="B175" s="5"/>
      <c r="C175" s="5"/>
      <c r="D175" s="5"/>
      <c r="E175" s="21"/>
      <c r="F175" s="21"/>
      <c r="G175" s="21"/>
      <c r="H175" s="21"/>
      <c r="I175" s="21"/>
      <c r="J175" s="21"/>
      <c r="K175" s="21"/>
    </row>
    <row r="176" spans="2:11">
      <c r="B176" s="5"/>
      <c r="C176" s="5"/>
      <c r="D176" s="5"/>
      <c r="E176" s="21"/>
      <c r="F176" s="21"/>
      <c r="G176" s="21"/>
      <c r="H176" s="21"/>
      <c r="I176" s="21"/>
      <c r="J176" s="21"/>
      <c r="K176" s="21"/>
    </row>
  </sheetData>
  <sheetProtection sheet="1" objects="1" scenarios="1" formatColumns="0" formatRows="0"/>
  <mergeCells count="181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C51:K51"/>
    <mergeCell ref="C52:K52"/>
    <mergeCell ref="C53:K53"/>
    <mergeCell ref="B55:K55"/>
    <mergeCell ref="B56:C56"/>
    <mergeCell ref="D56:E56"/>
    <mergeCell ref="B57:C57"/>
    <mergeCell ref="D57:E57"/>
    <mergeCell ref="C58:K58"/>
    <mergeCell ref="C59:K59"/>
    <mergeCell ref="B61:K61"/>
    <mergeCell ref="C62:K62"/>
    <mergeCell ref="C63:K63"/>
    <mergeCell ref="C64:K64"/>
    <mergeCell ref="C65:K65"/>
    <mergeCell ref="C66:K66"/>
    <mergeCell ref="C67:K67"/>
    <mergeCell ref="B69:K69"/>
    <mergeCell ref="B70:D72"/>
    <mergeCell ref="E70:K72"/>
    <mergeCell ref="B73:D75"/>
    <mergeCell ref="E73:K75"/>
    <mergeCell ref="B77:K77"/>
    <mergeCell ref="B78:D78"/>
    <mergeCell ref="E78:K78"/>
    <mergeCell ref="B79:D79"/>
    <mergeCell ref="E79:F79"/>
    <mergeCell ref="H79:K79"/>
    <mergeCell ref="B80:D80"/>
    <mergeCell ref="E80:F80"/>
    <mergeCell ref="H80:I80"/>
    <mergeCell ref="B81:D81"/>
    <mergeCell ref="E81:F81"/>
    <mergeCell ref="H81:I81"/>
    <mergeCell ref="B83:K83"/>
    <mergeCell ref="B84:D84"/>
    <mergeCell ref="E84:K84"/>
    <mergeCell ref="B85:D85"/>
    <mergeCell ref="E85:K85"/>
    <mergeCell ref="B87:K87"/>
    <mergeCell ref="B88:D88"/>
    <mergeCell ref="E88:F88"/>
    <mergeCell ref="G88:H88"/>
    <mergeCell ref="I88:K88"/>
    <mergeCell ref="B89:D89"/>
    <mergeCell ref="E89:K89"/>
    <mergeCell ref="B90:D92"/>
    <mergeCell ref="E90:K92"/>
    <mergeCell ref="B94:K94"/>
    <mergeCell ref="B95:C95"/>
    <mergeCell ref="F95:K95"/>
    <mergeCell ref="B96:C96"/>
    <mergeCell ref="D96:F96"/>
    <mergeCell ref="G96:H96"/>
    <mergeCell ref="I96:K96"/>
    <mergeCell ref="B98:K98"/>
    <mergeCell ref="C99:K99"/>
    <mergeCell ref="C100:K100"/>
    <mergeCell ref="C101:K101"/>
    <mergeCell ref="C102:K102"/>
    <mergeCell ref="C103:K103"/>
    <mergeCell ref="C104:K104"/>
    <mergeCell ref="C105:K105"/>
    <mergeCell ref="C106:K106"/>
    <mergeCell ref="C107:K107"/>
    <mergeCell ref="C108:K108"/>
    <mergeCell ref="C109:K109"/>
    <mergeCell ref="C110:K110"/>
    <mergeCell ref="B112:K112"/>
    <mergeCell ref="C113:K113"/>
    <mergeCell ref="C114:K114"/>
    <mergeCell ref="C115:K115"/>
    <mergeCell ref="C116:K116"/>
    <mergeCell ref="B118:K118"/>
    <mergeCell ref="C119:K119"/>
    <mergeCell ref="C120:K120"/>
    <mergeCell ref="C121:K121"/>
    <mergeCell ref="C122:K122"/>
    <mergeCell ref="B124:K124"/>
    <mergeCell ref="C125:K125"/>
    <mergeCell ref="C126:K126"/>
    <mergeCell ref="C127:K127"/>
    <mergeCell ref="C128:K128"/>
    <mergeCell ref="C129:K129"/>
    <mergeCell ref="C130:K130"/>
    <mergeCell ref="C131:K131"/>
    <mergeCell ref="C132:K132"/>
    <mergeCell ref="B134:K134"/>
    <mergeCell ref="C135:K135"/>
    <mergeCell ref="C136:K136"/>
    <mergeCell ref="C137:K137"/>
    <mergeCell ref="B139:K139"/>
    <mergeCell ref="B140:C140"/>
    <mergeCell ref="D140:E140"/>
    <mergeCell ref="B141:C141"/>
    <mergeCell ref="D141:E141"/>
    <mergeCell ref="C142:K142"/>
    <mergeCell ref="C143:K143"/>
    <mergeCell ref="B145:K145"/>
    <mergeCell ref="C146:K146"/>
    <mergeCell ref="C147:K147"/>
    <mergeCell ref="C148:K148"/>
    <mergeCell ref="C149:K149"/>
    <mergeCell ref="C150:K150"/>
    <mergeCell ref="C151:K151"/>
    <mergeCell ref="B153:K153"/>
    <mergeCell ref="B154:D156"/>
    <mergeCell ref="E154:K156"/>
    <mergeCell ref="B157:D159"/>
    <mergeCell ref="E157:K159"/>
    <mergeCell ref="B161:K161"/>
    <mergeCell ref="B162:D162"/>
    <mergeCell ref="E162:K162"/>
    <mergeCell ref="B163:D163"/>
    <mergeCell ref="E163:F163"/>
    <mergeCell ref="H163:K163"/>
    <mergeCell ref="B164:D164"/>
    <mergeCell ref="E164:F164"/>
    <mergeCell ref="H164:I164"/>
    <mergeCell ref="B165:D165"/>
    <mergeCell ref="E165:F165"/>
    <mergeCell ref="H165:I165"/>
    <mergeCell ref="B167:K167"/>
    <mergeCell ref="B168:D168"/>
    <mergeCell ref="E168:K168"/>
    <mergeCell ref="B169:D169"/>
    <mergeCell ref="E169:K169"/>
    <mergeCell ref="B171:K171"/>
    <mergeCell ref="B172:D172"/>
    <mergeCell ref="E172:F172"/>
    <mergeCell ref="G172:H172"/>
    <mergeCell ref="I172:K172"/>
    <mergeCell ref="B173:D173"/>
    <mergeCell ref="E173:K173"/>
    <mergeCell ref="B174:D176"/>
    <mergeCell ref="E174:K176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79">
      <formula1>lstSN</formula1>
    </dataValidation>
    <dataValidation type="list" allowBlank="1" showInputMessage="1" showErrorMessage="1" sqref="E80">
      <formula1>lstAr</formula1>
    </dataValidation>
    <dataValidation type="list" allowBlank="1" showInputMessage="1" showErrorMessage="1" sqref="H80">
      <formula1>lstLigado</formula1>
    </dataValidation>
    <dataValidation type="list" allowBlank="1" showInputMessage="1" showErrorMessage="1" sqref="E81">
      <formula1>lstCond</formula1>
    </dataValidation>
    <dataValidation type="list" allowBlank="1" showInputMessage="1" showErrorMessage="1" sqref="H81">
      <formula1>lstCond</formula1>
    </dataValidation>
    <dataValidation type="list" allowBlank="1" showInputMessage="1" showErrorMessage="1" sqref="D95">
      <formula1>lstTurma</formula1>
    </dataValidation>
    <dataValidation type="list" allowBlank="1" showInputMessage="1" showErrorMessage="1" errorTitle="Produto" error="Escolha um produto da lista." sqref="D96">
      <formula1>lstProdutos</formula1>
    </dataValidation>
    <dataValidation type="list" allowBlank="1" showInputMessage="1" showErrorMessage="1" errorTitle="Produto" error="Escolha um produto da lista." sqref="I96">
      <formula1>lstProdutos</formula1>
    </dataValidation>
    <dataValidation type="list" allowBlank="1" showInputMessage="1" showErrorMessage="1" sqref="E163">
      <formula1>lstSN</formula1>
    </dataValidation>
    <dataValidation type="list" allowBlank="1" showInputMessage="1" showErrorMessage="1" sqref="E164">
      <formula1>lstAr</formula1>
    </dataValidation>
    <dataValidation type="list" allowBlank="1" showInputMessage="1" showErrorMessage="1" sqref="H164">
      <formula1>lstLigado</formula1>
    </dataValidation>
    <dataValidation type="list" allowBlank="1" showInputMessage="1" showErrorMessage="1" sqref="E165">
      <formula1>lstCond</formula1>
    </dataValidation>
    <dataValidation type="list" allowBlank="1" showInputMessage="1" showErrorMessage="1" sqref="H165">
      <formula1>lstCond</formula1>
    </dataValidation>
  </dataValidations>
  <hyperlinks>
    <hyperlink ref="C8" location="'Preenchimento'!B94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94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93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S10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191</v>
      </c>
      <c r="C6" s="23">
        <f>IF(pData="","—",TEXT(DAY(pData),"00")&amp;"/"&amp;TEXT(MONTH(pData),"00")&amp;"/"&amp;YEAR(pData))</f>
        <v>0</v>
      </c>
      <c r="D6" s="23"/>
      <c r="E6" s="20" t="s">
        <v>192</v>
      </c>
      <c r="F6" s="23">
        <f>"Dia  07:00 – 19:00"</f>
        <v>0</v>
      </c>
      <c r="G6" s="23"/>
      <c r="H6" s="23"/>
      <c r="I6" s="20" t="s">
        <v>158</v>
      </c>
      <c r="J6" s="20"/>
      <c r="K6" s="23">
        <f>IF(dLetra="","—",dLetra)</f>
        <v>0</v>
      </c>
      <c r="L6" s="23"/>
      <c r="M6" s="23"/>
      <c r="N6" s="23"/>
    </row>
    <row r="7" spans="1:16" ht="22" customHeight="1">
      <c r="B7" s="20" t="s">
        <v>159</v>
      </c>
      <c r="C7" s="24">
        <f>IF(dTecnico="","—",dTecnico)</f>
        <v>0</v>
      </c>
      <c r="D7" s="24"/>
      <c r="E7" s="24"/>
      <c r="F7" s="24"/>
      <c r="G7" s="24"/>
      <c r="H7" s="20" t="s">
        <v>160</v>
      </c>
      <c r="I7" s="20"/>
      <c r="J7" s="23">
        <f>IF(dProdUS3="","—",dProdUS3)</f>
        <v>0</v>
      </c>
      <c r="K7" s="20" t="s">
        <v>161</v>
      </c>
      <c r="L7" s="20"/>
      <c r="M7" s="23">
        <f>IF(dProdUS4="","—",dProdUS4)</f>
        <v>0</v>
      </c>
      <c r="N7" s="23"/>
    </row>
    <row r="9" spans="1:16" ht="21" customHeight="1">
      <c r="A9" s="25" t="s">
        <v>194</v>
      </c>
      <c r="B9" s="26" t="s">
        <v>193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195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244</v>
      </c>
    </row>
    <row r="11" spans="1:16" ht="17" customHeight="1">
      <c r="A11" s="25" t="s">
        <v>196</v>
      </c>
      <c r="B11" s="28">
        <f>IF(TRIM('Preenchimento'!$C$15)="","","1.   "&amp;TRIM('Preenchimento'!$C$15))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196</v>
      </c>
      <c r="B12" s="28">
        <f>IF(TRIM('Preenchimento'!$C$16)="","","2.   "&amp;TRIM('Preenchimento'!$C$16))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196</v>
      </c>
      <c r="B13" s="28">
        <f>IF(TRIM('Preenchimento'!$C$17)="","","3.   "&amp;TRIM('Preenchimento'!$C$17))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196</v>
      </c>
      <c r="B14" s="28">
        <f>IF(TRIM('Preenchimento'!$C$18)="","","4.   "&amp;TRIM('Preenchimento'!$C$18))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196</v>
      </c>
      <c r="B15" s="28">
        <f>IF(TRIM('Preenchimento'!$C$19)="","","5.   "&amp;TRIM('Preenchimento'!$C$19))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196</v>
      </c>
      <c r="B16" s="28">
        <f>IF(TRIM('Preenchimento'!$C$20)="","","6.   "&amp;TRIM('Preenchimento'!$C$20))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196</v>
      </c>
      <c r="B17" s="28">
        <f>IF(TRIM('Preenchimento'!$C$21)="","","7.   "&amp;TRIM('Preenchimento'!$C$21))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196</v>
      </c>
      <c r="B18" s="28">
        <f>IF(TRIM('Preenchimento'!$C$22)="","","8.   "&amp;TRIM('Preenchimento'!$C$22))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196</v>
      </c>
      <c r="B19" s="28">
        <f>IF(TRIM('Preenchimento'!$C$23)="","","9.   "&amp;TRIM('Preenchimento'!$C$23))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196</v>
      </c>
      <c r="B20" s="28">
        <f>IF(TRIM('Preenchimento'!$C$24)="","","10.   "&amp;TRIM('Preenchimento'!$C$24))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196</v>
      </c>
      <c r="B21" s="28">
        <f>IF(TRIM('Preenchimento'!$C$25)="","","11.   "&amp;TRIM('Preenchimento'!$C$25))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196</v>
      </c>
      <c r="B22" s="28">
        <f>IF(TRIM('Preenchimento'!$C$26)="","","12.   "&amp;TRIM('Preenchimento'!$C$26))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197</v>
      </c>
    </row>
    <row r="24" spans="1:14" ht="18" customHeight="1">
      <c r="A24" s="25" t="s">
        <v>195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196</v>
      </c>
      <c r="B25" s="28">
        <f>IF(TRIM('Preenchimento'!$C$29)="","","1.   "&amp;TRIM('Preenchimento'!$C$29))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196</v>
      </c>
      <c r="B26" s="28">
        <f>IF(TRIM('Preenchimento'!$C$30)="","","2.   "&amp;TRIM('Preenchimento'!$C$30))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196</v>
      </c>
      <c r="B27" s="28">
        <f>IF(TRIM('Preenchimento'!$C$31)="","","3.   "&amp;TRIM('Preenchimento'!$C$31))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196</v>
      </c>
      <c r="B28" s="28">
        <f>IF(TRIM('Preenchimento'!$C$32)="","","4.   "&amp;TRIM('Preenchimento'!$C$32))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197</v>
      </c>
    </row>
    <row r="30" spans="1:14" ht="18" customHeight="1">
      <c r="A30" s="25" t="s">
        <v>195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196</v>
      </c>
      <c r="B31" s="28">
        <f>IF(TRIM('Preenchimento'!$C$35)="","","1.   "&amp;TRIM('Preenchimento'!$C$35))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196</v>
      </c>
      <c r="B32" s="28">
        <f>IF(TRIM('Preenchimento'!$C$36)="","","2.   "&amp;TRIM('Preenchimento'!$C$36))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196</v>
      </c>
      <c r="B33" s="28">
        <f>IF(TRIM('Preenchimento'!$C$37)="","","3.   "&amp;TRIM('Preenchimento'!$C$37))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196</v>
      </c>
      <c r="B34" s="28">
        <f>IF(TRIM('Preenchimento'!$C$38)="","","4.   "&amp;TRIM('Preenchimento'!$C$38))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197</v>
      </c>
    </row>
    <row r="36" spans="1:14" ht="18" customHeight="1">
      <c r="A36" s="25" t="s">
        <v>195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196</v>
      </c>
      <c r="B37" s="28">
        <f>IF(TRIM('Preenchimento'!$C$41)="","","1.   "&amp;TRIM('Preenchimento'!$C$41))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196</v>
      </c>
      <c r="B38" s="28">
        <f>IF(TRIM('Preenchimento'!$C$42)="","","2.   "&amp;TRIM('Preenchimento'!$C$42))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196</v>
      </c>
      <c r="B39" s="28">
        <f>IF(TRIM('Preenchimento'!$C$43)="","","3.   "&amp;TRIM('Preenchimento'!$C$43))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196</v>
      </c>
      <c r="B40" s="28">
        <f>IF(TRIM('Preenchimento'!$C$44)="","","4.   "&amp;TRIM('Preenchimento'!$C$44))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196</v>
      </c>
      <c r="B41" s="28">
        <f>IF(TRIM('Preenchimento'!$C$45)="","","5.   "&amp;TRIM('Preenchimento'!$C$45))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196</v>
      </c>
      <c r="B42" s="28">
        <f>IF(TRIM('Preenchimento'!$C$46)="","","6.   "&amp;TRIM('Preenchimento'!$C$46))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196</v>
      </c>
      <c r="B43" s="28">
        <f>IF(TRIM('Preenchimento'!$C$47)="","","7.   "&amp;TRIM('Preenchimento'!$C$47))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196</v>
      </c>
      <c r="B44" s="28">
        <f>IF(TRIM('Preenchimento'!$C$48)="","","8.   "&amp;TRIM('Preenchimento'!$C$48))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197</v>
      </c>
    </row>
    <row r="46" spans="1:14" ht="18" customHeight="1">
      <c r="A46" s="25" t="s">
        <v>195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196</v>
      </c>
      <c r="B47" s="28">
        <f>IF(TRIM('Preenchimento'!$C$51)="","","1.   "&amp;TRIM('Preenchimento'!$C$51))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196</v>
      </c>
      <c r="B48" s="28">
        <f>IF(TRIM('Preenchimento'!$C$52)="","","2.   "&amp;TRIM('Preenchimento'!$C$52))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196</v>
      </c>
      <c r="B49" s="28">
        <f>IF(TRIM('Preenchimento'!$C$53)="","","3.   "&amp;TRIM('Preenchimento'!$C$53))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197</v>
      </c>
    </row>
    <row r="51" spans="1:14" ht="18" customHeight="1">
      <c r="A51" s="25" t="s">
        <v>195</v>
      </c>
      <c r="B51" s="27" t="s">
        <v>167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196</v>
      </c>
      <c r="B52" s="28">
        <f>IF(AND(dBatch="",AND(dBatchFe="",dBatchSiO2="",dBatchAl2O3="",dBatchP="",dBatchPPC="")),"","Processando batch "&amp;dBatch&amp;IF(AND(dBatchFe="",dBatchSiO2="",dBatchAl2O3="",dBatchP="",dBatchPPC=""),""," com teores: "&amp;LEFT(IF(dBatchFe="","","Fe: "&amp;dBatchFe&amp;"; ")&amp;IF(dBatchSiO2="","","SiO2: "&amp;dBatchSiO2&amp;"; ")&amp;IF(dBatchAl2O3="","","Al2O3: "&amp;dBatchAl2O3&amp;"; ")&amp;IF(dBatchP="","","P: "&amp;dBatchP&amp;"; ")&amp;IF(dBatchPPC="","","PPC: "&amp;dBatchPPC&amp;"; "),LEN(IF(dBatchFe="","","Fe: "&amp;dBatchFe&amp;"; ")&amp;IF(dBatchSiO2="","","SiO2: "&amp;dBatchSiO2&amp;"; ")&amp;IF(dBatchAl2O3="","","Al2O3: "&amp;dBatchAl2O3&amp;"; ")&amp;IF(dBatchP="","","P: "&amp;dBatchP&amp;"; ")&amp;IF(dBatchPPC="","","PPC: "&amp;dBatchPPC&amp;"; "))-2)))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196</v>
      </c>
      <c r="B53" s="28">
        <f>IF(TRIM('Preenchimento'!$C$58)="","",TRIM('Preenchimento'!$C$58))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196</v>
      </c>
      <c r="B54" s="28">
        <f>IF(TRIM('Preenchimento'!$C$59)="","",TRIM('Preenchimento'!$C$59))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4" customHeight="1">
      <c r="A55" s="25" t="s">
        <v>197</v>
      </c>
    </row>
    <row r="56" spans="1:14" ht="18" customHeight="1">
      <c r="A56" s="25" t="s">
        <v>195</v>
      </c>
      <c r="B56" s="27" t="s">
        <v>169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1:14" ht="17" customHeight="1">
      <c r="A57" s="25" t="s">
        <v>196</v>
      </c>
      <c r="B57" s="28">
        <f>IF(TRIM('Preenchimento'!$C$62)="","","1.   "&amp;TRIM('Preenchimento'!$C$62))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17" customHeight="1">
      <c r="A58" s="25" t="s">
        <v>196</v>
      </c>
      <c r="B58" s="28">
        <f>IF(TRIM('Preenchimento'!$C$63)="","","2.   "&amp;TRIM('Preenchimento'!$C$63))</f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4" ht="17" customHeight="1">
      <c r="A59" s="25" t="s">
        <v>196</v>
      </c>
      <c r="B59" s="28">
        <f>IF(TRIM('Preenchimento'!$C$64)="","","3.   "&amp;TRIM('Preenchimento'!$C$64))</f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4" ht="17" customHeight="1">
      <c r="A60" s="25" t="s">
        <v>196</v>
      </c>
      <c r="B60" s="28">
        <f>IF(TRIM('Preenchimento'!$C$65)="","","4.   "&amp;TRIM('Preenchimento'!$C$65))</f>
        <v>0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4" ht="17" customHeight="1">
      <c r="A61" s="25" t="s">
        <v>196</v>
      </c>
      <c r="B61" s="28">
        <f>IF(TRIM('Preenchimento'!$C$66)="","","5.   "&amp;TRIM('Preenchimento'!$C$66))</f>
        <v>0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4" ht="17" customHeight="1">
      <c r="A62" s="25" t="s">
        <v>196</v>
      </c>
      <c r="B62" s="28">
        <f>IF(TRIM('Preenchimento'!$C$67)="","","6.   "&amp;TRIM('Preenchimento'!$C$67))</f>
        <v>0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4" ht="4" customHeight="1">
      <c r="A63" s="25" t="s">
        <v>197</v>
      </c>
    </row>
    <row r="64" spans="1:14" ht="18" customHeight="1">
      <c r="A64" s="25" t="s">
        <v>195</v>
      </c>
      <c r="B64" s="27" t="s">
        <v>170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1:14" ht="34" customHeight="1">
      <c r="A65" s="25" t="s">
        <v>198</v>
      </c>
      <c r="B65" s="20" t="s">
        <v>171</v>
      </c>
      <c r="C65" s="29">
        <f>IF(dComUS3="","",dComUS3)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ht="34" customHeight="1">
      <c r="A66" s="25" t="s">
        <v>198</v>
      </c>
      <c r="B66" s="20" t="s">
        <v>172</v>
      </c>
      <c r="C66" s="29">
        <f>IF(dComUS4="","",dComUS4)</f>
        <v>0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>
      <c r="A67" s="25" t="s">
        <v>197</v>
      </c>
    </row>
    <row r="68" spans="1:14" ht="21" customHeight="1">
      <c r="A68" s="25" t="s">
        <v>194</v>
      </c>
      <c r="B68" s="26" t="s">
        <v>199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ht="30" customHeight="1">
      <c r="A69" s="25" t="s">
        <v>198</v>
      </c>
      <c r="B69" s="20" t="s">
        <v>174</v>
      </c>
      <c r="C69" s="29">
        <f>IF(dProg="","",dProg)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ht="20" customHeight="1">
      <c r="A70" s="25" t="str">
        <f>IF(AND(dPadroes="",dPadroesQuais=""),"V","F")</f>
        <v>F</v>
      </c>
      <c r="B70" s="20" t="s">
        <v>175</v>
      </c>
      <c r="C70" s="23">
        <f>IF(dPadroes="","—",dPadroes)</f>
        <v>0</v>
      </c>
      <c r="D70" s="23"/>
      <c r="E70" s="20" t="s">
        <v>176</v>
      </c>
      <c r="F70" s="20"/>
      <c r="G70" s="24">
        <f>IF(dPadroesQuais="","—",dPadroesQuais)</f>
        <v>0</v>
      </c>
      <c r="H70" s="24"/>
      <c r="I70" s="24"/>
      <c r="J70" s="24"/>
      <c r="K70" s="24"/>
      <c r="L70" s="24"/>
      <c r="M70" s="24"/>
      <c r="N70" s="24"/>
    </row>
    <row r="71" spans="1:14" ht="20" customHeight="1">
      <c r="A71" s="25" t="str">
        <f>IF(AND(dAr="",dArStatus="",dCompressor="",dNitrogenio=""),"V","F")</f>
        <v>F</v>
      </c>
      <c r="B71" s="20" t="s">
        <v>177</v>
      </c>
      <c r="C71" s="23">
        <f>IF(dAr="","—",dAr)</f>
        <v>0</v>
      </c>
      <c r="D71" s="23"/>
      <c r="E71" s="20" t="s">
        <v>200</v>
      </c>
      <c r="F71" s="20"/>
      <c r="G71" s="23">
        <f>IF(dArStatus="","—",dArStatus)</f>
        <v>0</v>
      </c>
      <c r="H71" s="23"/>
      <c r="I71" s="20" t="s">
        <v>76</v>
      </c>
      <c r="J71" s="20"/>
      <c r="K71" s="23">
        <f>IF(dCompressor="","—",dCompressor)</f>
        <v>0</v>
      </c>
      <c r="L71" s="20" t="s">
        <v>77</v>
      </c>
      <c r="M71" s="23">
        <f>IF(dNitrogenio="","—",dNitrogenio)</f>
        <v>0</v>
      </c>
      <c r="N71" s="23"/>
    </row>
    <row r="72" spans="1:14">
      <c r="A72" s="25" t="s">
        <v>197</v>
      </c>
    </row>
    <row r="73" spans="1:14" ht="21" customHeight="1">
      <c r="A73" s="25" t="s">
        <v>194</v>
      </c>
      <c r="B73" s="26" t="s">
        <v>201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ht="20" customHeight="1">
      <c r="A74" s="25" t="str">
        <f>IF(AND(dCadinhos=""),"V","F")</f>
        <v>F</v>
      </c>
      <c r="B74" s="20" t="s">
        <v>179</v>
      </c>
      <c r="C74" s="29">
        <f>IF(dCadinhos="","—",dCadinhos)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ht="20" customHeight="1">
      <c r="A75" s="25" t="str">
        <f>IF(AND(dReforma=""),"V","F")</f>
        <v>F</v>
      </c>
      <c r="B75" s="20" t="s">
        <v>180</v>
      </c>
      <c r="C75" s="29">
        <f>IF(dReforma="","—",dReforma)</f>
        <v>0</v>
      </c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>
      <c r="A76" s="25" t="s">
        <v>197</v>
      </c>
    </row>
    <row r="77" spans="1:14" ht="21" customHeight="1">
      <c r="A77" s="25" t="s">
        <v>194</v>
      </c>
      <c r="B77" s="26" t="s">
        <v>202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ht="20" customHeight="1">
      <c r="A78" s="25" t="str">
        <f>IF(AND(dH2Carvao="",dH2Coque="",dCoque04=""),"V","F")</f>
        <v>F</v>
      </c>
      <c r="B78" s="20" t="s">
        <v>182</v>
      </c>
      <c r="C78" s="23">
        <f>IF(dH2Carvao="","—",dH2Carvao)</f>
        <v>0</v>
      </c>
      <c r="D78" s="23"/>
      <c r="E78" s="20" t="s">
        <v>183</v>
      </c>
      <c r="F78" s="20"/>
      <c r="G78" s="23">
        <f>IF(dH2Coque="","—",dH2Coque)</f>
        <v>0</v>
      </c>
      <c r="H78" s="23"/>
      <c r="I78" s="20" t="s">
        <v>184</v>
      </c>
      <c r="J78" s="20"/>
      <c r="K78" s="24">
        <f>IF(dCoque04="","—",dCoque04)</f>
        <v>0</v>
      </c>
      <c r="L78" s="24"/>
      <c r="M78" s="24"/>
      <c r="N78" s="24"/>
    </row>
    <row r="79" spans="1:14" ht="34" customHeight="1">
      <c r="A79" s="25" t="s">
        <v>198</v>
      </c>
      <c r="B79" s="20" t="s">
        <v>185</v>
      </c>
      <c r="C79" s="29">
        <f>IF(dObs="","",dObs)</f>
        <v>0</v>
      </c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>
      <c r="A80" s="25" t="s">
        <v>197</v>
      </c>
    </row>
    <row r="81" spans="1:19" ht="21" customHeight="1">
      <c r="A81" s="25" t="s">
        <v>204</v>
      </c>
      <c r="B81" s="26" t="s">
        <v>203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9" ht="17" customHeight="1">
      <c r="B82" s="30" t="s">
        <v>205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9" ht="30" customHeight="1">
      <c r="B83" s="31" t="s">
        <v>206</v>
      </c>
      <c r="C83" s="31" t="s">
        <v>207</v>
      </c>
      <c r="D83" s="31" t="s">
        <v>208</v>
      </c>
      <c r="E83" s="31" t="s">
        <v>209</v>
      </c>
      <c r="F83" s="31" t="s">
        <v>210</v>
      </c>
      <c r="G83" s="31" t="s">
        <v>211</v>
      </c>
      <c r="H83" s="31" t="s">
        <v>212</v>
      </c>
      <c r="I83" s="31" t="s">
        <v>213</v>
      </c>
      <c r="J83" s="31" t="s">
        <v>214</v>
      </c>
      <c r="K83" s="31" t="s">
        <v>215</v>
      </c>
      <c r="L83" s="31" t="s">
        <v>216</v>
      </c>
      <c r="M83" s="31" t="s">
        <v>217</v>
      </c>
      <c r="N83" s="31" t="s">
        <v>218</v>
      </c>
    </row>
    <row r="84" spans="1:19" ht="18" customHeight="1">
      <c r="A84" s="25" t="s">
        <v>219</v>
      </c>
      <c r="B84" s="27" t="s">
        <v>31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1:19" ht="17" customHeight="1">
      <c r="A85" s="25" t="s">
        <v>220</v>
      </c>
      <c r="B85" s="32" t="s">
        <v>32</v>
      </c>
      <c r="C85" s="33" t="s">
        <v>33</v>
      </c>
      <c r="D85" s="34" t="s">
        <v>221</v>
      </c>
      <c r="E85" s="35"/>
      <c r="F85" s="35"/>
      <c r="G85" s="35"/>
      <c r="H85" s="35"/>
      <c r="I85" s="35"/>
      <c r="J85" s="35"/>
      <c r="K85" s="35"/>
      <c r="L85" s="36">
        <f>IF(COUNT(E85:K85)=0,"",AVERAGE(E85:K85))</f>
        <v>0</v>
      </c>
      <c r="M85" s="37">
        <f>IF(COUNT(E85:K85)=0,"",MIN(E85:K85))</f>
        <v>0</v>
      </c>
      <c r="N85" s="37">
        <f>IF(COUNT(E85:K85)=0,"",MAX(E85:K85))</f>
        <v>0</v>
      </c>
      <c r="R85">
        <f>IFERROR(IF(INDEX('Limites'!$N:$N,MATCH(IF(dProdUS3="",dProdUS4,dProdUS3),'Limites'!$B:$B,0))="","",INDEX('Limites'!$N:$N,MATCH(IF(dProdUS3="",dProdUS4,dProdUS3),'Limites'!$B:$B,0))),"")</f>
        <v>0</v>
      </c>
      <c r="S85">
        <f>IFERROR(IF(INDEX('Limites'!$O:$O,MATCH(IF(dProdUS3="",dProdUS4,dProdUS3),'Limites'!$B:$B,0))="","",INDEX('Limites'!$O:$O,MATCH(IF(dProdUS3="",dProdUS4,dProdUS3),'Limites'!$B:$B,0))),"")</f>
        <v>0</v>
      </c>
    </row>
    <row r="86" spans="1:19" ht="17" customHeight="1">
      <c r="A86" s="25" t="s">
        <v>222</v>
      </c>
      <c r="B86" s="38" t="s">
        <v>37</v>
      </c>
      <c r="C86" s="39" t="s">
        <v>33</v>
      </c>
      <c r="D86" s="40" t="s">
        <v>221</v>
      </c>
      <c r="E86" s="41"/>
      <c r="F86" s="41"/>
      <c r="G86" s="41"/>
      <c r="H86" s="41"/>
      <c r="I86" s="41"/>
      <c r="J86" s="41"/>
      <c r="K86" s="41"/>
      <c r="L86" s="42">
        <f>IF(COUNT(E86:K86)=0,"",AVERAGE(E86:K86))</f>
        <v>0</v>
      </c>
      <c r="M86" s="43">
        <f>IF(COUNT(E86:K86)=0,"",MIN(E86:K86))</f>
        <v>0</v>
      </c>
      <c r="N86" s="43">
        <f>IF(COUNT(E86:K86)=0,"",MAX(E86:K86))</f>
        <v>0</v>
      </c>
      <c r="R86">
        <f>IFERROR(IF(INDEX('Limites'!$P:$P,MATCH(IF(dProdUS3="",dProdUS4,dProdUS3),'Limites'!$B:$B,0))="","",INDEX('Limites'!$P:$P,MATCH(IF(dProdUS3="",dProdUS4,dProdUS3),'Limites'!$B:$B,0))),"")</f>
        <v>0</v>
      </c>
      <c r="S86">
        <f>IFERROR(IF(INDEX('Limites'!$Q:$Q,MATCH(IF(dProdUS3="",dProdUS4,dProdUS3),'Limites'!$B:$B,0))="","",INDEX('Limites'!$Q:$Q,MATCH(IF(dProdUS3="",dProdUS4,dProdUS3),'Limites'!$B:$B,0))),"")</f>
        <v>0</v>
      </c>
    </row>
    <row r="87" spans="1:19" ht="17" customHeight="1">
      <c r="A87" s="25" t="s">
        <v>223</v>
      </c>
      <c r="B87" s="32" t="s">
        <v>39</v>
      </c>
      <c r="C87" s="33" t="s">
        <v>33</v>
      </c>
      <c r="D87" s="34" t="s">
        <v>221</v>
      </c>
      <c r="E87" s="35"/>
      <c r="F87" s="35"/>
      <c r="G87" s="35"/>
      <c r="H87" s="35"/>
      <c r="I87" s="35"/>
      <c r="J87" s="35"/>
      <c r="K87" s="35"/>
      <c r="L87" s="36">
        <f>IF(COUNT(E87:K87)=0,"",AVERAGE(E87:K87))</f>
        <v>0</v>
      </c>
      <c r="M87" s="37">
        <f>IF(COUNT(E87:K87)=0,"",MIN(E87:K87))</f>
        <v>0</v>
      </c>
      <c r="N87" s="37">
        <f>IF(COUNT(E87:K87)=0,"",MAX(E87:K87))</f>
        <v>0</v>
      </c>
    </row>
    <row r="88" spans="1:19" ht="17" customHeight="1">
      <c r="A88" s="25" t="s">
        <v>224</v>
      </c>
      <c r="B88" s="38" t="s">
        <v>41</v>
      </c>
      <c r="C88" s="39" t="s">
        <v>33</v>
      </c>
      <c r="D88" s="40" t="s">
        <v>221</v>
      </c>
      <c r="E88" s="44"/>
      <c r="F88" s="44"/>
      <c r="G88" s="44"/>
      <c r="H88" s="44"/>
      <c r="I88" s="44"/>
      <c r="J88" s="44"/>
      <c r="K88" s="44"/>
      <c r="L88" s="36">
        <f>IF(COUNT(E88:K88)=0,"",AVERAGE(E88:K88))</f>
        <v>0</v>
      </c>
      <c r="M88" s="45">
        <f>IF(COUNT(E88:K88)=0,"",MIN(E88:K88))</f>
        <v>0</v>
      </c>
      <c r="N88" s="45">
        <f>IF(COUNT(E88:K88)=0,"",MAX(E88:K88))</f>
        <v>0</v>
      </c>
    </row>
    <row r="89" spans="1:19" ht="17" customHeight="1">
      <c r="A89" s="25" t="s">
        <v>225</v>
      </c>
      <c r="B89" s="32" t="s">
        <v>43</v>
      </c>
      <c r="C89" s="33" t="s">
        <v>33</v>
      </c>
      <c r="D89" s="34" t="s">
        <v>221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IFERROR(IF(INDEX('Limites'!$R:$R,MATCH(IF(dProdUS3="",dProdUS4,dProdUS3),'Limites'!$B:$B,0))="","",INDEX('Limites'!$R:$R,MATCH(IF(dProdUS3="",dProdUS4,dProdUS3),'Limites'!$B:$B,0))),"")</f>
        <v>0</v>
      </c>
      <c r="S89">
        <f>IFERROR(IF(INDEX('Limites'!$S:$S,MATCH(IF(dProdUS3="",dProdUS4,dProdUS3),'Limites'!$B:$B,0))="","",INDEX('Limites'!$S:$S,MATCH(IF(dProdUS3="",dProdUS4,dProdUS3),'Limites'!$B:$B,0))),"")</f>
        <v>0</v>
      </c>
    </row>
    <row r="90" spans="1:19" ht="18" customHeight="1">
      <c r="A90" s="25" t="s">
        <v>226</v>
      </c>
      <c r="B90" s="27" t="s">
        <v>45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1:19" ht="17" customHeight="1">
      <c r="A91" s="25" t="s">
        <v>227</v>
      </c>
      <c r="B91" s="38" t="s">
        <v>46</v>
      </c>
      <c r="C91" s="39" t="s">
        <v>33</v>
      </c>
      <c r="D91" s="40" t="s">
        <v>228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  <c r="R91">
        <f>IFERROR(IF(INDEX('Limites'!$D:$D,MATCH(dProdUS3,'Limites'!$B:$B,0))="","",INDEX('Limites'!$D:$D,MATCH(dProdUS3,'Limites'!$B:$B,0))),"")</f>
        <v>0</v>
      </c>
      <c r="S91">
        <f>IFERROR(IF(INDEX('Limites'!$E:$E,MATCH(dProdUS3,'Limites'!$B:$B,0))="","",INDEX('Limites'!$E:$E,MATCH(dProdUS3,'Limites'!$B:$B,0))),"")</f>
        <v>0</v>
      </c>
    </row>
    <row r="92" spans="1:19" ht="17" customHeight="1">
      <c r="A92" s="25" t="s">
        <v>229</v>
      </c>
      <c r="B92" s="38"/>
      <c r="C92" s="39"/>
      <c r="D92" s="46" t="s">
        <v>230</v>
      </c>
      <c r="E92" s="44"/>
      <c r="F92" s="44"/>
      <c r="G92" s="44"/>
      <c r="H92" s="44"/>
      <c r="I92" s="44"/>
      <c r="J92" s="44"/>
      <c r="K92" s="44"/>
      <c r="L92" s="36">
        <f>IF(COUNT(E92:K92)=0,"",AVERAGE(E92:K92))</f>
        <v>0</v>
      </c>
      <c r="M92" s="45">
        <f>IF(COUNT(E92:K92)=0,"",MIN(E92:K92))</f>
        <v>0</v>
      </c>
      <c r="N92" s="45">
        <f>IF(COUNT(E92:K92)=0,"",MAX(E92:K92))</f>
        <v>0</v>
      </c>
      <c r="R92">
        <f>IFERROR(IF(INDEX('Limites'!$D:$D,MATCH(dProdUS4,'Limites'!$B:$B,0))="","",INDEX('Limites'!$D:$D,MATCH(dProdUS4,'Limites'!$B:$B,0))),"")</f>
        <v>0</v>
      </c>
      <c r="S92">
        <f>IFERROR(IF(INDEX('Limites'!$E:$E,MATCH(dProdUS4,'Limites'!$B:$B,0))="","",INDEX('Limites'!$E:$E,MATCH(dProdUS4,'Limites'!$B:$B,0))),"")</f>
        <v>0</v>
      </c>
    </row>
    <row r="93" spans="1:19" ht="17" customHeight="1">
      <c r="A93" s="25" t="s">
        <v>231</v>
      </c>
      <c r="B93" s="32" t="s">
        <v>32</v>
      </c>
      <c r="C93" s="33" t="s">
        <v>33</v>
      </c>
      <c r="D93" s="34" t="s">
        <v>228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IFERROR(IF(INDEX('Limites'!$F:$F,MATCH(dProdUS3,'Limites'!$B:$B,0))="","",INDEX('Limites'!$F:$F,MATCH(dProdUS3,'Limites'!$B:$B,0))),"")</f>
        <v>0</v>
      </c>
      <c r="S93">
        <f>IFERROR(IF(INDEX('Limites'!$G:$G,MATCH(dProdUS3,'Limites'!$B:$B,0))="","",INDEX('Limites'!$G:$G,MATCH(dProdUS3,'Limites'!$B:$B,0))),"")</f>
        <v>0</v>
      </c>
    </row>
    <row r="94" spans="1:19" ht="17" customHeight="1">
      <c r="A94" s="25" t="s">
        <v>232</v>
      </c>
      <c r="B94" s="32"/>
      <c r="C94" s="33"/>
      <c r="D94" s="47" t="s">
        <v>230</v>
      </c>
      <c r="E94" s="35"/>
      <c r="F94" s="35"/>
      <c r="G94" s="35"/>
      <c r="H94" s="35"/>
      <c r="I94" s="35"/>
      <c r="J94" s="35"/>
      <c r="K94" s="35"/>
      <c r="L94" s="36">
        <f>IF(COUNT(E94:K94)=0,"",AVERAGE(E94:K94))</f>
        <v>0</v>
      </c>
      <c r="M94" s="37">
        <f>IF(COUNT(E94:K94)=0,"",MIN(E94:K94))</f>
        <v>0</v>
      </c>
      <c r="N94" s="37">
        <f>IF(COUNT(E94:K94)=0,"",MAX(E94:K94))</f>
        <v>0</v>
      </c>
      <c r="R94">
        <f>IFERROR(IF(INDEX('Limites'!$F:$F,MATCH(dProdUS4,'Limites'!$B:$B,0))="","",INDEX('Limites'!$F:$F,MATCH(dProdUS4,'Limites'!$B:$B,0))),"")</f>
        <v>0</v>
      </c>
      <c r="S94">
        <f>IFERROR(IF(INDEX('Limites'!$G:$G,MATCH(dProdUS4,'Limites'!$B:$B,0))="","",INDEX('Limites'!$G:$G,MATCH(dProdUS4,'Limites'!$B:$B,0))),"")</f>
        <v>0</v>
      </c>
    </row>
    <row r="95" spans="1:19" ht="17" customHeight="1">
      <c r="A95" s="25" t="s">
        <v>233</v>
      </c>
      <c r="B95" s="38" t="s">
        <v>51</v>
      </c>
      <c r="C95" s="39" t="s">
        <v>33</v>
      </c>
      <c r="D95" s="40" t="s">
        <v>228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234</v>
      </c>
      <c r="B96" s="38"/>
      <c r="C96" s="39"/>
      <c r="D96" s="46" t="s">
        <v>230</v>
      </c>
      <c r="E96" s="44"/>
      <c r="F96" s="44"/>
      <c r="G96" s="44"/>
      <c r="H96" s="44"/>
      <c r="I96" s="44"/>
      <c r="J96" s="44"/>
      <c r="K96" s="44"/>
      <c r="L96" s="36">
        <f>IF(COUNT(E96:K96)=0,"",AVERAGE(E96:K96))</f>
        <v>0</v>
      </c>
      <c r="M96" s="45">
        <f>IF(COUNT(E96:K96)=0,"",MIN(E96:K96))</f>
        <v>0</v>
      </c>
      <c r="N96" s="45">
        <f>IF(COUNT(E96:K96)=0,"",MAX(E96:K96))</f>
        <v>0</v>
      </c>
    </row>
    <row r="97" spans="1:19" ht="17" customHeight="1">
      <c r="A97" s="25" t="s">
        <v>235</v>
      </c>
      <c r="B97" s="32" t="s">
        <v>41</v>
      </c>
      <c r="C97" s="33" t="s">
        <v>33</v>
      </c>
      <c r="D97" s="34" t="s">
        <v>228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IFERROR(IF(INDEX('Limites'!$J:$J,MATCH(dProdUS3,'Limites'!$B:$B,0))="","",INDEX('Limites'!$J:$J,MATCH(dProdUS3,'Limites'!$B:$B,0))),"")</f>
        <v>0</v>
      </c>
      <c r="S97">
        <f>IFERROR(IF(INDEX('Limites'!$K:$K,MATCH(dProdUS3,'Limites'!$B:$B,0))="","",INDEX('Limites'!$K:$K,MATCH(dProdUS3,'Limites'!$B:$B,0))),"")</f>
        <v>0</v>
      </c>
    </row>
    <row r="98" spans="1:19" ht="17" customHeight="1">
      <c r="A98" s="25" t="s">
        <v>236</v>
      </c>
      <c r="B98" s="32"/>
      <c r="C98" s="33"/>
      <c r="D98" s="47" t="s">
        <v>230</v>
      </c>
      <c r="E98" s="35"/>
      <c r="F98" s="35"/>
      <c r="G98" s="35"/>
      <c r="H98" s="35"/>
      <c r="I98" s="35"/>
      <c r="J98" s="35"/>
      <c r="K98" s="35"/>
      <c r="L98" s="36">
        <f>IF(COUNT(E98:K98)=0,"",AVERAGE(E98:K98))</f>
        <v>0</v>
      </c>
      <c r="M98" s="37">
        <f>IF(COUNT(E98:K98)=0,"",MIN(E98:K98))</f>
        <v>0</v>
      </c>
      <c r="N98" s="37">
        <f>IF(COUNT(E98:K98)=0,"",MAX(E98:K98))</f>
        <v>0</v>
      </c>
      <c r="R98">
        <f>IFERROR(IF(INDEX('Limites'!$J:$J,MATCH(dProdUS4,'Limites'!$B:$B,0))="","",INDEX('Limites'!$J:$J,MATCH(dProdUS4,'Limites'!$B:$B,0))),"")</f>
        <v>0</v>
      </c>
      <c r="S98">
        <f>IFERROR(IF(INDEX('Limites'!$K:$K,MATCH(dProdUS4,'Limites'!$B:$B,0))="","",INDEX('Limites'!$K:$K,MATCH(dProdUS4,'Limites'!$B:$B,0))),"")</f>
        <v>0</v>
      </c>
    </row>
    <row r="99" spans="1:19" ht="17" customHeight="1">
      <c r="A99" s="25" t="s">
        <v>237</v>
      </c>
      <c r="B99" s="38" t="s">
        <v>39</v>
      </c>
      <c r="C99" s="39" t="s">
        <v>33</v>
      </c>
      <c r="D99" s="40" t="s">
        <v>228</v>
      </c>
      <c r="E99" s="44"/>
      <c r="F99" s="44"/>
      <c r="G99" s="44"/>
      <c r="H99" s="44"/>
      <c r="I99" s="44"/>
      <c r="J99" s="44"/>
      <c r="K99" s="44"/>
      <c r="L99" s="36">
        <f>IF(COUNT(E99:K99)=0,"",AVERAGE(E99:K99))</f>
        <v>0</v>
      </c>
      <c r="M99" s="45">
        <f>IF(COUNT(E99:K99)=0,"",MIN(E99:K99))</f>
        <v>0</v>
      </c>
      <c r="N99" s="45">
        <f>IF(COUNT(E99:K99)=0,"",MAX(E99:K99))</f>
        <v>0</v>
      </c>
    </row>
    <row r="100" spans="1:19" ht="17" customHeight="1">
      <c r="A100" s="25" t="s">
        <v>238</v>
      </c>
      <c r="B100" s="38"/>
      <c r="C100" s="39"/>
      <c r="D100" s="46" t="s">
        <v>230</v>
      </c>
      <c r="E100" s="44"/>
      <c r="F100" s="44"/>
      <c r="G100" s="44"/>
      <c r="H100" s="44"/>
      <c r="I100" s="44"/>
      <c r="J100" s="44"/>
      <c r="K100" s="44"/>
      <c r="L100" s="36">
        <f>IF(COUNT(E100:K100)=0,"",AVERAGE(E100:K100))</f>
        <v>0</v>
      </c>
      <c r="M100" s="45">
        <f>IF(COUNT(E100:K100)=0,"",MIN(E100:K100))</f>
        <v>0</v>
      </c>
      <c r="N100" s="45">
        <f>IF(COUNT(E100:K100)=0,"",MAX(E100:K100))</f>
        <v>0</v>
      </c>
    </row>
    <row r="101" spans="1:19" ht="17" customHeight="1">
      <c r="A101" s="25" t="s">
        <v>239</v>
      </c>
      <c r="B101" s="32" t="s">
        <v>58</v>
      </c>
      <c r="C101" s="33" t="s">
        <v>59</v>
      </c>
      <c r="D101" s="34" t="s">
        <v>228</v>
      </c>
      <c r="E101" s="35"/>
      <c r="F101" s="35"/>
      <c r="G101" s="35"/>
      <c r="H101" s="35"/>
      <c r="I101" s="35"/>
      <c r="J101" s="35"/>
      <c r="K101" s="35"/>
      <c r="L101" s="36">
        <f>IF(COUNT(E101:K101)=0,"",AVERAGE(E101:K101))</f>
        <v>0</v>
      </c>
      <c r="M101" s="37">
        <f>IF(COUNT(E101:K101)=0,"",MIN(E101:K101))</f>
        <v>0</v>
      </c>
      <c r="N101" s="37">
        <f>IF(COUNT(E101:K101)=0,"",MAX(E101:K101))</f>
        <v>0</v>
      </c>
      <c r="R101">
        <f>IFERROR(IF(INDEX('Limites'!$L:$L,MATCH(dProdUS3,'Limites'!$B:$B,0))="","",INDEX('Limites'!$L:$L,MATCH(dProdUS3,'Limites'!$B:$B,0))),"")</f>
        <v>0</v>
      </c>
      <c r="S101">
        <f>IFERROR(IF(INDEX('Limites'!$M:$M,MATCH(dProdUS3,'Limites'!$B:$B,0))="","",INDEX('Limites'!$M:$M,MATCH(dProdUS3,'Limites'!$B:$B,0))),"")</f>
        <v>0</v>
      </c>
    </row>
    <row r="102" spans="1:19" ht="17" customHeight="1">
      <c r="A102" s="25" t="s">
        <v>240</v>
      </c>
      <c r="B102" s="32"/>
      <c r="C102" s="33"/>
      <c r="D102" s="47" t="s">
        <v>230</v>
      </c>
      <c r="E102" s="35"/>
      <c r="F102" s="35"/>
      <c r="G102" s="35"/>
      <c r="H102" s="35"/>
      <c r="I102" s="35"/>
      <c r="J102" s="35"/>
      <c r="K102" s="35"/>
      <c r="L102" s="36">
        <f>IF(COUNT(E102:K102)=0,"",AVERAGE(E102:K102))</f>
        <v>0</v>
      </c>
      <c r="M102" s="37">
        <f>IF(COUNT(E102:K102)=0,"",MIN(E102:K102))</f>
        <v>0</v>
      </c>
      <c r="N102" s="37">
        <f>IF(COUNT(E102:K102)=0,"",MAX(E102:K102))</f>
        <v>0</v>
      </c>
      <c r="R102">
        <f>IFERROR(IF(INDEX('Limites'!$L:$L,MATCH(dProdUS4,'Limites'!$B:$B,0))="","",INDEX('Limites'!$L:$L,MATCH(dProdUS4,'Limites'!$B:$B,0))),"")</f>
        <v>0</v>
      </c>
      <c r="S102">
        <f>IFERROR(IF(INDEX('Limites'!$M:$M,MATCH(dProdUS4,'Limites'!$B:$B,0))="","",INDEX('Limites'!$M:$M,MATCH(dProdUS4,'Limites'!$B:$B,0))),"")</f>
        <v>0</v>
      </c>
    </row>
    <row r="103" spans="1:19" ht="17" customHeight="1">
      <c r="A103" s="25" t="s">
        <v>241</v>
      </c>
      <c r="B103" s="38" t="s">
        <v>62</v>
      </c>
      <c r="C103" s="39" t="s">
        <v>33</v>
      </c>
      <c r="D103" s="40" t="s">
        <v>228</v>
      </c>
      <c r="E103" s="41"/>
      <c r="F103" s="41"/>
      <c r="G103" s="41"/>
      <c r="H103" s="41"/>
      <c r="I103" s="41"/>
      <c r="J103" s="41"/>
      <c r="K103" s="41"/>
      <c r="L103" s="42">
        <f>IF(COUNT(E103:K103)=0,"",AVERAGE(E103:K103))</f>
        <v>0</v>
      </c>
      <c r="M103" s="43">
        <f>IF(COUNT(E103:K103)=0,"",MIN(E103:K103))</f>
        <v>0</v>
      </c>
      <c r="N103" s="43">
        <f>IF(COUNT(E103:K103)=0,"",MAX(E103:K103))</f>
        <v>0</v>
      </c>
    </row>
    <row r="104" spans="1:19" ht="17" customHeight="1">
      <c r="A104" s="25" t="s">
        <v>242</v>
      </c>
      <c r="B104" s="38"/>
      <c r="C104" s="39"/>
      <c r="D104" s="46" t="s">
        <v>230</v>
      </c>
      <c r="E104" s="41"/>
      <c r="F104" s="41"/>
      <c r="G104" s="41"/>
      <c r="H104" s="41"/>
      <c r="I104" s="41"/>
      <c r="J104" s="41"/>
      <c r="K104" s="41"/>
      <c r="L104" s="42">
        <f>IF(COUNT(E104:K104)=0,"",AVERAGE(E104:K104))</f>
        <v>0</v>
      </c>
      <c r="M104" s="43">
        <f>IF(COUNT(E104:K104)=0,"",MIN(E104:K104))</f>
        <v>0</v>
      </c>
      <c r="N104" s="43">
        <f>IF(COUNT(E104:K104)=0,"",MAX(E104:K104))</f>
        <v>0</v>
      </c>
    </row>
    <row r="105" spans="1:19" ht="17" customHeight="1">
      <c r="B105" s="48" t="s">
        <v>243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</sheetData>
  <sheetProtection sheet="1" objects="1" scenarios="1" formatColumns="0" formatRows="0"/>
  <mergeCells count="100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6:N56"/>
    <mergeCell ref="B57:N57"/>
    <mergeCell ref="B58:N58"/>
    <mergeCell ref="B59:N59"/>
    <mergeCell ref="B60:N60"/>
    <mergeCell ref="B61:N61"/>
    <mergeCell ref="B62:N62"/>
    <mergeCell ref="B64:N64"/>
    <mergeCell ref="C65:N65"/>
    <mergeCell ref="C66:N66"/>
    <mergeCell ref="B68:N68"/>
    <mergeCell ref="C69:N69"/>
    <mergeCell ref="C70:D70"/>
    <mergeCell ref="E70:F70"/>
    <mergeCell ref="G70:N70"/>
    <mergeCell ref="C71:D71"/>
    <mergeCell ref="E71:F71"/>
    <mergeCell ref="G71:H71"/>
    <mergeCell ref="I71:J71"/>
    <mergeCell ref="M71:N71"/>
    <mergeCell ref="B73:N73"/>
    <mergeCell ref="C74:N74"/>
    <mergeCell ref="C75:N75"/>
    <mergeCell ref="B77:N77"/>
    <mergeCell ref="C78:D78"/>
    <mergeCell ref="E78:F78"/>
    <mergeCell ref="G78:H78"/>
    <mergeCell ref="I78:J78"/>
    <mergeCell ref="K78:N78"/>
    <mergeCell ref="C79:N79"/>
    <mergeCell ref="B81:N81"/>
    <mergeCell ref="B82:N82"/>
    <mergeCell ref="B84:N84"/>
    <mergeCell ref="B90:N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N105"/>
  </mergeCells>
  <conditionalFormatting sqref="E101:L101">
    <cfRule type="expression" dxfId="1" priority="19">
      <formula>AND(ISNUMBER(E101),OR(AND(ISNUMBER($R101),ROUND(E101,2)&lt;$R101),AND(ISNUMBER($S101),ROUND(E101,2)&gt;$S101)))</formula>
    </cfRule>
    <cfRule type="expression" dxfId="2" priority="20">
      <formula>AND(ISNUMBER(E101),OR(ISNUMBER($R101),ISNUMBER($S101)),NOT(OR(AND(ISNUMBER($R101),ROUND(E101,2)&lt;$R101),AND(ISNUMBER($S101),ROUND(E101,2)&gt;$S101))))</formula>
    </cfRule>
  </conditionalFormatting>
  <conditionalFormatting sqref="E102:L102">
    <cfRule type="expression" dxfId="1" priority="21">
      <formula>AND(ISNUMBER(E102),OR(AND(ISNUMBER($R102),ROUND(E102,2)&lt;$R102),AND(ISNUMBER($S102),ROUND(E102,2)&gt;$S102)))</formula>
    </cfRule>
    <cfRule type="expression" dxfId="2" priority="22">
      <formula>AND(ISNUMBER(E102),OR(ISNUMBER($R102),ISNUMBER($S102)),NOT(OR(AND(ISNUMBER($R102),ROUND(E102,2)&lt;$R102),AND(ISNUMBER($S102),ROUND(E102,2)&gt;$S102))))</formula>
    </cfRule>
  </conditionalFormatting>
  <conditionalFormatting sqref="E85:L85">
    <cfRule type="expression" dxfId="1" priority="1">
      <formula>AND(ISNUMBER(E85),OR(AND(ISNUMBER($R85),ROUND(E85,2)&lt;$R85),AND(ISNUMBER($S85),ROUND(E85,2)&gt;$S85)))</formula>
    </cfRule>
    <cfRule type="expression" dxfId="2" priority="2">
      <formula>AND(ISNUMBER(E85),OR(ISNUMBER($R85),ISNUMBER($S85)),NOT(OR(AND(ISNUMBER($R85),ROUND(E85,2)&lt;$R85),AND(ISNUMBER($S85),ROUND(E85,2)&gt;$S85))))</formula>
    </cfRule>
  </conditionalFormatting>
  <conditionalFormatting sqref="E86:L86">
    <cfRule type="expression" dxfId="1" priority="3">
      <formula>AND(ISNUMBER(E86),OR(AND(ISNUMBER($R86),ROUND(E86,3)&lt;$R86),AND(ISNUMBER($S86),ROUND(E86,3)&gt;$S86)))</formula>
    </cfRule>
    <cfRule type="expression" dxfId="2" priority="4">
      <formula>AND(ISNUMBER(E86),OR(ISNUMBER($R86),ISNUMBER($S86)),NOT(OR(AND(ISNUMBER($R86),ROUND(E86,3)&lt;$R86),AND(ISNUMBER($S86),ROUND(E86,3)&gt;$S86))))</formula>
    </cfRule>
  </conditionalFormatting>
  <conditionalFormatting sqref="E89:L89">
    <cfRule type="expression" dxfId="1" priority="5">
      <formula>AND(ISNUMBER(E89),OR(AND(ISNUMBER($R89),ROUND(E89,2)&lt;$R89),AND(ISNUMBER($S89),ROUND(E89,2)&gt;$S89)))</formula>
    </cfRule>
    <cfRule type="expression" dxfId="2" priority="6">
      <formula>AND(ISNUMBER(E89),OR(ISNUMBER($R89),ISNUMBER($S89)),NOT(OR(AND(ISNUMBER($R89),ROUND(E89,2)&lt;$R89),AND(ISNUMBER($S89),ROUND(E89,2)&gt;$S89))))</formula>
    </cfRule>
  </conditionalFormatting>
  <conditionalFormatting sqref="E91:L91">
    <cfRule type="expression" dxfId="1" priority="7">
      <formula>AND(ISNUMBER(E91),OR(AND(ISNUMBER($R91),ROUND(E91,2)&lt;$R91),AND(ISNUMBER($S91),ROUND(E91,2)&gt;$S91)))</formula>
    </cfRule>
    <cfRule type="expression" dxfId="2" priority="8">
      <formula>AND(ISNUMBER(E91),OR(ISNUMBER($R91),ISNUMBER($S91)),NOT(OR(AND(ISNUMBER($R91),ROUND(E91,2)&lt;$R91),AND(ISNUMBER($S91),ROUND(E91,2)&gt;$S91))))</formula>
    </cfRule>
  </conditionalFormatting>
  <conditionalFormatting sqref="E92:L92">
    <cfRule type="expression" dxfId="1" priority="9">
      <formula>AND(ISNUMBER(E92),OR(AND(ISNUMBER($R92),ROUND(E92,2)&lt;$R92),AND(ISNUMBER($S92),ROUND(E92,2)&gt;$S92)))</formula>
    </cfRule>
    <cfRule type="expression" dxfId="2" priority="10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1">
      <formula>AND(ISNUMBER(E93),OR(AND(ISNUMBER($R93),ROUND(E93,2)&lt;$R93),AND(ISNUMBER($S93),ROUND(E93,2)&gt;$S93)))</formula>
    </cfRule>
    <cfRule type="expression" dxfId="2" priority="12">
      <formula>AND(ISNUMBER(E93),OR(ISNUMBER($R93),ISNUMBER($S93)),NOT(OR(AND(ISNUMBER($R93),ROUND(E93,2)&lt;$R93),AND(ISNUMBER($S93),ROUND(E93,2)&gt;$S93))))</formula>
    </cfRule>
  </conditionalFormatting>
  <conditionalFormatting sqref="E94:L94">
    <cfRule type="expression" dxfId="1" priority="13">
      <formula>AND(ISNUMBER(E94),OR(AND(ISNUMBER($R94),ROUND(E94,2)&lt;$R94),AND(ISNUMBER($S94),ROUND(E94,2)&gt;$S94)))</formula>
    </cfRule>
    <cfRule type="expression" dxfId="2" priority="14">
      <formula>AND(ISNUMBER(E94),OR(ISNUMBER($R94),ISNUMBER($S94)),NOT(OR(AND(ISNUMBER($R94),ROUND(E94,2)&lt;$R94),AND(ISNUMBER($S94),ROUND(E94,2)&gt;$S94))))</formula>
    </cfRule>
  </conditionalFormatting>
  <conditionalFormatting sqref="E97:L97">
    <cfRule type="expression" dxfId="1" priority="15">
      <formula>AND(ISNUMBER(E97),OR(AND(ISNUMBER($R97),ROUND(E97,2)&lt;$R97),AND(ISNUMBER($S97),ROUND(E97,2)&gt;$S97)))</formula>
    </cfRule>
    <cfRule type="expression" dxfId="2" priority="16">
      <formula>AND(ISNUMBER(E97),OR(ISNUMBER($R97),ISNUMBER($S97)),NOT(OR(AND(ISNUMBER($R97),ROUND(E97,2)&lt;$R97),AND(ISNUMBER($S97),ROUND(E97,2)&gt;$S97))))</formula>
    </cfRule>
  </conditionalFormatting>
  <conditionalFormatting sqref="E98:L98">
    <cfRule type="expression" dxfId="1" priority="17">
      <formula>AND(ISNUMBER(E98),OR(AND(ISNUMBER($R98),ROUND(E98,2)&lt;$R98),AND(ISNUMBER($S98),ROUND(E98,2)&gt;$S98)))</formula>
    </cfRule>
    <cfRule type="expression" dxfId="2" priority="18">
      <formula>AND(ISNUMBER(E98),OR(ISNUMBER($R98),ISNUMBER($S98)),NOT(OR(AND(ISNUMBER($R98),ROUND(E98,2)&lt;$R98),AND(ISNUMBER($S98),ROUND(E98,2)&gt;$S98))))</formula>
    </cfRule>
  </conditionalFormatting>
  <hyperlinks>
    <hyperlink ref="P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S10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191</v>
      </c>
      <c r="C6" s="23">
        <f>IF(pData="","—",TEXT(DAY(pData),"00")&amp;"/"&amp;TEXT(MONTH(pData),"00")&amp;"/"&amp;YEAR(pData))</f>
        <v>0</v>
      </c>
      <c r="D6" s="23"/>
      <c r="E6" s="20" t="s">
        <v>192</v>
      </c>
      <c r="F6" s="23">
        <f>"Noite  19:00 – 07:00"</f>
        <v>0</v>
      </c>
      <c r="G6" s="23"/>
      <c r="H6" s="23"/>
      <c r="I6" s="20" t="s">
        <v>158</v>
      </c>
      <c r="J6" s="20"/>
      <c r="K6" s="23">
        <f>IF(nLetra="","—",nLetra)</f>
        <v>0</v>
      </c>
      <c r="L6" s="23"/>
      <c r="M6" s="23"/>
      <c r="N6" s="23"/>
    </row>
    <row r="7" spans="1:16" ht="22" customHeight="1">
      <c r="B7" s="20" t="s">
        <v>159</v>
      </c>
      <c r="C7" s="24">
        <f>IF(nTecnico="","—",nTecnico)</f>
        <v>0</v>
      </c>
      <c r="D7" s="24"/>
      <c r="E7" s="24"/>
      <c r="F7" s="24"/>
      <c r="G7" s="24"/>
      <c r="H7" s="20" t="s">
        <v>160</v>
      </c>
      <c r="I7" s="20"/>
      <c r="J7" s="23">
        <f>IF(nProdUS3="","—",nProdUS3)</f>
        <v>0</v>
      </c>
      <c r="K7" s="20" t="s">
        <v>161</v>
      </c>
      <c r="L7" s="20"/>
      <c r="M7" s="23">
        <f>IF(nProdUS4="","—",nProdUS4)</f>
        <v>0</v>
      </c>
      <c r="N7" s="23"/>
    </row>
    <row r="9" spans="1:16" ht="21" customHeight="1">
      <c r="A9" s="25" t="s">
        <v>194</v>
      </c>
      <c r="B9" s="26" t="s">
        <v>193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195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244</v>
      </c>
    </row>
    <row r="11" spans="1:16" ht="17" customHeight="1">
      <c r="A11" s="25" t="s">
        <v>196</v>
      </c>
      <c r="B11" s="28">
        <f>IF(TRIM('Preenchimento'!$C$99)="","","1.   "&amp;TRIM('Preenchimento'!$C$99))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196</v>
      </c>
      <c r="B12" s="28">
        <f>IF(TRIM('Preenchimento'!$C$100)="","","2.   "&amp;TRIM('Preenchimento'!$C$100))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196</v>
      </c>
      <c r="B13" s="28">
        <f>IF(TRIM('Preenchimento'!$C$101)="","","3.   "&amp;TRIM('Preenchimento'!$C$101))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196</v>
      </c>
      <c r="B14" s="28">
        <f>IF(TRIM('Preenchimento'!$C$102)="","","4.   "&amp;TRIM('Preenchimento'!$C$102))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196</v>
      </c>
      <c r="B15" s="28">
        <f>IF(TRIM('Preenchimento'!$C$103)="","","5.   "&amp;TRIM('Preenchimento'!$C$103))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196</v>
      </c>
      <c r="B16" s="28">
        <f>IF(TRIM('Preenchimento'!$C$104)="","","6.   "&amp;TRIM('Preenchimento'!$C$104))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196</v>
      </c>
      <c r="B17" s="28">
        <f>IF(TRIM('Preenchimento'!$C$105)="","","7.   "&amp;TRIM('Preenchimento'!$C$105))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196</v>
      </c>
      <c r="B18" s="28">
        <f>IF(TRIM('Preenchimento'!$C$106)="","","8.   "&amp;TRIM('Preenchimento'!$C$106))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196</v>
      </c>
      <c r="B19" s="28">
        <f>IF(TRIM('Preenchimento'!$C$107)="","","9.   "&amp;TRIM('Preenchimento'!$C$107))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196</v>
      </c>
      <c r="B20" s="28">
        <f>IF(TRIM('Preenchimento'!$C$108)="","","10.   "&amp;TRIM('Preenchimento'!$C$108))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196</v>
      </c>
      <c r="B21" s="28">
        <f>IF(TRIM('Preenchimento'!$C$109)="","","11.   "&amp;TRIM('Preenchimento'!$C$109))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196</v>
      </c>
      <c r="B22" s="28">
        <f>IF(TRIM('Preenchimento'!$C$110)="","","12.   "&amp;TRIM('Preenchimento'!$C$110))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197</v>
      </c>
    </row>
    <row r="24" spans="1:14" ht="18" customHeight="1">
      <c r="A24" s="25" t="s">
        <v>195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196</v>
      </c>
      <c r="B25" s="28">
        <f>IF(TRIM('Preenchimento'!$C$113)="","","1.   "&amp;TRIM('Preenchimento'!$C$113))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196</v>
      </c>
      <c r="B26" s="28">
        <f>IF(TRIM('Preenchimento'!$C$114)="","","2.   "&amp;TRIM('Preenchimento'!$C$114))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196</v>
      </c>
      <c r="B27" s="28">
        <f>IF(TRIM('Preenchimento'!$C$115)="","","3.   "&amp;TRIM('Preenchimento'!$C$115))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196</v>
      </c>
      <c r="B28" s="28">
        <f>IF(TRIM('Preenchimento'!$C$116)="","","4.   "&amp;TRIM('Preenchimento'!$C$116))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197</v>
      </c>
    </row>
    <row r="30" spans="1:14" ht="18" customHeight="1">
      <c r="A30" s="25" t="s">
        <v>195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196</v>
      </c>
      <c r="B31" s="28">
        <f>IF(TRIM('Preenchimento'!$C$119)="","","1.   "&amp;TRIM('Preenchimento'!$C$119))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196</v>
      </c>
      <c r="B32" s="28">
        <f>IF(TRIM('Preenchimento'!$C$120)="","","2.   "&amp;TRIM('Preenchimento'!$C$120))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196</v>
      </c>
      <c r="B33" s="28">
        <f>IF(TRIM('Preenchimento'!$C$121)="","","3.   "&amp;TRIM('Preenchimento'!$C$121))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196</v>
      </c>
      <c r="B34" s="28">
        <f>IF(TRIM('Preenchimento'!$C$122)="","","4.   "&amp;TRIM('Preenchimento'!$C$122))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197</v>
      </c>
    </row>
    <row r="36" spans="1:14" ht="18" customHeight="1">
      <c r="A36" s="25" t="s">
        <v>195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196</v>
      </c>
      <c r="B37" s="28">
        <f>IF(TRIM('Preenchimento'!$C$125)="","","1.   "&amp;TRIM('Preenchimento'!$C$125))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196</v>
      </c>
      <c r="B38" s="28">
        <f>IF(TRIM('Preenchimento'!$C$126)="","","2.   "&amp;TRIM('Preenchimento'!$C$126))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196</v>
      </c>
      <c r="B39" s="28">
        <f>IF(TRIM('Preenchimento'!$C$127)="","","3.   "&amp;TRIM('Preenchimento'!$C$127))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196</v>
      </c>
      <c r="B40" s="28">
        <f>IF(TRIM('Preenchimento'!$C$128)="","","4.   "&amp;TRIM('Preenchimento'!$C$128))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196</v>
      </c>
      <c r="B41" s="28">
        <f>IF(TRIM('Preenchimento'!$C$129)="","","5.   "&amp;TRIM('Preenchimento'!$C$129))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196</v>
      </c>
      <c r="B42" s="28">
        <f>IF(TRIM('Preenchimento'!$C$130)="","","6.   "&amp;TRIM('Preenchimento'!$C$130))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196</v>
      </c>
      <c r="B43" s="28">
        <f>IF(TRIM('Preenchimento'!$C$131)="","","7.   "&amp;TRIM('Preenchimento'!$C$131))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196</v>
      </c>
      <c r="B44" s="28">
        <f>IF(TRIM('Preenchimento'!$C$132)="","","8.   "&amp;TRIM('Preenchimento'!$C$132))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197</v>
      </c>
    </row>
    <row r="46" spans="1:14" ht="18" customHeight="1">
      <c r="A46" s="25" t="s">
        <v>195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196</v>
      </c>
      <c r="B47" s="28">
        <f>IF(TRIM('Preenchimento'!$C$135)="","","1.   "&amp;TRIM('Preenchimento'!$C$135))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196</v>
      </c>
      <c r="B48" s="28">
        <f>IF(TRIM('Preenchimento'!$C$136)="","","2.   "&amp;TRIM('Preenchimento'!$C$136))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196</v>
      </c>
      <c r="B49" s="28">
        <f>IF(TRIM('Preenchimento'!$C$137)="","","3.   "&amp;TRIM('Preenchimento'!$C$137))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197</v>
      </c>
    </row>
    <row r="51" spans="1:14" ht="18" customHeight="1">
      <c r="A51" s="25" t="s">
        <v>195</v>
      </c>
      <c r="B51" s="27" t="s">
        <v>167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196</v>
      </c>
      <c r="B52" s="28">
        <f>IF(AND(nBatch="",AND(nBatchFe="",nBatchSiO2="",nBatchAl2O3="",nBatchP="",nBatchPPC="")),"","Processando batch "&amp;nBatch&amp;IF(AND(nBatchFe="",nBatchSiO2="",nBatchAl2O3="",nBatchP="",nBatchPPC=""),""," com teores: "&amp;LEFT(IF(nBatchFe="","","Fe: "&amp;nBatchFe&amp;"; ")&amp;IF(nBatchSiO2="","","SiO2: "&amp;nBatchSiO2&amp;"; ")&amp;IF(nBatchAl2O3="","","Al2O3: "&amp;nBatchAl2O3&amp;"; ")&amp;IF(nBatchP="","","P: "&amp;nBatchP&amp;"; ")&amp;IF(nBatchPPC="","","PPC: "&amp;nBatchPPC&amp;"; "),LEN(IF(nBatchFe="","","Fe: "&amp;nBatchFe&amp;"; ")&amp;IF(nBatchSiO2="","","SiO2: "&amp;nBatchSiO2&amp;"; ")&amp;IF(nBatchAl2O3="","","Al2O3: "&amp;nBatchAl2O3&amp;"; ")&amp;IF(nBatchP="","","P: "&amp;nBatchP&amp;"; ")&amp;IF(nBatchPPC="","","PPC: "&amp;nBatchPPC&amp;"; "))-2)))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196</v>
      </c>
      <c r="B53" s="28">
        <f>IF(TRIM('Preenchimento'!$C$142)="","",TRIM('Preenchimento'!$C$142))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196</v>
      </c>
      <c r="B54" s="28">
        <f>IF(TRIM('Preenchimento'!$C$143)="","",TRIM('Preenchimento'!$C$143))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4" customHeight="1">
      <c r="A55" s="25" t="s">
        <v>197</v>
      </c>
    </row>
    <row r="56" spans="1:14" ht="18" customHeight="1">
      <c r="A56" s="25" t="s">
        <v>195</v>
      </c>
      <c r="B56" s="27" t="s">
        <v>169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1:14" ht="17" customHeight="1">
      <c r="A57" s="25" t="s">
        <v>196</v>
      </c>
      <c r="B57" s="28">
        <f>IF(TRIM('Preenchimento'!$C$146)="","","1.   "&amp;TRIM('Preenchimento'!$C$146))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17" customHeight="1">
      <c r="A58" s="25" t="s">
        <v>196</v>
      </c>
      <c r="B58" s="28">
        <f>IF(TRIM('Preenchimento'!$C$147)="","","2.   "&amp;TRIM('Preenchimento'!$C$147))</f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4" ht="17" customHeight="1">
      <c r="A59" s="25" t="s">
        <v>196</v>
      </c>
      <c r="B59" s="28">
        <f>IF(TRIM('Preenchimento'!$C$148)="","","3.   "&amp;TRIM('Preenchimento'!$C$148))</f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4" ht="17" customHeight="1">
      <c r="A60" s="25" t="s">
        <v>196</v>
      </c>
      <c r="B60" s="28">
        <f>IF(TRIM('Preenchimento'!$C$149)="","","4.   "&amp;TRIM('Preenchimento'!$C$149))</f>
        <v>0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4" ht="17" customHeight="1">
      <c r="A61" s="25" t="s">
        <v>196</v>
      </c>
      <c r="B61" s="28">
        <f>IF(TRIM('Preenchimento'!$C$150)="","","5.   "&amp;TRIM('Preenchimento'!$C$150))</f>
        <v>0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4" ht="17" customHeight="1">
      <c r="A62" s="25" t="s">
        <v>196</v>
      </c>
      <c r="B62" s="28">
        <f>IF(TRIM('Preenchimento'!$C$151)="","","6.   "&amp;TRIM('Preenchimento'!$C$151))</f>
        <v>0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4" ht="4" customHeight="1">
      <c r="A63" s="25" t="s">
        <v>197</v>
      </c>
    </row>
    <row r="64" spans="1:14" ht="18" customHeight="1">
      <c r="A64" s="25" t="s">
        <v>195</v>
      </c>
      <c r="B64" s="27" t="s">
        <v>170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1:14" ht="34" customHeight="1">
      <c r="A65" s="25" t="s">
        <v>198</v>
      </c>
      <c r="B65" s="20" t="s">
        <v>171</v>
      </c>
      <c r="C65" s="29">
        <f>IF(nComUS3="","",nComUS3)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ht="34" customHeight="1">
      <c r="A66" s="25" t="s">
        <v>198</v>
      </c>
      <c r="B66" s="20" t="s">
        <v>172</v>
      </c>
      <c r="C66" s="29">
        <f>IF(nComUS4="","",nComUS4)</f>
        <v>0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>
      <c r="A67" s="25" t="s">
        <v>197</v>
      </c>
    </row>
    <row r="68" spans="1:14" ht="21" customHeight="1">
      <c r="A68" s="25" t="s">
        <v>194</v>
      </c>
      <c r="B68" s="26" t="s">
        <v>199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ht="30" customHeight="1">
      <c r="A69" s="25" t="s">
        <v>198</v>
      </c>
      <c r="B69" s="20" t="s">
        <v>174</v>
      </c>
      <c r="C69" s="29">
        <f>IF(nProg="","",nProg)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ht="20" customHeight="1">
      <c r="A70" s="25" t="str">
        <f>IF(AND(nPadroes="",nPadroesQuais=""),"V","F")</f>
        <v>F</v>
      </c>
      <c r="B70" s="20" t="s">
        <v>175</v>
      </c>
      <c r="C70" s="23">
        <f>IF(nPadroes="","—",nPadroes)</f>
        <v>0</v>
      </c>
      <c r="D70" s="23"/>
      <c r="E70" s="20" t="s">
        <v>176</v>
      </c>
      <c r="F70" s="20"/>
      <c r="G70" s="24">
        <f>IF(nPadroesQuais="","—",nPadroesQuais)</f>
        <v>0</v>
      </c>
      <c r="H70" s="24"/>
      <c r="I70" s="24"/>
      <c r="J70" s="24"/>
      <c r="K70" s="24"/>
      <c r="L70" s="24"/>
      <c r="M70" s="24"/>
      <c r="N70" s="24"/>
    </row>
    <row r="71" spans="1:14" ht="20" customHeight="1">
      <c r="A71" s="25" t="str">
        <f>IF(AND(nAr="",nArStatus="",nCompressor="",nNitrogenio=""),"V","F")</f>
        <v>F</v>
      </c>
      <c r="B71" s="20" t="s">
        <v>177</v>
      </c>
      <c r="C71" s="23">
        <f>IF(nAr="","—",nAr)</f>
        <v>0</v>
      </c>
      <c r="D71" s="23"/>
      <c r="E71" s="20" t="s">
        <v>200</v>
      </c>
      <c r="F71" s="20"/>
      <c r="G71" s="23">
        <f>IF(nArStatus="","—",nArStatus)</f>
        <v>0</v>
      </c>
      <c r="H71" s="23"/>
      <c r="I71" s="20" t="s">
        <v>76</v>
      </c>
      <c r="J71" s="20"/>
      <c r="K71" s="23">
        <f>IF(nCompressor="","—",nCompressor)</f>
        <v>0</v>
      </c>
      <c r="L71" s="20" t="s">
        <v>77</v>
      </c>
      <c r="M71" s="23">
        <f>IF(nNitrogenio="","—",nNitrogenio)</f>
        <v>0</v>
      </c>
      <c r="N71" s="23"/>
    </row>
    <row r="72" spans="1:14">
      <c r="A72" s="25" t="s">
        <v>197</v>
      </c>
    </row>
    <row r="73" spans="1:14" ht="21" customHeight="1">
      <c r="A73" s="25" t="s">
        <v>194</v>
      </c>
      <c r="B73" s="26" t="s">
        <v>201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ht="20" customHeight="1">
      <c r="A74" s="25" t="str">
        <f>IF(AND(nCadinhos=""),"V","F")</f>
        <v>F</v>
      </c>
      <c r="B74" s="20" t="s">
        <v>179</v>
      </c>
      <c r="C74" s="29">
        <f>IF(nCadinhos="","—",nCadinhos)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ht="20" customHeight="1">
      <c r="A75" s="25" t="str">
        <f>IF(AND(nReforma=""),"V","F")</f>
        <v>F</v>
      </c>
      <c r="B75" s="20" t="s">
        <v>180</v>
      </c>
      <c r="C75" s="29">
        <f>IF(nReforma="","—",nReforma)</f>
        <v>0</v>
      </c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>
      <c r="A76" s="25" t="s">
        <v>197</v>
      </c>
    </row>
    <row r="77" spans="1:14" ht="21" customHeight="1">
      <c r="A77" s="25" t="s">
        <v>194</v>
      </c>
      <c r="B77" s="26" t="s">
        <v>202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ht="20" customHeight="1">
      <c r="A78" s="25" t="str">
        <f>IF(AND(nH2Carvao="",nH2Coque="",nCoque04=""),"V","F")</f>
        <v>F</v>
      </c>
      <c r="B78" s="20" t="s">
        <v>182</v>
      </c>
      <c r="C78" s="23">
        <f>IF(nH2Carvao="","—",nH2Carvao)</f>
        <v>0</v>
      </c>
      <c r="D78" s="23"/>
      <c r="E78" s="20" t="s">
        <v>183</v>
      </c>
      <c r="F78" s="20"/>
      <c r="G78" s="23">
        <f>IF(nH2Coque="","—",nH2Coque)</f>
        <v>0</v>
      </c>
      <c r="H78" s="23"/>
      <c r="I78" s="20" t="s">
        <v>184</v>
      </c>
      <c r="J78" s="20"/>
      <c r="K78" s="24">
        <f>IF(nCoque04="","—",nCoque04)</f>
        <v>0</v>
      </c>
      <c r="L78" s="24"/>
      <c r="M78" s="24"/>
      <c r="N78" s="24"/>
    </row>
    <row r="79" spans="1:14" ht="34" customHeight="1">
      <c r="A79" s="25" t="s">
        <v>198</v>
      </c>
      <c r="B79" s="20" t="s">
        <v>185</v>
      </c>
      <c r="C79" s="29">
        <f>IF(nObs="","",nObs)</f>
        <v>0</v>
      </c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>
      <c r="A80" s="25" t="s">
        <v>197</v>
      </c>
    </row>
    <row r="81" spans="1:19" ht="21" customHeight="1">
      <c r="A81" s="25" t="s">
        <v>204</v>
      </c>
      <c r="B81" s="26" t="s">
        <v>203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9" ht="17" customHeight="1">
      <c r="B82" s="30" t="s">
        <v>205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9" ht="30" customHeight="1">
      <c r="B83" s="31" t="s">
        <v>206</v>
      </c>
      <c r="C83" s="31" t="s">
        <v>207</v>
      </c>
      <c r="D83" s="31" t="s">
        <v>208</v>
      </c>
      <c r="E83" s="31" t="s">
        <v>215</v>
      </c>
      <c r="F83" s="31" t="s">
        <v>245</v>
      </c>
      <c r="G83" s="31" t="s">
        <v>246</v>
      </c>
      <c r="H83" s="31" t="s">
        <v>247</v>
      </c>
      <c r="I83" s="31" t="s">
        <v>248</v>
      </c>
      <c r="J83" s="31" t="s">
        <v>249</v>
      </c>
      <c r="K83" s="31" t="s">
        <v>209</v>
      </c>
      <c r="L83" s="31" t="s">
        <v>216</v>
      </c>
      <c r="M83" s="31" t="s">
        <v>217</v>
      </c>
      <c r="N83" s="31" t="s">
        <v>218</v>
      </c>
    </row>
    <row r="84" spans="1:19" ht="18" customHeight="1">
      <c r="A84" s="25" t="s">
        <v>219</v>
      </c>
      <c r="B84" s="27" t="s">
        <v>31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1:19" ht="17" customHeight="1">
      <c r="A85" s="25" t="s">
        <v>220</v>
      </c>
      <c r="B85" s="32" t="s">
        <v>32</v>
      </c>
      <c r="C85" s="33" t="s">
        <v>33</v>
      </c>
      <c r="D85" s="34" t="s">
        <v>221</v>
      </c>
      <c r="E85" s="35"/>
      <c r="F85" s="35"/>
      <c r="G85" s="35"/>
      <c r="H85" s="35"/>
      <c r="I85" s="35"/>
      <c r="J85" s="35"/>
      <c r="K85" s="35"/>
      <c r="L85" s="36">
        <f>IF(COUNT(E85:K85)=0,"",AVERAGE(E85:K85))</f>
        <v>0</v>
      </c>
      <c r="M85" s="37">
        <f>IF(COUNT(E85:K85)=0,"",MIN(E85:K85))</f>
        <v>0</v>
      </c>
      <c r="N85" s="37">
        <f>IF(COUNT(E85:K85)=0,"",MAX(E85:K85))</f>
        <v>0</v>
      </c>
      <c r="R85">
        <f>IFERROR(IF(INDEX('Limites'!$N:$N,MATCH(IF(nProdUS3="",nProdUS4,nProdUS3),'Limites'!$B:$B,0))="","",INDEX('Limites'!$N:$N,MATCH(IF(nProdUS3="",nProdUS4,nProdUS3),'Limites'!$B:$B,0))),"")</f>
        <v>0</v>
      </c>
      <c r="S85">
        <f>IFERROR(IF(INDEX('Limites'!$O:$O,MATCH(IF(nProdUS3="",nProdUS4,nProdUS3),'Limites'!$B:$B,0))="","",INDEX('Limites'!$O:$O,MATCH(IF(nProdUS3="",nProdUS4,nProdUS3),'Limites'!$B:$B,0))),"")</f>
        <v>0</v>
      </c>
    </row>
    <row r="86" spans="1:19" ht="17" customHeight="1">
      <c r="A86" s="25" t="s">
        <v>222</v>
      </c>
      <c r="B86" s="38" t="s">
        <v>37</v>
      </c>
      <c r="C86" s="39" t="s">
        <v>33</v>
      </c>
      <c r="D86" s="40" t="s">
        <v>221</v>
      </c>
      <c r="E86" s="41"/>
      <c r="F86" s="41"/>
      <c r="G86" s="41"/>
      <c r="H86" s="41"/>
      <c r="I86" s="41"/>
      <c r="J86" s="41"/>
      <c r="K86" s="41"/>
      <c r="L86" s="42">
        <f>IF(COUNT(E86:K86)=0,"",AVERAGE(E86:K86))</f>
        <v>0</v>
      </c>
      <c r="M86" s="43">
        <f>IF(COUNT(E86:K86)=0,"",MIN(E86:K86))</f>
        <v>0</v>
      </c>
      <c r="N86" s="43">
        <f>IF(COUNT(E86:K86)=0,"",MAX(E86:K86))</f>
        <v>0</v>
      </c>
      <c r="R86">
        <f>IFERROR(IF(INDEX('Limites'!$P:$P,MATCH(IF(nProdUS3="",nProdUS4,nProdUS3),'Limites'!$B:$B,0))="","",INDEX('Limites'!$P:$P,MATCH(IF(nProdUS3="",nProdUS4,nProdUS3),'Limites'!$B:$B,0))),"")</f>
        <v>0</v>
      </c>
      <c r="S86">
        <f>IFERROR(IF(INDEX('Limites'!$Q:$Q,MATCH(IF(nProdUS3="",nProdUS4,nProdUS3),'Limites'!$B:$B,0))="","",INDEX('Limites'!$Q:$Q,MATCH(IF(nProdUS3="",nProdUS4,nProdUS3),'Limites'!$B:$B,0))),"")</f>
        <v>0</v>
      </c>
    </row>
    <row r="87" spans="1:19" ht="17" customHeight="1">
      <c r="A87" s="25" t="s">
        <v>223</v>
      </c>
      <c r="B87" s="32" t="s">
        <v>39</v>
      </c>
      <c r="C87" s="33" t="s">
        <v>33</v>
      </c>
      <c r="D87" s="34" t="s">
        <v>221</v>
      </c>
      <c r="E87" s="35"/>
      <c r="F87" s="35"/>
      <c r="G87" s="35"/>
      <c r="H87" s="35"/>
      <c r="I87" s="35"/>
      <c r="J87" s="35"/>
      <c r="K87" s="35"/>
      <c r="L87" s="36">
        <f>IF(COUNT(E87:K87)=0,"",AVERAGE(E87:K87))</f>
        <v>0</v>
      </c>
      <c r="M87" s="37">
        <f>IF(COUNT(E87:K87)=0,"",MIN(E87:K87))</f>
        <v>0</v>
      </c>
      <c r="N87" s="37">
        <f>IF(COUNT(E87:K87)=0,"",MAX(E87:K87))</f>
        <v>0</v>
      </c>
    </row>
    <row r="88" spans="1:19" ht="17" customHeight="1">
      <c r="A88" s="25" t="s">
        <v>224</v>
      </c>
      <c r="B88" s="38" t="s">
        <v>41</v>
      </c>
      <c r="C88" s="39" t="s">
        <v>33</v>
      </c>
      <c r="D88" s="40" t="s">
        <v>221</v>
      </c>
      <c r="E88" s="44"/>
      <c r="F88" s="44"/>
      <c r="G88" s="44"/>
      <c r="H88" s="44"/>
      <c r="I88" s="44"/>
      <c r="J88" s="44"/>
      <c r="K88" s="44"/>
      <c r="L88" s="36">
        <f>IF(COUNT(E88:K88)=0,"",AVERAGE(E88:K88))</f>
        <v>0</v>
      </c>
      <c r="M88" s="45">
        <f>IF(COUNT(E88:K88)=0,"",MIN(E88:K88))</f>
        <v>0</v>
      </c>
      <c r="N88" s="45">
        <f>IF(COUNT(E88:K88)=0,"",MAX(E88:K88))</f>
        <v>0</v>
      </c>
    </row>
    <row r="89" spans="1:19" ht="17" customHeight="1">
      <c r="A89" s="25" t="s">
        <v>225</v>
      </c>
      <c r="B89" s="32" t="s">
        <v>43</v>
      </c>
      <c r="C89" s="33" t="s">
        <v>33</v>
      </c>
      <c r="D89" s="34" t="s">
        <v>221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IFERROR(IF(INDEX('Limites'!$R:$R,MATCH(IF(nProdUS3="",nProdUS4,nProdUS3),'Limites'!$B:$B,0))="","",INDEX('Limites'!$R:$R,MATCH(IF(nProdUS3="",nProdUS4,nProdUS3),'Limites'!$B:$B,0))),"")</f>
        <v>0</v>
      </c>
      <c r="S89">
        <f>IFERROR(IF(INDEX('Limites'!$S:$S,MATCH(IF(nProdUS3="",nProdUS4,nProdUS3),'Limites'!$B:$B,0))="","",INDEX('Limites'!$S:$S,MATCH(IF(nProdUS3="",nProdUS4,nProdUS3),'Limites'!$B:$B,0))),"")</f>
        <v>0</v>
      </c>
    </row>
    <row r="90" spans="1:19" ht="18" customHeight="1">
      <c r="A90" s="25" t="s">
        <v>226</v>
      </c>
      <c r="B90" s="27" t="s">
        <v>45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1:19" ht="17" customHeight="1">
      <c r="A91" s="25" t="s">
        <v>227</v>
      </c>
      <c r="B91" s="38" t="s">
        <v>46</v>
      </c>
      <c r="C91" s="39" t="s">
        <v>33</v>
      </c>
      <c r="D91" s="40" t="s">
        <v>228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  <c r="R91">
        <f>IFERROR(IF(INDEX('Limites'!$D:$D,MATCH(nProdUS3,'Limites'!$B:$B,0))="","",INDEX('Limites'!$D:$D,MATCH(nProdUS3,'Limites'!$B:$B,0))),"")</f>
        <v>0</v>
      </c>
      <c r="S91">
        <f>IFERROR(IF(INDEX('Limites'!$E:$E,MATCH(nProdUS3,'Limites'!$B:$B,0))="","",INDEX('Limites'!$E:$E,MATCH(nProdUS3,'Limites'!$B:$B,0))),"")</f>
        <v>0</v>
      </c>
    </row>
    <row r="92" spans="1:19" ht="17" customHeight="1">
      <c r="A92" s="25" t="s">
        <v>229</v>
      </c>
      <c r="B92" s="38"/>
      <c r="C92" s="39"/>
      <c r="D92" s="46" t="s">
        <v>230</v>
      </c>
      <c r="E92" s="44"/>
      <c r="F92" s="44"/>
      <c r="G92" s="44"/>
      <c r="H92" s="44"/>
      <c r="I92" s="44"/>
      <c r="J92" s="44"/>
      <c r="K92" s="44"/>
      <c r="L92" s="36">
        <f>IF(COUNT(E92:K92)=0,"",AVERAGE(E92:K92))</f>
        <v>0</v>
      </c>
      <c r="M92" s="45">
        <f>IF(COUNT(E92:K92)=0,"",MIN(E92:K92))</f>
        <v>0</v>
      </c>
      <c r="N92" s="45">
        <f>IF(COUNT(E92:K92)=0,"",MAX(E92:K92))</f>
        <v>0</v>
      </c>
      <c r="R92">
        <f>IFERROR(IF(INDEX('Limites'!$D:$D,MATCH(nProdUS4,'Limites'!$B:$B,0))="","",INDEX('Limites'!$D:$D,MATCH(nProdUS4,'Limites'!$B:$B,0))),"")</f>
        <v>0</v>
      </c>
      <c r="S92">
        <f>IFERROR(IF(INDEX('Limites'!$E:$E,MATCH(nProdUS4,'Limites'!$B:$B,0))="","",INDEX('Limites'!$E:$E,MATCH(nProdUS4,'Limites'!$B:$B,0))),"")</f>
        <v>0</v>
      </c>
    </row>
    <row r="93" spans="1:19" ht="17" customHeight="1">
      <c r="A93" s="25" t="s">
        <v>231</v>
      </c>
      <c r="B93" s="32" t="s">
        <v>32</v>
      </c>
      <c r="C93" s="33" t="s">
        <v>33</v>
      </c>
      <c r="D93" s="34" t="s">
        <v>228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IFERROR(IF(INDEX('Limites'!$F:$F,MATCH(nProdUS3,'Limites'!$B:$B,0))="","",INDEX('Limites'!$F:$F,MATCH(nProdUS3,'Limites'!$B:$B,0))),"")</f>
        <v>0</v>
      </c>
      <c r="S93">
        <f>IFERROR(IF(INDEX('Limites'!$G:$G,MATCH(nProdUS3,'Limites'!$B:$B,0))="","",INDEX('Limites'!$G:$G,MATCH(nProdUS3,'Limites'!$B:$B,0))),"")</f>
        <v>0</v>
      </c>
    </row>
    <row r="94" spans="1:19" ht="17" customHeight="1">
      <c r="A94" s="25" t="s">
        <v>232</v>
      </c>
      <c r="B94" s="32"/>
      <c r="C94" s="33"/>
      <c r="D94" s="47" t="s">
        <v>230</v>
      </c>
      <c r="E94" s="35"/>
      <c r="F94" s="35"/>
      <c r="G94" s="35"/>
      <c r="H94" s="35"/>
      <c r="I94" s="35"/>
      <c r="J94" s="35"/>
      <c r="K94" s="35"/>
      <c r="L94" s="36">
        <f>IF(COUNT(E94:K94)=0,"",AVERAGE(E94:K94))</f>
        <v>0</v>
      </c>
      <c r="M94" s="37">
        <f>IF(COUNT(E94:K94)=0,"",MIN(E94:K94))</f>
        <v>0</v>
      </c>
      <c r="N94" s="37">
        <f>IF(COUNT(E94:K94)=0,"",MAX(E94:K94))</f>
        <v>0</v>
      </c>
      <c r="R94">
        <f>IFERROR(IF(INDEX('Limites'!$F:$F,MATCH(nProdUS4,'Limites'!$B:$B,0))="","",INDEX('Limites'!$F:$F,MATCH(nProdUS4,'Limites'!$B:$B,0))),"")</f>
        <v>0</v>
      </c>
      <c r="S94">
        <f>IFERROR(IF(INDEX('Limites'!$G:$G,MATCH(nProdUS4,'Limites'!$B:$B,0))="","",INDEX('Limites'!$G:$G,MATCH(nProdUS4,'Limites'!$B:$B,0))),"")</f>
        <v>0</v>
      </c>
    </row>
    <row r="95" spans="1:19" ht="17" customHeight="1">
      <c r="A95" s="25" t="s">
        <v>233</v>
      </c>
      <c r="B95" s="38" t="s">
        <v>51</v>
      </c>
      <c r="C95" s="39" t="s">
        <v>33</v>
      </c>
      <c r="D95" s="40" t="s">
        <v>228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234</v>
      </c>
      <c r="B96" s="38"/>
      <c r="C96" s="39"/>
      <c r="D96" s="46" t="s">
        <v>230</v>
      </c>
      <c r="E96" s="44"/>
      <c r="F96" s="44"/>
      <c r="G96" s="44"/>
      <c r="H96" s="44"/>
      <c r="I96" s="44"/>
      <c r="J96" s="44"/>
      <c r="K96" s="44"/>
      <c r="L96" s="36">
        <f>IF(COUNT(E96:K96)=0,"",AVERAGE(E96:K96))</f>
        <v>0</v>
      </c>
      <c r="M96" s="45">
        <f>IF(COUNT(E96:K96)=0,"",MIN(E96:K96))</f>
        <v>0</v>
      </c>
      <c r="N96" s="45">
        <f>IF(COUNT(E96:K96)=0,"",MAX(E96:K96))</f>
        <v>0</v>
      </c>
    </row>
    <row r="97" spans="1:19" ht="17" customHeight="1">
      <c r="A97" s="25" t="s">
        <v>235</v>
      </c>
      <c r="B97" s="32" t="s">
        <v>41</v>
      </c>
      <c r="C97" s="33" t="s">
        <v>33</v>
      </c>
      <c r="D97" s="34" t="s">
        <v>228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IFERROR(IF(INDEX('Limites'!$J:$J,MATCH(nProdUS3,'Limites'!$B:$B,0))="","",INDEX('Limites'!$J:$J,MATCH(nProdUS3,'Limites'!$B:$B,0))),"")</f>
        <v>0</v>
      </c>
      <c r="S97">
        <f>IFERROR(IF(INDEX('Limites'!$K:$K,MATCH(nProdUS3,'Limites'!$B:$B,0))="","",INDEX('Limites'!$K:$K,MATCH(nProdUS3,'Limites'!$B:$B,0))),"")</f>
        <v>0</v>
      </c>
    </row>
    <row r="98" spans="1:19" ht="17" customHeight="1">
      <c r="A98" s="25" t="s">
        <v>236</v>
      </c>
      <c r="B98" s="32"/>
      <c r="C98" s="33"/>
      <c r="D98" s="47" t="s">
        <v>230</v>
      </c>
      <c r="E98" s="35"/>
      <c r="F98" s="35"/>
      <c r="G98" s="35"/>
      <c r="H98" s="35"/>
      <c r="I98" s="35"/>
      <c r="J98" s="35"/>
      <c r="K98" s="35"/>
      <c r="L98" s="36">
        <f>IF(COUNT(E98:K98)=0,"",AVERAGE(E98:K98))</f>
        <v>0</v>
      </c>
      <c r="M98" s="37">
        <f>IF(COUNT(E98:K98)=0,"",MIN(E98:K98))</f>
        <v>0</v>
      </c>
      <c r="N98" s="37">
        <f>IF(COUNT(E98:K98)=0,"",MAX(E98:K98))</f>
        <v>0</v>
      </c>
      <c r="R98">
        <f>IFERROR(IF(INDEX('Limites'!$J:$J,MATCH(nProdUS4,'Limites'!$B:$B,0))="","",INDEX('Limites'!$J:$J,MATCH(nProdUS4,'Limites'!$B:$B,0))),"")</f>
        <v>0</v>
      </c>
      <c r="S98">
        <f>IFERROR(IF(INDEX('Limites'!$K:$K,MATCH(nProdUS4,'Limites'!$B:$B,0))="","",INDEX('Limites'!$K:$K,MATCH(nProdUS4,'Limites'!$B:$B,0))),"")</f>
        <v>0</v>
      </c>
    </row>
    <row r="99" spans="1:19" ht="17" customHeight="1">
      <c r="A99" s="25" t="s">
        <v>237</v>
      </c>
      <c r="B99" s="38" t="s">
        <v>39</v>
      </c>
      <c r="C99" s="39" t="s">
        <v>33</v>
      </c>
      <c r="D99" s="40" t="s">
        <v>228</v>
      </c>
      <c r="E99" s="44"/>
      <c r="F99" s="44"/>
      <c r="G99" s="44"/>
      <c r="H99" s="44"/>
      <c r="I99" s="44"/>
      <c r="J99" s="44"/>
      <c r="K99" s="44"/>
      <c r="L99" s="36">
        <f>IF(COUNT(E99:K99)=0,"",AVERAGE(E99:K99))</f>
        <v>0</v>
      </c>
      <c r="M99" s="45">
        <f>IF(COUNT(E99:K99)=0,"",MIN(E99:K99))</f>
        <v>0</v>
      </c>
      <c r="N99" s="45">
        <f>IF(COUNT(E99:K99)=0,"",MAX(E99:K99))</f>
        <v>0</v>
      </c>
    </row>
    <row r="100" spans="1:19" ht="17" customHeight="1">
      <c r="A100" s="25" t="s">
        <v>238</v>
      </c>
      <c r="B100" s="38"/>
      <c r="C100" s="39"/>
      <c r="D100" s="46" t="s">
        <v>230</v>
      </c>
      <c r="E100" s="44"/>
      <c r="F100" s="44"/>
      <c r="G100" s="44"/>
      <c r="H100" s="44"/>
      <c r="I100" s="44"/>
      <c r="J100" s="44"/>
      <c r="K100" s="44"/>
      <c r="L100" s="36">
        <f>IF(COUNT(E100:K100)=0,"",AVERAGE(E100:K100))</f>
        <v>0</v>
      </c>
      <c r="M100" s="45">
        <f>IF(COUNT(E100:K100)=0,"",MIN(E100:K100))</f>
        <v>0</v>
      </c>
      <c r="N100" s="45">
        <f>IF(COUNT(E100:K100)=0,"",MAX(E100:K100))</f>
        <v>0</v>
      </c>
    </row>
    <row r="101" spans="1:19" ht="17" customHeight="1">
      <c r="A101" s="25" t="s">
        <v>239</v>
      </c>
      <c r="B101" s="32" t="s">
        <v>58</v>
      </c>
      <c r="C101" s="33" t="s">
        <v>59</v>
      </c>
      <c r="D101" s="34" t="s">
        <v>228</v>
      </c>
      <c r="E101" s="35"/>
      <c r="F101" s="35"/>
      <c r="G101" s="35"/>
      <c r="H101" s="35"/>
      <c r="I101" s="35"/>
      <c r="J101" s="35"/>
      <c r="K101" s="35"/>
      <c r="L101" s="36">
        <f>IF(COUNT(E101:K101)=0,"",AVERAGE(E101:K101))</f>
        <v>0</v>
      </c>
      <c r="M101" s="37">
        <f>IF(COUNT(E101:K101)=0,"",MIN(E101:K101))</f>
        <v>0</v>
      </c>
      <c r="N101" s="37">
        <f>IF(COUNT(E101:K101)=0,"",MAX(E101:K101))</f>
        <v>0</v>
      </c>
      <c r="R101">
        <f>IFERROR(IF(INDEX('Limites'!$L:$L,MATCH(nProdUS3,'Limites'!$B:$B,0))="","",INDEX('Limites'!$L:$L,MATCH(nProdUS3,'Limites'!$B:$B,0))),"")</f>
        <v>0</v>
      </c>
      <c r="S101">
        <f>IFERROR(IF(INDEX('Limites'!$M:$M,MATCH(nProdUS3,'Limites'!$B:$B,0))="","",INDEX('Limites'!$M:$M,MATCH(nProdUS3,'Limites'!$B:$B,0))),"")</f>
        <v>0</v>
      </c>
    </row>
    <row r="102" spans="1:19" ht="17" customHeight="1">
      <c r="A102" s="25" t="s">
        <v>240</v>
      </c>
      <c r="B102" s="32"/>
      <c r="C102" s="33"/>
      <c r="D102" s="47" t="s">
        <v>230</v>
      </c>
      <c r="E102" s="35"/>
      <c r="F102" s="35"/>
      <c r="G102" s="35"/>
      <c r="H102" s="35"/>
      <c r="I102" s="35"/>
      <c r="J102" s="35"/>
      <c r="K102" s="35"/>
      <c r="L102" s="36">
        <f>IF(COUNT(E102:K102)=0,"",AVERAGE(E102:K102))</f>
        <v>0</v>
      </c>
      <c r="M102" s="37">
        <f>IF(COUNT(E102:K102)=0,"",MIN(E102:K102))</f>
        <v>0</v>
      </c>
      <c r="N102" s="37">
        <f>IF(COUNT(E102:K102)=0,"",MAX(E102:K102))</f>
        <v>0</v>
      </c>
      <c r="R102">
        <f>IFERROR(IF(INDEX('Limites'!$L:$L,MATCH(nProdUS4,'Limites'!$B:$B,0))="","",INDEX('Limites'!$L:$L,MATCH(nProdUS4,'Limites'!$B:$B,0))),"")</f>
        <v>0</v>
      </c>
      <c r="S102">
        <f>IFERROR(IF(INDEX('Limites'!$M:$M,MATCH(nProdUS4,'Limites'!$B:$B,0))="","",INDEX('Limites'!$M:$M,MATCH(nProdUS4,'Limites'!$B:$B,0))),"")</f>
        <v>0</v>
      </c>
    </row>
    <row r="103" spans="1:19" ht="17" customHeight="1">
      <c r="A103" s="25" t="s">
        <v>241</v>
      </c>
      <c r="B103" s="38" t="s">
        <v>62</v>
      </c>
      <c r="C103" s="39" t="s">
        <v>33</v>
      </c>
      <c r="D103" s="40" t="s">
        <v>228</v>
      </c>
      <c r="E103" s="41"/>
      <c r="F103" s="41"/>
      <c r="G103" s="41"/>
      <c r="H103" s="41"/>
      <c r="I103" s="41"/>
      <c r="J103" s="41"/>
      <c r="K103" s="41"/>
      <c r="L103" s="42">
        <f>IF(COUNT(E103:K103)=0,"",AVERAGE(E103:K103))</f>
        <v>0</v>
      </c>
      <c r="M103" s="43">
        <f>IF(COUNT(E103:K103)=0,"",MIN(E103:K103))</f>
        <v>0</v>
      </c>
      <c r="N103" s="43">
        <f>IF(COUNT(E103:K103)=0,"",MAX(E103:K103))</f>
        <v>0</v>
      </c>
    </row>
    <row r="104" spans="1:19" ht="17" customHeight="1">
      <c r="A104" s="25" t="s">
        <v>242</v>
      </c>
      <c r="B104" s="38"/>
      <c r="C104" s="39"/>
      <c r="D104" s="46" t="s">
        <v>230</v>
      </c>
      <c r="E104" s="41"/>
      <c r="F104" s="41"/>
      <c r="G104" s="41"/>
      <c r="H104" s="41"/>
      <c r="I104" s="41"/>
      <c r="J104" s="41"/>
      <c r="K104" s="41"/>
      <c r="L104" s="42">
        <f>IF(COUNT(E104:K104)=0,"",AVERAGE(E104:K104))</f>
        <v>0</v>
      </c>
      <c r="M104" s="43">
        <f>IF(COUNT(E104:K104)=0,"",MIN(E104:K104))</f>
        <v>0</v>
      </c>
      <c r="N104" s="43">
        <f>IF(COUNT(E104:K104)=0,"",MAX(E104:K104))</f>
        <v>0</v>
      </c>
    </row>
    <row r="105" spans="1:19" ht="17" customHeight="1">
      <c r="B105" s="48" t="s">
        <v>243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</sheetData>
  <sheetProtection sheet="1" objects="1" scenarios="1" formatColumns="0" formatRows="0"/>
  <mergeCells count="100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6:N56"/>
    <mergeCell ref="B57:N57"/>
    <mergeCell ref="B58:N58"/>
    <mergeCell ref="B59:N59"/>
    <mergeCell ref="B60:N60"/>
    <mergeCell ref="B61:N61"/>
    <mergeCell ref="B62:N62"/>
    <mergeCell ref="B64:N64"/>
    <mergeCell ref="C65:N65"/>
    <mergeCell ref="C66:N66"/>
    <mergeCell ref="B68:N68"/>
    <mergeCell ref="C69:N69"/>
    <mergeCell ref="C70:D70"/>
    <mergeCell ref="E70:F70"/>
    <mergeCell ref="G70:N70"/>
    <mergeCell ref="C71:D71"/>
    <mergeCell ref="E71:F71"/>
    <mergeCell ref="G71:H71"/>
    <mergeCell ref="I71:J71"/>
    <mergeCell ref="M71:N71"/>
    <mergeCell ref="B73:N73"/>
    <mergeCell ref="C74:N74"/>
    <mergeCell ref="C75:N75"/>
    <mergeCell ref="B77:N77"/>
    <mergeCell ref="C78:D78"/>
    <mergeCell ref="E78:F78"/>
    <mergeCell ref="G78:H78"/>
    <mergeCell ref="I78:J78"/>
    <mergeCell ref="K78:N78"/>
    <mergeCell ref="C79:N79"/>
    <mergeCell ref="B81:N81"/>
    <mergeCell ref="B82:N82"/>
    <mergeCell ref="B84:N84"/>
    <mergeCell ref="B90:N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N105"/>
  </mergeCells>
  <conditionalFormatting sqref="E101:L101">
    <cfRule type="expression" dxfId="1" priority="19">
      <formula>AND(ISNUMBER(E101),OR(AND(ISNUMBER($R101),ROUND(E101,2)&lt;$R101),AND(ISNUMBER($S101),ROUND(E101,2)&gt;$S101)))</formula>
    </cfRule>
    <cfRule type="expression" dxfId="2" priority="20">
      <formula>AND(ISNUMBER(E101),OR(ISNUMBER($R101),ISNUMBER($S101)),NOT(OR(AND(ISNUMBER($R101),ROUND(E101,2)&lt;$R101),AND(ISNUMBER($S101),ROUND(E101,2)&gt;$S101))))</formula>
    </cfRule>
  </conditionalFormatting>
  <conditionalFormatting sqref="E102:L102">
    <cfRule type="expression" dxfId="1" priority="21">
      <formula>AND(ISNUMBER(E102),OR(AND(ISNUMBER($R102),ROUND(E102,2)&lt;$R102),AND(ISNUMBER($S102),ROUND(E102,2)&gt;$S102)))</formula>
    </cfRule>
    <cfRule type="expression" dxfId="2" priority="22">
      <formula>AND(ISNUMBER(E102),OR(ISNUMBER($R102),ISNUMBER($S102)),NOT(OR(AND(ISNUMBER($R102),ROUND(E102,2)&lt;$R102),AND(ISNUMBER($S102),ROUND(E102,2)&gt;$S102))))</formula>
    </cfRule>
  </conditionalFormatting>
  <conditionalFormatting sqref="E85:L85">
    <cfRule type="expression" dxfId="1" priority="1">
      <formula>AND(ISNUMBER(E85),OR(AND(ISNUMBER($R85),ROUND(E85,2)&lt;$R85),AND(ISNUMBER($S85),ROUND(E85,2)&gt;$S85)))</formula>
    </cfRule>
    <cfRule type="expression" dxfId="2" priority="2">
      <formula>AND(ISNUMBER(E85),OR(ISNUMBER($R85),ISNUMBER($S85)),NOT(OR(AND(ISNUMBER($R85),ROUND(E85,2)&lt;$R85),AND(ISNUMBER($S85),ROUND(E85,2)&gt;$S85))))</formula>
    </cfRule>
  </conditionalFormatting>
  <conditionalFormatting sqref="E86:L86">
    <cfRule type="expression" dxfId="1" priority="3">
      <formula>AND(ISNUMBER(E86),OR(AND(ISNUMBER($R86),ROUND(E86,3)&lt;$R86),AND(ISNUMBER($S86),ROUND(E86,3)&gt;$S86)))</formula>
    </cfRule>
    <cfRule type="expression" dxfId="2" priority="4">
      <formula>AND(ISNUMBER(E86),OR(ISNUMBER($R86),ISNUMBER($S86)),NOT(OR(AND(ISNUMBER($R86),ROUND(E86,3)&lt;$R86),AND(ISNUMBER($S86),ROUND(E86,3)&gt;$S86))))</formula>
    </cfRule>
  </conditionalFormatting>
  <conditionalFormatting sqref="E89:L89">
    <cfRule type="expression" dxfId="1" priority="5">
      <formula>AND(ISNUMBER(E89),OR(AND(ISNUMBER($R89),ROUND(E89,2)&lt;$R89),AND(ISNUMBER($S89),ROUND(E89,2)&gt;$S89)))</formula>
    </cfRule>
    <cfRule type="expression" dxfId="2" priority="6">
      <formula>AND(ISNUMBER(E89),OR(ISNUMBER($R89),ISNUMBER($S89)),NOT(OR(AND(ISNUMBER($R89),ROUND(E89,2)&lt;$R89),AND(ISNUMBER($S89),ROUND(E89,2)&gt;$S89))))</formula>
    </cfRule>
  </conditionalFormatting>
  <conditionalFormatting sqref="E91:L91">
    <cfRule type="expression" dxfId="1" priority="7">
      <formula>AND(ISNUMBER(E91),OR(AND(ISNUMBER($R91),ROUND(E91,2)&lt;$R91),AND(ISNUMBER($S91),ROUND(E91,2)&gt;$S91)))</formula>
    </cfRule>
    <cfRule type="expression" dxfId="2" priority="8">
      <formula>AND(ISNUMBER(E91),OR(ISNUMBER($R91),ISNUMBER($S91)),NOT(OR(AND(ISNUMBER($R91),ROUND(E91,2)&lt;$R91),AND(ISNUMBER($S91),ROUND(E91,2)&gt;$S91))))</formula>
    </cfRule>
  </conditionalFormatting>
  <conditionalFormatting sqref="E92:L92">
    <cfRule type="expression" dxfId="1" priority="9">
      <formula>AND(ISNUMBER(E92),OR(AND(ISNUMBER($R92),ROUND(E92,2)&lt;$R92),AND(ISNUMBER($S92),ROUND(E92,2)&gt;$S92)))</formula>
    </cfRule>
    <cfRule type="expression" dxfId="2" priority="10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1">
      <formula>AND(ISNUMBER(E93),OR(AND(ISNUMBER($R93),ROUND(E93,2)&lt;$R93),AND(ISNUMBER($S93),ROUND(E93,2)&gt;$S93)))</formula>
    </cfRule>
    <cfRule type="expression" dxfId="2" priority="12">
      <formula>AND(ISNUMBER(E93),OR(ISNUMBER($R93),ISNUMBER($S93)),NOT(OR(AND(ISNUMBER($R93),ROUND(E93,2)&lt;$R93),AND(ISNUMBER($S93),ROUND(E93,2)&gt;$S93))))</formula>
    </cfRule>
  </conditionalFormatting>
  <conditionalFormatting sqref="E94:L94">
    <cfRule type="expression" dxfId="1" priority="13">
      <formula>AND(ISNUMBER(E94),OR(AND(ISNUMBER($R94),ROUND(E94,2)&lt;$R94),AND(ISNUMBER($S94),ROUND(E94,2)&gt;$S94)))</formula>
    </cfRule>
    <cfRule type="expression" dxfId="2" priority="14">
      <formula>AND(ISNUMBER(E94),OR(ISNUMBER($R94),ISNUMBER($S94)),NOT(OR(AND(ISNUMBER($R94),ROUND(E94,2)&lt;$R94),AND(ISNUMBER($S94),ROUND(E94,2)&gt;$S94))))</formula>
    </cfRule>
  </conditionalFormatting>
  <conditionalFormatting sqref="E97:L97">
    <cfRule type="expression" dxfId="1" priority="15">
      <formula>AND(ISNUMBER(E97),OR(AND(ISNUMBER($R97),ROUND(E97,2)&lt;$R97),AND(ISNUMBER($S97),ROUND(E97,2)&gt;$S97)))</formula>
    </cfRule>
    <cfRule type="expression" dxfId="2" priority="16">
      <formula>AND(ISNUMBER(E97),OR(ISNUMBER($R97),ISNUMBER($S97)),NOT(OR(AND(ISNUMBER($R97),ROUND(E97,2)&lt;$R97),AND(ISNUMBER($S97),ROUND(E97,2)&gt;$S97))))</formula>
    </cfRule>
  </conditionalFormatting>
  <conditionalFormatting sqref="E98:L98">
    <cfRule type="expression" dxfId="1" priority="17">
      <formula>AND(ISNUMBER(E98),OR(AND(ISNUMBER($R98),ROUND(E98,2)&lt;$R98),AND(ISNUMBER($S98),ROUND(E98,2)&gt;$S98)))</formula>
    </cfRule>
    <cfRule type="expression" dxfId="2" priority="18">
      <formula>AND(ISNUMBER(E98),OR(ISNUMBER($R98),ISNUMBER($S98)),NOT(OR(AND(ISNUMBER($R98),ROUND(E98,2)&lt;$R98),AND(ISNUMBER($S98),ROUND(E98,2)&gt;$S98))))</formula>
    </cfRule>
  </conditionalFormatting>
  <hyperlinks>
    <hyperlink ref="P10" location="'Preenchimento'!B94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152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153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250</v>
      </c>
      <c r="C6" s="50" t="s">
        <v>122</v>
      </c>
      <c r="D6" s="50"/>
      <c r="E6" s="51"/>
      <c r="F6" s="51"/>
      <c r="G6" s="51"/>
      <c r="H6" s="52" t="s">
        <v>123</v>
      </c>
      <c r="I6" s="51"/>
      <c r="J6" s="51"/>
      <c r="K6" s="51"/>
      <c r="L6" s="53" t="s">
        <v>251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160</v>
      </c>
      <c r="C8" s="54">
        <f>IF(dProdUS3="","",dProdUS3)</f>
        <v>0</v>
      </c>
      <c r="D8" s="54"/>
    </row>
    <row r="9" spans="1:24" ht="20" customHeight="1">
      <c r="B9" s="49" t="s">
        <v>161</v>
      </c>
      <c r="C9" s="54">
        <f>IF(dProdUS4="","",dProdUS4)</f>
        <v>0</v>
      </c>
      <c r="D9" s="54"/>
    </row>
    <row r="10" spans="1:24">
      <c r="B10" s="55" t="s">
        <v>205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244</v>
      </c>
    </row>
    <row r="11" spans="1:24" ht="30" customHeight="1">
      <c r="B11" s="31" t="s">
        <v>206</v>
      </c>
      <c r="C11" s="31" t="s">
        <v>207</v>
      </c>
      <c r="D11" s="31" t="s">
        <v>208</v>
      </c>
      <c r="E11" s="31" t="s">
        <v>252</v>
      </c>
      <c r="F11" s="31" t="s">
        <v>252</v>
      </c>
      <c r="G11" s="31" t="s">
        <v>252</v>
      </c>
      <c r="H11" s="31" t="s">
        <v>252</v>
      </c>
      <c r="I11" s="31" t="s">
        <v>252</v>
      </c>
      <c r="J11" s="31" t="s">
        <v>252</v>
      </c>
      <c r="K11" s="31" t="s">
        <v>252</v>
      </c>
      <c r="L11" s="31" t="s">
        <v>252</v>
      </c>
      <c r="M11" s="31" t="s">
        <v>252</v>
      </c>
      <c r="N11" s="31" t="s">
        <v>252</v>
      </c>
      <c r="O11" s="31" t="s">
        <v>252</v>
      </c>
      <c r="P11" s="31" t="s">
        <v>252</v>
      </c>
      <c r="Q11" s="31" t="s">
        <v>253</v>
      </c>
      <c r="R11" s="31" t="s">
        <v>217</v>
      </c>
      <c r="S11" s="31" t="s">
        <v>218</v>
      </c>
    </row>
    <row r="12" spans="1:24" ht="18" customHeight="1">
      <c r="A12" s="25" t="s">
        <v>219</v>
      </c>
      <c r="B12" s="27" t="s">
        <v>31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24" ht="17" customHeight="1">
      <c r="A13" s="25" t="s">
        <v>220</v>
      </c>
      <c r="B13" s="32" t="s">
        <v>32</v>
      </c>
      <c r="C13" s="33" t="s">
        <v>33</v>
      </c>
      <c r="D13" s="34" t="s">
        <v>221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5" t="s">
        <v>222</v>
      </c>
      <c r="B14" s="38" t="s">
        <v>37</v>
      </c>
      <c r="C14" s="39" t="s">
        <v>33</v>
      </c>
      <c r="D14" s="40" t="s">
        <v>221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2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5" t="s">
        <v>223</v>
      </c>
      <c r="B15" s="32" t="s">
        <v>39</v>
      </c>
      <c r="C15" s="33" t="s">
        <v>33</v>
      </c>
      <c r="D15" s="34" t="s">
        <v>221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224</v>
      </c>
      <c r="B16" s="38" t="s">
        <v>41</v>
      </c>
      <c r="C16" s="39" t="s">
        <v>33</v>
      </c>
      <c r="D16" s="40" t="s">
        <v>221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24" ht="17" customHeight="1">
      <c r="A17" s="25" t="s">
        <v>225</v>
      </c>
      <c r="B17" s="32" t="s">
        <v>43</v>
      </c>
      <c r="C17" s="33" t="s">
        <v>33</v>
      </c>
      <c r="D17" s="34" t="s">
        <v>221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5" t="s">
        <v>226</v>
      </c>
      <c r="B18" s="27" t="s">
        <v>45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24" ht="17" customHeight="1">
      <c r="A19" s="25" t="s">
        <v>227</v>
      </c>
      <c r="B19" s="38" t="s">
        <v>46</v>
      </c>
      <c r="C19" s="39" t="s">
        <v>33</v>
      </c>
      <c r="D19" s="40" t="s">
        <v>228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36">
        <f>IF(COUNT(E19:P19)=0,"",AVERAGE(E19:P19))</f>
        <v>0</v>
      </c>
      <c r="R19" s="45">
        <f>IF(COUNT(E19:P19)=0,"",MIN(E19:P19))</f>
        <v>0</v>
      </c>
      <c r="S19" s="45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5" t="s">
        <v>229</v>
      </c>
      <c r="B20" s="38"/>
      <c r="C20" s="39"/>
      <c r="D20" s="46" t="s">
        <v>230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5" t="s">
        <v>231</v>
      </c>
      <c r="B21" s="32" t="s">
        <v>32</v>
      </c>
      <c r="C21" s="33" t="s">
        <v>33</v>
      </c>
      <c r="D21" s="34" t="s">
        <v>228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5" t="s">
        <v>232</v>
      </c>
      <c r="B22" s="32"/>
      <c r="C22" s="33"/>
      <c r="D22" s="47" t="s">
        <v>230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5" t="s">
        <v>233</v>
      </c>
      <c r="B23" s="38" t="s">
        <v>51</v>
      </c>
      <c r="C23" s="39" t="s">
        <v>33</v>
      </c>
      <c r="D23" s="40" t="s">
        <v>228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24" ht="17" customHeight="1">
      <c r="A24" s="25" t="s">
        <v>234</v>
      </c>
      <c r="B24" s="38"/>
      <c r="C24" s="39"/>
      <c r="D24" s="46" t="s">
        <v>230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36">
        <f>IF(COUNT(E24:P24)=0,"",AVERAGE(E24:P24))</f>
        <v>0</v>
      </c>
      <c r="R24" s="45">
        <f>IF(COUNT(E24:P24)=0,"",MIN(E24:P24))</f>
        <v>0</v>
      </c>
      <c r="S24" s="45">
        <f>IF(COUNT(E24:P24)=0,"",MAX(E24:P24))</f>
        <v>0</v>
      </c>
    </row>
    <row r="25" spans="1:24" ht="17" customHeight="1">
      <c r="A25" s="25" t="s">
        <v>235</v>
      </c>
      <c r="B25" s="32" t="s">
        <v>41</v>
      </c>
      <c r="C25" s="33" t="s">
        <v>33</v>
      </c>
      <c r="D25" s="34" t="s">
        <v>228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5" t="s">
        <v>236</v>
      </c>
      <c r="B26" s="32"/>
      <c r="C26" s="33"/>
      <c r="D26" s="47" t="s">
        <v>230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5" t="s">
        <v>237</v>
      </c>
      <c r="B27" s="38" t="s">
        <v>39</v>
      </c>
      <c r="C27" s="39" t="s">
        <v>33</v>
      </c>
      <c r="D27" s="40" t="s">
        <v>228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24" ht="17" customHeight="1">
      <c r="A28" s="25" t="s">
        <v>238</v>
      </c>
      <c r="B28" s="38"/>
      <c r="C28" s="39"/>
      <c r="D28" s="46" t="s">
        <v>230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36">
        <f>IF(COUNT(E28:P28)=0,"",AVERAGE(E28:P28))</f>
        <v>0</v>
      </c>
      <c r="R28" s="45">
        <f>IF(COUNT(E28:P28)=0,"",MIN(E28:P28))</f>
        <v>0</v>
      </c>
      <c r="S28" s="45">
        <f>IF(COUNT(E28:P28)=0,"",MAX(E28:P28))</f>
        <v>0</v>
      </c>
    </row>
    <row r="29" spans="1:24" ht="17" customHeight="1">
      <c r="A29" s="25" t="s">
        <v>239</v>
      </c>
      <c r="B29" s="32" t="s">
        <v>58</v>
      </c>
      <c r="C29" s="33" t="s">
        <v>59</v>
      </c>
      <c r="D29" s="34" t="s">
        <v>228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5" t="s">
        <v>240</v>
      </c>
      <c r="B30" s="32"/>
      <c r="C30" s="33"/>
      <c r="D30" s="47" t="s">
        <v>230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5" t="s">
        <v>241</v>
      </c>
      <c r="B31" s="38" t="s">
        <v>62</v>
      </c>
      <c r="C31" s="39" t="s">
        <v>33</v>
      </c>
      <c r="D31" s="40" t="s">
        <v>228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</row>
    <row r="32" spans="1:24" ht="17" customHeight="1">
      <c r="A32" s="25" t="s">
        <v>242</v>
      </c>
      <c r="B32" s="38"/>
      <c r="C32" s="39"/>
      <c r="D32" s="46" t="s">
        <v>230</v>
      </c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2">
        <f>IF(COUNT(E32:P32)=0,"",AVERAGE(E32:P32))</f>
        <v>0</v>
      </c>
      <c r="R32" s="43">
        <f>IF(COUNT(E32:P32)=0,"",MIN(E32:P32))</f>
        <v>0</v>
      </c>
      <c r="S32" s="43">
        <f>IF(COUNT(E32:P32)=0,"",MAX(E32:P32))</f>
        <v>0</v>
      </c>
    </row>
    <row r="33" spans="2:19" ht="16" customHeight="1">
      <c r="B33" s="56" t="s">
        <v>243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3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/>
    <row r="7" spans="2:19" ht="30" customHeight="1">
      <c r="B7" s="31" t="s">
        <v>98</v>
      </c>
      <c r="C7" s="31" t="s">
        <v>99</v>
      </c>
      <c r="D7" s="31" t="s">
        <v>100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101</v>
      </c>
      <c r="O7" s="31"/>
      <c r="P7" s="31"/>
      <c r="Q7" s="31"/>
      <c r="R7" s="31"/>
      <c r="S7" s="31"/>
    </row>
    <row r="8" spans="2:19">
      <c r="B8" s="31"/>
      <c r="C8" s="31"/>
      <c r="D8" s="57" t="s">
        <v>102</v>
      </c>
      <c r="E8" s="57" t="s">
        <v>103</v>
      </c>
      <c r="F8" s="57" t="s">
        <v>104</v>
      </c>
      <c r="G8" s="57" t="s">
        <v>105</v>
      </c>
      <c r="H8" s="57" t="s">
        <v>106</v>
      </c>
      <c r="I8" s="57" t="s">
        <v>107</v>
      </c>
      <c r="J8" s="57" t="s">
        <v>108</v>
      </c>
      <c r="K8" s="57" t="s">
        <v>109</v>
      </c>
      <c r="L8" s="57" t="s">
        <v>110</v>
      </c>
      <c r="M8" s="57" t="s">
        <v>111</v>
      </c>
      <c r="N8" s="57" t="s">
        <v>104</v>
      </c>
      <c r="O8" s="57" t="s">
        <v>105</v>
      </c>
      <c r="P8" s="57" t="s">
        <v>106</v>
      </c>
      <c r="Q8" s="57" t="s">
        <v>107</v>
      </c>
      <c r="R8" s="57" t="s">
        <v>112</v>
      </c>
      <c r="S8" s="57" t="s">
        <v>113</v>
      </c>
    </row>
    <row r="9" spans="2:19" ht="17" customHeight="1">
      <c r="B9" s="58" t="s">
        <v>114</v>
      </c>
      <c r="C9" s="19"/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8" t="s">
        <v>115</v>
      </c>
      <c r="C10" s="19"/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8" t="s">
        <v>116</v>
      </c>
      <c r="C11" s="19"/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8" t="s">
        <v>117</v>
      </c>
      <c r="C12" s="19"/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8" t="s">
        <v>118</v>
      </c>
      <c r="C13" s="19"/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8" t="s">
        <v>119</v>
      </c>
      <c r="C14" s="19"/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8" t="s">
        <v>120</v>
      </c>
      <c r="C15" s="19"/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8"/>
      <c r="C16" s="19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8"/>
      <c r="C17" s="19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8"/>
      <c r="C18" s="19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8"/>
      <c r="C19" s="19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8"/>
      <c r="C20" s="19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8"/>
      <c r="C21" s="19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8"/>
      <c r="C22" s="19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8"/>
      <c r="C23" s="19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8"/>
      <c r="C24" s="19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8"/>
      <c r="C25" s="19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8"/>
      <c r="C26" s="19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8"/>
      <c r="C27" s="19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8"/>
      <c r="C28" s="19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8"/>
      <c r="C29" s="19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8"/>
      <c r="C30" s="19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8"/>
      <c r="C31" s="19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8"/>
      <c r="C32" s="19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8"/>
      <c r="C33" s="19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</sheetData>
  <sheetProtection sheet="1" objects="1" scenarios="1" formatColumns="0" formatRows="0"/>
  <mergeCells count="6">
    <mergeCell ref="E2:S2"/>
    <mergeCell ref="E3:S3"/>
    <mergeCell ref="B7:B8"/>
    <mergeCell ref="C7:C8"/>
    <mergeCell ref="D7:M7"/>
    <mergeCell ref="N7:S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1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1" t="s">
        <v>66</v>
      </c>
      <c r="T5" s="61"/>
      <c r="U5" s="61"/>
      <c r="V5" s="61"/>
      <c r="W5" s="61"/>
      <c r="X5" s="61"/>
      <c r="Y5" s="61"/>
      <c r="Z5" s="61"/>
      <c r="AA5" s="61"/>
      <c r="AB5" s="61"/>
    </row>
    <row r="6" spans="2:28" ht="20" customHeight="1">
      <c r="B6" s="62" t="s">
        <v>2</v>
      </c>
      <c r="C6" s="62"/>
      <c r="D6" s="19" t="s">
        <v>3</v>
      </c>
      <c r="E6" s="19"/>
      <c r="F6" s="19"/>
      <c r="G6" s="7" t="s">
        <v>4</v>
      </c>
      <c r="H6" s="7"/>
      <c r="I6" s="7"/>
      <c r="J6" s="7"/>
      <c r="S6" s="63" t="s">
        <v>67</v>
      </c>
      <c r="T6" s="63" t="s">
        <v>70</v>
      </c>
      <c r="U6" s="63" t="s">
        <v>75</v>
      </c>
      <c r="V6" s="63" t="s">
        <v>78</v>
      </c>
      <c r="W6" s="63" t="s">
        <v>81</v>
      </c>
      <c r="X6" s="63" t="s">
        <v>20</v>
      </c>
      <c r="Y6" s="63" t="s">
        <v>87</v>
      </c>
      <c r="Z6" s="63" t="s">
        <v>89</v>
      </c>
      <c r="AA6" s="63" t="s">
        <v>92</v>
      </c>
      <c r="AB6" s="63" t="s">
        <v>94</v>
      </c>
    </row>
    <row r="7" spans="2:28" ht="20" customHeight="1">
      <c r="B7" s="62" t="s">
        <v>5</v>
      </c>
      <c r="C7" s="62"/>
      <c r="D7" s="19" t="s">
        <v>6</v>
      </c>
      <c r="E7" s="19"/>
      <c r="F7" s="19"/>
      <c r="G7" s="7" t="s">
        <v>7</v>
      </c>
      <c r="H7" s="7"/>
      <c r="I7" s="7"/>
      <c r="J7" s="7"/>
      <c r="S7" s="64" t="s">
        <v>68</v>
      </c>
      <c r="T7" s="64" t="s">
        <v>71</v>
      </c>
      <c r="U7" s="64" t="s">
        <v>76</v>
      </c>
      <c r="V7" s="64" t="s">
        <v>79</v>
      </c>
      <c r="W7" s="64" t="s">
        <v>82</v>
      </c>
      <c r="X7" s="64" t="s">
        <v>34</v>
      </c>
      <c r="Y7" s="64" t="s">
        <v>3</v>
      </c>
      <c r="Z7" s="64" t="s">
        <v>90</v>
      </c>
      <c r="AA7" s="64" t="s">
        <v>36</v>
      </c>
      <c r="AB7" s="64" t="s">
        <v>95</v>
      </c>
    </row>
    <row r="8" spans="2:28" ht="20" customHeight="1">
      <c r="B8" s="62" t="s">
        <v>8</v>
      </c>
      <c r="C8" s="62"/>
      <c r="D8" s="65">
        <v>0.2916666666666667</v>
      </c>
      <c r="E8" s="65"/>
      <c r="F8" s="65"/>
      <c r="G8" s="7" t="s">
        <v>9</v>
      </c>
      <c r="H8" s="7"/>
      <c r="I8" s="7"/>
      <c r="J8" s="7"/>
      <c r="S8" s="64" t="s">
        <v>69</v>
      </c>
      <c r="T8" s="64" t="s">
        <v>72</v>
      </c>
      <c r="U8" s="64" t="s">
        <v>77</v>
      </c>
      <c r="V8" s="64" t="s">
        <v>80</v>
      </c>
      <c r="W8" s="64" t="s">
        <v>83</v>
      </c>
      <c r="X8" s="64" t="s">
        <v>85</v>
      </c>
      <c r="Y8" s="64" t="s">
        <v>88</v>
      </c>
      <c r="Z8" s="64" t="s">
        <v>91</v>
      </c>
      <c r="AA8" s="64" t="s">
        <v>93</v>
      </c>
      <c r="AB8" s="64" t="s">
        <v>13</v>
      </c>
    </row>
    <row r="9" spans="2:28" ht="20" customHeight="1">
      <c r="B9" s="62" t="s">
        <v>10</v>
      </c>
      <c r="C9" s="62"/>
      <c r="D9" s="19">
        <v>60</v>
      </c>
      <c r="E9" s="19"/>
      <c r="F9" s="19"/>
      <c r="G9" s="7" t="s">
        <v>11</v>
      </c>
      <c r="H9" s="7"/>
      <c r="I9" s="7"/>
      <c r="J9" s="7"/>
      <c r="T9" s="64" t="s">
        <v>73</v>
      </c>
      <c r="W9" s="64" t="s">
        <v>84</v>
      </c>
      <c r="X9" s="64" t="s">
        <v>86</v>
      </c>
      <c r="AB9" s="64" t="s">
        <v>96</v>
      </c>
    </row>
    <row r="10" spans="2:28" ht="20" customHeight="1">
      <c r="B10" s="62" t="s">
        <v>12</v>
      </c>
      <c r="C10" s="62"/>
      <c r="D10" s="19" t="s">
        <v>13</v>
      </c>
      <c r="E10" s="19"/>
      <c r="F10" s="19"/>
      <c r="G10" s="7" t="s">
        <v>14</v>
      </c>
      <c r="H10" s="7"/>
      <c r="I10" s="7"/>
      <c r="J10" s="7"/>
      <c r="T10" s="64" t="s">
        <v>74</v>
      </c>
    </row>
    <row r="16" spans="2:28" ht="22" customHeight="1">
      <c r="B16" s="15" t="s">
        <v>15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6" t="s">
        <v>16</v>
      </c>
      <c r="C17" s="66" t="s">
        <v>17</v>
      </c>
      <c r="D17" s="66" t="s">
        <v>18</v>
      </c>
      <c r="E17" s="66" t="s">
        <v>19</v>
      </c>
      <c r="F17" s="66" t="s">
        <v>20</v>
      </c>
      <c r="G17" s="66" t="s">
        <v>21</v>
      </c>
      <c r="H17" s="66" t="s">
        <v>22</v>
      </c>
      <c r="I17" s="66" t="s">
        <v>23</v>
      </c>
      <c r="J17" s="66" t="s">
        <v>24</v>
      </c>
      <c r="K17" s="66" t="s">
        <v>25</v>
      </c>
      <c r="L17" s="66" t="s">
        <v>26</v>
      </c>
      <c r="M17" s="66" t="s">
        <v>27</v>
      </c>
      <c r="N17" s="66" t="s">
        <v>28</v>
      </c>
      <c r="O17" s="66" t="s">
        <v>29</v>
      </c>
      <c r="P17" s="66" t="s">
        <v>30</v>
      </c>
    </row>
    <row r="18" spans="2:16">
      <c r="B18" s="67" t="s">
        <v>31</v>
      </c>
      <c r="C18" s="68" t="s">
        <v>32</v>
      </c>
      <c r="D18" s="19" t="s">
        <v>33</v>
      </c>
      <c r="E18" s="19">
        <v>2</v>
      </c>
      <c r="F18" s="19" t="s">
        <v>34</v>
      </c>
      <c r="G18" s="69" t="s">
        <v>35</v>
      </c>
      <c r="H18" s="70" t="s">
        <v>36</v>
      </c>
      <c r="I18" s="71" t="str">
        <f>IF(G18="","",G18)</f>
        <v>M650030010-0004-HHLQU</v>
      </c>
      <c r="J18" s="70" t="s">
        <v>36</v>
      </c>
      <c r="K18" s="19"/>
      <c r="L18" s="19"/>
      <c r="M18" s="19">
        <v>0</v>
      </c>
      <c r="N18" s="19">
        <v>50000</v>
      </c>
      <c r="O18" s="19">
        <v>1.29</v>
      </c>
      <c r="P18" s="19">
        <v>1.29</v>
      </c>
    </row>
    <row r="19" spans="2:16">
      <c r="B19" s="72" t="s">
        <v>31</v>
      </c>
      <c r="C19" s="73" t="s">
        <v>37</v>
      </c>
      <c r="D19" s="19" t="s">
        <v>33</v>
      </c>
      <c r="E19" s="19">
        <v>3</v>
      </c>
      <c r="F19" s="19" t="s">
        <v>34</v>
      </c>
      <c r="G19" s="69" t="s">
        <v>38</v>
      </c>
      <c r="H19" s="70" t="s">
        <v>36</v>
      </c>
      <c r="I19" s="71" t="str">
        <f>IF(G19="","",G19)</f>
        <v>M650030010-0008-HHLQU</v>
      </c>
      <c r="J19" s="70" t="s">
        <v>36</v>
      </c>
      <c r="K19" s="19"/>
      <c r="L19" s="19"/>
      <c r="M19" s="19">
        <v>0</v>
      </c>
      <c r="N19" s="19">
        <v>50000</v>
      </c>
      <c r="O19" s="19">
        <v>0.04</v>
      </c>
      <c r="P19" s="19">
        <v>0.04</v>
      </c>
    </row>
    <row r="20" spans="2:16">
      <c r="B20" s="67" t="s">
        <v>31</v>
      </c>
      <c r="C20" s="68" t="s">
        <v>39</v>
      </c>
      <c r="D20" s="19" t="s">
        <v>33</v>
      </c>
      <c r="E20" s="19">
        <v>2</v>
      </c>
      <c r="F20" s="19" t="s">
        <v>34</v>
      </c>
      <c r="G20" s="69" t="s">
        <v>40</v>
      </c>
      <c r="H20" s="70" t="s">
        <v>36</v>
      </c>
      <c r="I20" s="71" t="str">
        <f>IF(G20="","",G20)</f>
        <v>M650030010-0007-HHLQU</v>
      </c>
      <c r="J20" s="70" t="s">
        <v>36</v>
      </c>
      <c r="K20" s="19"/>
      <c r="L20" s="19"/>
      <c r="M20" s="19">
        <v>0</v>
      </c>
      <c r="N20" s="19">
        <v>50000</v>
      </c>
      <c r="O20" s="19">
        <v>0.05</v>
      </c>
      <c r="P20" s="19">
        <v>0.05</v>
      </c>
    </row>
    <row r="21" spans="2:16">
      <c r="B21" s="72" t="s">
        <v>31</v>
      </c>
      <c r="C21" s="73" t="s">
        <v>41</v>
      </c>
      <c r="D21" s="19" t="s">
        <v>33</v>
      </c>
      <c r="E21" s="19">
        <v>2</v>
      </c>
      <c r="F21" s="19" t="s">
        <v>34</v>
      </c>
      <c r="G21" s="69" t="s">
        <v>42</v>
      </c>
      <c r="H21" s="70" t="s">
        <v>36</v>
      </c>
      <c r="I21" s="71" t="str">
        <f>IF(G21="","",G21)</f>
        <v>M650030010-0006-HHLQU</v>
      </c>
      <c r="J21" s="70" t="s">
        <v>36</v>
      </c>
      <c r="K21" s="19"/>
      <c r="L21" s="19"/>
      <c r="M21" s="19">
        <v>0</v>
      </c>
      <c r="N21" s="19">
        <v>50000</v>
      </c>
      <c r="O21" s="19">
        <v>0.09</v>
      </c>
      <c r="P21" s="19">
        <v>0.09</v>
      </c>
    </row>
    <row r="22" spans="2:16">
      <c r="B22" s="67" t="s">
        <v>31</v>
      </c>
      <c r="C22" s="68" t="s">
        <v>43</v>
      </c>
      <c r="D22" s="19" t="s">
        <v>33</v>
      </c>
      <c r="E22" s="19">
        <v>2</v>
      </c>
      <c r="F22" s="19" t="s">
        <v>34</v>
      </c>
      <c r="G22" s="69" t="s">
        <v>44</v>
      </c>
      <c r="H22" s="70" t="s">
        <v>36</v>
      </c>
      <c r="I22" s="71" t="str">
        <f>IF(G22="","",G22)</f>
        <v>M650030010-0013-HHLQU</v>
      </c>
      <c r="J22" s="70" t="s">
        <v>36</v>
      </c>
      <c r="K22" s="19"/>
      <c r="L22" s="19"/>
      <c r="M22" s="19">
        <v>0</v>
      </c>
      <c r="N22" s="19">
        <v>50000</v>
      </c>
      <c r="O22" s="19">
        <v>3.66</v>
      </c>
      <c r="P22" s="19">
        <v>3.66</v>
      </c>
    </row>
    <row r="23" spans="2:16">
      <c r="B23" s="72" t="s">
        <v>45</v>
      </c>
      <c r="C23" s="73" t="s">
        <v>46</v>
      </c>
      <c r="D23" s="19" t="s">
        <v>33</v>
      </c>
      <c r="E23" s="19">
        <v>2</v>
      </c>
      <c r="F23" s="19" t="s">
        <v>34</v>
      </c>
      <c r="G23" s="69" t="s">
        <v>47</v>
      </c>
      <c r="H23" s="70" t="s">
        <v>36</v>
      </c>
      <c r="I23" s="69" t="s">
        <v>48</v>
      </c>
      <c r="J23" s="70" t="s">
        <v>36</v>
      </c>
      <c r="K23" s="19"/>
      <c r="L23" s="19"/>
      <c r="M23" s="19">
        <v>0</v>
      </c>
      <c r="N23" s="19">
        <v>50000</v>
      </c>
      <c r="O23" s="19">
        <v>67.3</v>
      </c>
      <c r="P23" s="19">
        <v>65.59999999999999</v>
      </c>
    </row>
    <row r="24" spans="2:16">
      <c r="B24" s="67" t="s">
        <v>45</v>
      </c>
      <c r="C24" s="68" t="s">
        <v>32</v>
      </c>
      <c r="D24" s="19" t="s">
        <v>33</v>
      </c>
      <c r="E24" s="19">
        <v>2</v>
      </c>
      <c r="F24" s="19" t="s">
        <v>34</v>
      </c>
      <c r="G24" s="69" t="s">
        <v>49</v>
      </c>
      <c r="H24" s="70" t="s">
        <v>36</v>
      </c>
      <c r="I24" s="69" t="s">
        <v>50</v>
      </c>
      <c r="J24" s="70" t="s">
        <v>36</v>
      </c>
      <c r="K24" s="19"/>
      <c r="L24" s="19"/>
      <c r="M24" s="19">
        <v>0</v>
      </c>
      <c r="N24" s="19">
        <v>50000</v>
      </c>
      <c r="O24" s="19">
        <v>1.82</v>
      </c>
      <c r="P24" s="19">
        <v>2.9</v>
      </c>
    </row>
    <row r="25" spans="2:16">
      <c r="B25" s="72" t="s">
        <v>45</v>
      </c>
      <c r="C25" s="73" t="s">
        <v>51</v>
      </c>
      <c r="D25" s="19" t="s">
        <v>33</v>
      </c>
      <c r="E25" s="19">
        <v>2</v>
      </c>
      <c r="F25" s="19" t="s">
        <v>34</v>
      </c>
      <c r="G25" s="69" t="s">
        <v>52</v>
      </c>
      <c r="H25" s="70" t="s">
        <v>36</v>
      </c>
      <c r="I25" s="69" t="s">
        <v>53</v>
      </c>
      <c r="J25" s="70" t="s">
        <v>36</v>
      </c>
      <c r="K25" s="19"/>
      <c r="L25" s="19"/>
      <c r="M25" s="19">
        <v>0</v>
      </c>
      <c r="N25" s="19">
        <v>50000</v>
      </c>
      <c r="O25" s="19">
        <v>0.42</v>
      </c>
      <c r="P25" s="19">
        <v>0.44</v>
      </c>
    </row>
    <row r="26" spans="2:16">
      <c r="B26" s="67" t="s">
        <v>45</v>
      </c>
      <c r="C26" s="68" t="s">
        <v>41</v>
      </c>
      <c r="D26" s="19" t="s">
        <v>33</v>
      </c>
      <c r="E26" s="19">
        <v>2</v>
      </c>
      <c r="F26" s="19" t="s">
        <v>34</v>
      </c>
      <c r="G26" s="69" t="s">
        <v>54</v>
      </c>
      <c r="H26" s="70" t="s">
        <v>36</v>
      </c>
      <c r="I26" s="69" t="s">
        <v>55</v>
      </c>
      <c r="J26" s="70" t="s">
        <v>36</v>
      </c>
      <c r="K26" s="19"/>
      <c r="L26" s="19"/>
      <c r="M26" s="19">
        <v>0</v>
      </c>
      <c r="N26" s="19">
        <v>50000</v>
      </c>
      <c r="O26" s="19">
        <v>0.82</v>
      </c>
      <c r="P26" s="19">
        <v>1.4</v>
      </c>
    </row>
    <row r="27" spans="2:16">
      <c r="B27" s="72" t="s">
        <v>45</v>
      </c>
      <c r="C27" s="73" t="s">
        <v>39</v>
      </c>
      <c r="D27" s="19" t="s">
        <v>33</v>
      </c>
      <c r="E27" s="19">
        <v>2</v>
      </c>
      <c r="F27" s="19" t="s">
        <v>34</v>
      </c>
      <c r="G27" s="69" t="s">
        <v>56</v>
      </c>
      <c r="H27" s="70" t="s">
        <v>36</v>
      </c>
      <c r="I27" s="69" t="s">
        <v>57</v>
      </c>
      <c r="J27" s="70" t="s">
        <v>36</v>
      </c>
      <c r="K27" s="19"/>
      <c r="L27" s="19"/>
      <c r="M27" s="19">
        <v>0</v>
      </c>
      <c r="N27" s="19">
        <v>50000</v>
      </c>
      <c r="O27" s="19">
        <v>0.1</v>
      </c>
      <c r="P27" s="19">
        <v>0.11</v>
      </c>
    </row>
    <row r="28" spans="2:16">
      <c r="B28" s="67" t="s">
        <v>45</v>
      </c>
      <c r="C28" s="68" t="s">
        <v>58</v>
      </c>
      <c r="D28" s="19" t="s">
        <v>59</v>
      </c>
      <c r="E28" s="19">
        <v>2</v>
      </c>
      <c r="F28" s="19" t="s">
        <v>34</v>
      </c>
      <c r="G28" s="69" t="s">
        <v>60</v>
      </c>
      <c r="H28" s="70" t="s">
        <v>36</v>
      </c>
      <c r="I28" s="69" t="s">
        <v>61</v>
      </c>
      <c r="J28" s="70" t="s">
        <v>36</v>
      </c>
      <c r="K28" s="19"/>
      <c r="L28" s="19"/>
      <c r="M28" s="19">
        <v>0</v>
      </c>
      <c r="N28" s="19">
        <v>50000</v>
      </c>
      <c r="O28" s="19">
        <v>0.45</v>
      </c>
      <c r="P28" s="19">
        <v>0.48</v>
      </c>
    </row>
    <row r="29" spans="2:16">
      <c r="B29" s="72" t="s">
        <v>45</v>
      </c>
      <c r="C29" s="73" t="s">
        <v>62</v>
      </c>
      <c r="D29" s="19" t="s">
        <v>33</v>
      </c>
      <c r="E29" s="19">
        <v>3</v>
      </c>
      <c r="F29" s="19" t="s">
        <v>34</v>
      </c>
      <c r="G29" s="69" t="s">
        <v>63</v>
      </c>
      <c r="H29" s="70" t="s">
        <v>36</v>
      </c>
      <c r="I29" s="69" t="s">
        <v>64</v>
      </c>
      <c r="J29" s="70" t="s">
        <v>36</v>
      </c>
      <c r="K29" s="19"/>
      <c r="L29" s="19"/>
      <c r="M29" s="19">
        <v>0</v>
      </c>
      <c r="N29" s="19">
        <v>50000</v>
      </c>
      <c r="O29" s="19">
        <v>0.07000000000000001</v>
      </c>
      <c r="P29" s="19">
        <v>0.07099999999999999</v>
      </c>
    </row>
    <row r="31" spans="2:16">
      <c r="C31" s="74" t="s">
        <v>65</v>
      </c>
    </row>
  </sheetData>
  <mergeCells count="20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5"/>
  <sheetViews>
    <sheetView showGridLines="0" workbookViewId="0"/>
  </sheetViews>
  <sheetFormatPr defaultRowHeight="15"/>
  <cols>
    <col min="1" max="1" width="18.7109375" style="75" customWidth="1"/>
    <col min="2" max="25" width="14.7109375" customWidth="1"/>
  </cols>
  <sheetData>
    <row r="1" spans="1:25">
      <c r="A1" s="76" t="s">
        <v>121</v>
      </c>
    </row>
    <row r="3" spans="1:25">
      <c r="A3" s="77" t="s">
        <v>122</v>
      </c>
      <c r="B3" s="78"/>
      <c r="D3" s="77" t="s">
        <v>124</v>
      </c>
    </row>
    <row r="4" spans="1:25">
      <c r="A4" s="77" t="s">
        <v>123</v>
      </c>
      <c r="B4" s="78"/>
      <c r="D4" s="77" t="s">
        <v>125</v>
      </c>
    </row>
    <row r="6" spans="1:25">
      <c r="A6" s="79" t="s">
        <v>126</v>
      </c>
    </row>
    <row r="7" spans="1:25">
      <c r="A7" s="80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1" t="s">
        <v>127</v>
      </c>
      <c r="B8" s="82" t="s">
        <v>128</v>
      </c>
      <c r="C8" s="82" t="s">
        <v>129</v>
      </c>
      <c r="D8" s="82" t="s">
        <v>130</v>
      </c>
      <c r="E8" s="82" t="s">
        <v>131</v>
      </c>
      <c r="F8" s="82" t="s">
        <v>132</v>
      </c>
      <c r="G8" s="82" t="s">
        <v>133</v>
      </c>
      <c r="H8" s="82" t="s">
        <v>134</v>
      </c>
      <c r="I8" s="82" t="s">
        <v>135</v>
      </c>
      <c r="J8" s="82" t="s">
        <v>136</v>
      </c>
      <c r="K8" s="82" t="s">
        <v>137</v>
      </c>
      <c r="L8" s="82" t="s">
        <v>138</v>
      </c>
      <c r="M8" s="82" t="s">
        <v>139</v>
      </c>
      <c r="N8" s="82" t="s">
        <v>140</v>
      </c>
      <c r="O8" s="82" t="s">
        <v>141</v>
      </c>
      <c r="P8" s="82" t="s">
        <v>142</v>
      </c>
      <c r="Q8" s="82" t="s">
        <v>143</v>
      </c>
      <c r="R8" s="82" t="s">
        <v>144</v>
      </c>
      <c r="S8" s="82" t="s">
        <v>145</v>
      </c>
      <c r="T8" s="82" t="s">
        <v>146</v>
      </c>
      <c r="U8" s="82" t="s">
        <v>147</v>
      </c>
      <c r="V8" s="82" t="s">
        <v>148</v>
      </c>
      <c r="W8" s="82" t="s">
        <v>149</v>
      </c>
      <c r="X8" s="82" t="s">
        <v>150</v>
      </c>
      <c r="Y8" s="82" t="s">
        <v>151</v>
      </c>
    </row>
    <row r="9" spans="1:25">
      <c r="A9" s="83">
        <f t="array" ref="A9:Y15">_xll.AspenTech.PME.ProcessData.Functions.ShowCalculationValues(ADDRESS(ROW(Dados_MES!A7),COLUMN(Dados_MES!A7),1,,"Dados_MES"),Dados_MES!A7, 0)</f>
        <v>0</v>
      </c>
      <c r="B9" s="83">
        <v>0</v>
      </c>
      <c r="C9" s="83">
        <v>0</v>
      </c>
      <c r="D9" s="83">
        <v>0</v>
      </c>
      <c r="E9" s="83">
        <v>0</v>
      </c>
      <c r="F9" s="83">
        <v>0</v>
      </c>
      <c r="G9" s="83">
        <v>0</v>
      </c>
      <c r="H9" s="83">
        <v>0</v>
      </c>
      <c r="I9" s="83">
        <v>0</v>
      </c>
      <c r="J9" s="83">
        <v>0</v>
      </c>
      <c r="K9" s="83">
        <v>0</v>
      </c>
      <c r="L9" s="83">
        <v>0</v>
      </c>
      <c r="M9" s="83">
        <v>0</v>
      </c>
      <c r="N9" s="83">
        <v>0</v>
      </c>
      <c r="O9" s="83">
        <v>0</v>
      </c>
      <c r="P9" s="83">
        <v>0</v>
      </c>
      <c r="Q9" s="83">
        <v>0</v>
      </c>
      <c r="R9" s="83">
        <v>0</v>
      </c>
      <c r="S9" s="83">
        <v>0</v>
      </c>
      <c r="T9" s="83">
        <v>0</v>
      </c>
      <c r="U9" s="83">
        <v>0</v>
      </c>
      <c r="V9" s="83">
        <v>0</v>
      </c>
      <c r="W9" s="83">
        <v>0</v>
      </c>
      <c r="X9" s="83">
        <v>0</v>
      </c>
      <c r="Y9" s="83">
        <v>0</v>
      </c>
    </row>
    <row r="10" spans="1:25">
      <c r="A10" s="83">
        <v>0</v>
      </c>
      <c r="B10" s="83">
        <v>0</v>
      </c>
      <c r="C10" s="83">
        <v>0</v>
      </c>
      <c r="D10" s="83">
        <v>0</v>
      </c>
      <c r="E10" s="83"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3">
        <v>0</v>
      </c>
    </row>
    <row r="11" spans="1:25">
      <c r="A11" s="83">
        <v>0</v>
      </c>
      <c r="B11" s="83">
        <v>0</v>
      </c>
      <c r="C11" s="83">
        <v>0</v>
      </c>
      <c r="D11" s="83">
        <v>0</v>
      </c>
      <c r="E11" s="83">
        <v>0</v>
      </c>
      <c r="F11" s="83">
        <v>0</v>
      </c>
      <c r="G11" s="83">
        <v>0</v>
      </c>
      <c r="H11" s="83">
        <v>0</v>
      </c>
      <c r="I11" s="83">
        <v>0</v>
      </c>
      <c r="J11" s="83">
        <v>0</v>
      </c>
      <c r="K11" s="83">
        <v>0</v>
      </c>
      <c r="L11" s="83">
        <v>0</v>
      </c>
      <c r="M11" s="83">
        <v>0</v>
      </c>
      <c r="N11" s="83">
        <v>0</v>
      </c>
      <c r="O11" s="83">
        <v>0</v>
      </c>
      <c r="P11" s="83">
        <v>0</v>
      </c>
      <c r="Q11" s="83">
        <v>0</v>
      </c>
      <c r="R11" s="83">
        <v>0</v>
      </c>
      <c r="S11" s="83">
        <v>0</v>
      </c>
      <c r="T11" s="83">
        <v>0</v>
      </c>
      <c r="U11" s="83">
        <v>0</v>
      </c>
      <c r="V11" s="83">
        <v>0</v>
      </c>
      <c r="W11" s="83">
        <v>0</v>
      </c>
      <c r="X11" s="83">
        <v>0</v>
      </c>
      <c r="Y11" s="83">
        <v>0</v>
      </c>
    </row>
    <row r="12" spans="1:25">
      <c r="A12" s="83">
        <v>0</v>
      </c>
      <c r="B12" s="83">
        <v>0</v>
      </c>
      <c r="C12" s="83">
        <v>0</v>
      </c>
      <c r="D12" s="83">
        <v>0</v>
      </c>
      <c r="E12" s="83">
        <v>0</v>
      </c>
      <c r="F12" s="83">
        <v>0</v>
      </c>
      <c r="G12" s="83">
        <v>0</v>
      </c>
      <c r="H12" s="83">
        <v>0</v>
      </c>
      <c r="I12" s="83">
        <v>0</v>
      </c>
      <c r="J12" s="83">
        <v>0</v>
      </c>
      <c r="K12" s="83">
        <v>0</v>
      </c>
      <c r="L12" s="83">
        <v>0</v>
      </c>
      <c r="M12" s="83">
        <v>0</v>
      </c>
      <c r="N12" s="83">
        <v>0</v>
      </c>
      <c r="O12" s="83">
        <v>0</v>
      </c>
      <c r="P12" s="83">
        <v>0</v>
      </c>
      <c r="Q12" s="83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3">
        <v>0</v>
      </c>
      <c r="X12" s="83">
        <v>0</v>
      </c>
      <c r="Y12" s="83">
        <v>0</v>
      </c>
    </row>
    <row r="13" spans="1:25">
      <c r="A13" s="83">
        <v>0</v>
      </c>
      <c r="B13" s="83">
        <v>0</v>
      </c>
      <c r="C13" s="83">
        <v>0</v>
      </c>
      <c r="D13" s="83">
        <v>0</v>
      </c>
      <c r="E13" s="83">
        <v>0</v>
      </c>
      <c r="F13" s="83">
        <v>0</v>
      </c>
      <c r="G13" s="83">
        <v>0</v>
      </c>
      <c r="H13" s="83">
        <v>0</v>
      </c>
      <c r="I13" s="83">
        <v>0</v>
      </c>
      <c r="J13" s="83">
        <v>0</v>
      </c>
      <c r="K13" s="83">
        <v>0</v>
      </c>
      <c r="L13" s="83">
        <v>0</v>
      </c>
      <c r="M13" s="83">
        <v>0</v>
      </c>
      <c r="N13" s="83">
        <v>0</v>
      </c>
      <c r="O13" s="83">
        <v>0</v>
      </c>
      <c r="P13" s="83">
        <v>0</v>
      </c>
      <c r="Q13" s="83">
        <v>0</v>
      </c>
      <c r="R13" s="83">
        <v>0</v>
      </c>
      <c r="S13" s="83">
        <v>0</v>
      </c>
      <c r="T13" s="83">
        <v>0</v>
      </c>
      <c r="U13" s="83">
        <v>0</v>
      </c>
      <c r="V13" s="83">
        <v>0</v>
      </c>
      <c r="W13" s="83">
        <v>0</v>
      </c>
      <c r="X13" s="83">
        <v>0</v>
      </c>
      <c r="Y13" s="83">
        <v>0</v>
      </c>
    </row>
    <row r="14" spans="1:25">
      <c r="A14" s="83">
        <v>0</v>
      </c>
      <c r="B14" s="83">
        <v>0</v>
      </c>
      <c r="C14" s="83">
        <v>0</v>
      </c>
      <c r="D14" s="83">
        <v>0</v>
      </c>
      <c r="E14" s="83">
        <v>0</v>
      </c>
      <c r="F14" s="83">
        <v>0</v>
      </c>
      <c r="G14" s="83">
        <v>0</v>
      </c>
      <c r="H14" s="83">
        <v>0</v>
      </c>
      <c r="I14" s="83">
        <v>0</v>
      </c>
      <c r="J14" s="83">
        <v>0</v>
      </c>
      <c r="K14" s="83">
        <v>0</v>
      </c>
      <c r="L14" s="83">
        <v>0</v>
      </c>
      <c r="M14" s="83">
        <v>0</v>
      </c>
      <c r="N14" s="83">
        <v>0</v>
      </c>
      <c r="O14" s="83">
        <v>0</v>
      </c>
      <c r="P14" s="83">
        <v>0</v>
      </c>
      <c r="Q14" s="83">
        <v>0</v>
      </c>
      <c r="R14" s="83">
        <v>0</v>
      </c>
      <c r="S14" s="83">
        <v>0</v>
      </c>
      <c r="T14" s="83">
        <v>0</v>
      </c>
      <c r="U14" s="83">
        <v>0</v>
      </c>
      <c r="V14" s="83">
        <v>0</v>
      </c>
      <c r="W14" s="83">
        <v>0</v>
      </c>
      <c r="X14" s="83">
        <v>0</v>
      </c>
      <c r="Y14" s="83">
        <v>0</v>
      </c>
    </row>
    <row r="15" spans="1:25">
      <c r="A15" s="83">
        <v>0</v>
      </c>
      <c r="B15" s="83">
        <v>0</v>
      </c>
      <c r="C15" s="83">
        <v>0</v>
      </c>
      <c r="D15" s="83">
        <v>0</v>
      </c>
      <c r="E15" s="83">
        <v>0</v>
      </c>
      <c r="F15" s="83">
        <v>0</v>
      </c>
      <c r="G15" s="83">
        <v>0</v>
      </c>
      <c r="H15" s="83">
        <v>0</v>
      </c>
      <c r="I15" s="83">
        <v>0</v>
      </c>
      <c r="J15" s="83">
        <v>0</v>
      </c>
      <c r="K15" s="83">
        <v>0</v>
      </c>
      <c r="L15" s="83">
        <v>0</v>
      </c>
      <c r="M15" s="83">
        <v>0</v>
      </c>
      <c r="N15" s="83">
        <v>0</v>
      </c>
      <c r="O15" s="83">
        <v>0</v>
      </c>
      <c r="P15" s="83">
        <v>0</v>
      </c>
      <c r="Q15" s="83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3">
        <v>0</v>
      </c>
      <c r="X15" s="83">
        <v>0</v>
      </c>
      <c r="Y15" s="8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254</v>
      </c>
      <c r="L1" t="s">
        <v>255</v>
      </c>
      <c r="M1" t="s">
        <v>256</v>
      </c>
      <c r="N1" t="s">
        <v>257</v>
      </c>
      <c r="O1" t="s">
        <v>258</v>
      </c>
      <c r="P1" t="s">
        <v>259</v>
      </c>
      <c r="Q1" t="s">
        <v>260</v>
      </c>
    </row>
    <row r="2" spans="11:17">
      <c r="K2" t="s">
        <v>261</v>
      </c>
      <c r="L2" t="s">
        <v>262</v>
      </c>
      <c r="M2" t="s">
        <v>263</v>
      </c>
      <c r="N2" t="s">
        <v>264</v>
      </c>
      <c r="O2" t="s">
        <v>265</v>
      </c>
      <c r="P2" t="s">
        <v>266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dBatch</vt:lpstr>
      <vt:lpstr>dBatchAl2O3</vt:lpstr>
      <vt:lpstr>dBatchFe</vt:lpstr>
      <vt:lpstr>dBatchP</vt:lpstr>
      <vt:lpstr>dBatchPPC</vt:lpstr>
      <vt:lpstr>dBatchSiO2</vt:lpstr>
      <vt:lpstr>dCadinhos</vt:lpstr>
      <vt:lpstr>dCompressor</vt:lpstr>
      <vt:lpstr>dComUS3</vt:lpstr>
      <vt:lpstr>dComUS4</vt:lpstr>
      <vt:lpstr>dCoque04</vt:lpstr>
      <vt:lpstr>dDragas</vt:lpstr>
      <vt:lpstr>dEquip</vt:lpstr>
      <vt:lpstr>dFiltragem</vt:lpstr>
      <vt:lpstr>dH2Carvao</vt:lpstr>
      <vt:lpstr>dH2Coque</vt:lpstr>
      <vt:lpstr>dHoras</vt:lpstr>
      <vt:lpstr>dLetra</vt:lpstr>
      <vt:lpstr>dMineroduto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nBatch</vt:lpstr>
      <vt:lpstr>nBatchAl2O3</vt:lpstr>
      <vt:lpstr>nBatchFe</vt:lpstr>
      <vt:lpstr>nBatchP</vt:lpstr>
      <vt:lpstr>nBatchPPC</vt:lpstr>
      <vt:lpstr>nBatchSiO2</vt:lpstr>
      <vt:lpstr>nCadinhos</vt:lpstr>
      <vt:lpstr>nCompressor</vt:lpstr>
      <vt:lpstr>nComUS3</vt:lpstr>
      <vt:lpstr>nComUS4</vt:lpstr>
      <vt:lpstr>nCoque04</vt:lpstr>
      <vt:lpstr>nDragas</vt:lpstr>
      <vt:lpstr>nEquip</vt:lpstr>
      <vt:lpstr>nFiltragem</vt:lpstr>
      <vt:lpstr>nH2Carvao</vt:lpstr>
      <vt:lpstr>nH2Coque</vt:lpstr>
      <vt:lpstr>nHoras</vt:lpstr>
      <vt:lpstr>nLetra</vt:lpstr>
      <vt:lpstr>nMineroduto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2026-10-02T10:46:45Z</dcterms:created>
  <dcterms:modified xsi:type="dcterms:W3CDTF">2026-10-02T10:46:45Z</dcterms:modified>
</cp:coreProperties>
</file>