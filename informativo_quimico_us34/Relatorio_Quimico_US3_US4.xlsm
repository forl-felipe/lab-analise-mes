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Resumo Dia" sheetId="2" r:id="rId2"/>
    <sheet name="Resumo Noite" sheetId="3" r:id="rId3"/>
    <sheet name="Resultados gerais" sheetId="4" r:id="rId4"/>
    <sheet name="Configurações" sheetId="5" state="hidden" r:id="rId5"/>
    <sheet name="Dados_MES" sheetId="6" state="hidden" r:id="rId6"/>
    <sheet name="_Mapa" sheetId="7" state="veryHidden" r:id="rId7"/>
  </sheets>
  <definedNames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dAr">'Preenchimento'!$E$52</definedName>
    <definedName name="dArea">'Resumo Dia'!$B$2:$M$87</definedName>
    <definedName name="dAReal">'Preenchimento'!$C$40:$C$47</definedName>
    <definedName name="dArStatus">'Preenchimento'!$H$52</definedName>
    <definedName name="dAtualizado">'Resumo Dia'!$B$51</definedName>
    <definedName name="dAus">'Preenchimento'!$E$56</definedName>
    <definedName name="dAusQuem">'Preenchimento'!$H$56</definedName>
    <definedName name="dCadinhos">'Preenchimento'!$E$62</definedName>
    <definedName name="dCompressor">'Preenchimento'!$E$53</definedName>
    <definedName name="dCoque04">'Preenchimento'!$E$67</definedName>
    <definedName name="dEquip">'Preenchimento'!$C$34:$C$37</definedName>
    <definedName name="dH2Carvao">'Preenchimento'!$E$66</definedName>
    <definedName name="dH2Coque">'Preenchimento'!$I$66</definedName>
    <definedName name="dHE">'Preenchimento'!$E$58</definedName>
    <definedName name="dHEQuem">'Preenchimento'!$H$58</definedName>
    <definedName name="dHoras">'Resumo Dia'!$E$52:$J$52</definedName>
    <definedName name="dLetra">'Preenchimento'!$D$11</definedName>
    <definedName name="dNitrogenio">'Preenchimento'!$H$53</definedName>
    <definedName name="dObs">'Preenchimento'!$E$68</definedName>
    <definedName name="dPadroes">'Preenchimento'!$E$51</definedName>
    <definedName name="dPadroesQuais">'Preenchimento'!$H$51</definedName>
    <definedName name="dProg">'Preenchimento'!$E$50</definedName>
    <definedName name="dReal">'Preenchimento'!$C$14:$C$25</definedName>
    <definedName name="dRecebe">'Preenchimento'!$E$59</definedName>
    <definedName name="dReforma">'Preenchimento'!$E$63</definedName>
    <definedName name="dSol">'Preenchimento'!$C$28:$C$31</definedName>
    <definedName name="dTecnico">'Preenchimento'!$G$11</definedName>
    <definedName name="dTroca">'Preenchimento'!$E$57</definedName>
    <definedName name="dTrocaQuem">'Preenchimento'!$H$57</definedName>
    <definedName name="gArea">'Resultados gerais'!$B$2:$S$44</definedName>
    <definedName name="gAtualizado">'Resultados gerais'!$B$8</definedName>
    <definedName name="gFim">'Resultados gerais'!$I$6</definedName>
    <definedName name="gHoras">'Resultados gerais'!$E$9:$P$9</definedName>
    <definedName name="gIni">'Resultados gerais'!$E$6</definedName>
    <definedName name="lstAgreg">'Configurações'!$X$7:$X$9</definedName>
    <definedName name="lstAr">'Configurações'!$U$7:$U$8</definedName>
    <definedName name="lstCond">'Configurações'!$W$7:$W$9</definedName>
    <definedName name="lstFonte">'Configurações'!$Y$7:$Y$8</definedName>
    <definedName name="lstFormatoData">'Configurações'!$AB$7:$AB$9</definedName>
    <definedName name="lstLigado">'Configurações'!$V$7:$V$8</definedName>
    <definedName name="lstParam">'Configurações'!$C$18:$C$38</definedName>
    <definedName name="lstSN">'Configurações'!$Z$7:$Z$8</definedName>
    <definedName name="lstTipo">'Configurações'!$AA$7:$AA$8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nAr">'Preenchimento'!$E$114</definedName>
    <definedName name="nArea">'Resumo Noite'!$B$2:$M$87</definedName>
    <definedName name="nAReal">'Preenchimento'!$C$102:$C$109</definedName>
    <definedName name="nArStatus">'Preenchimento'!$H$114</definedName>
    <definedName name="nAtualizado">'Resumo Noite'!$B$51</definedName>
    <definedName name="nAus">'Preenchimento'!$E$118</definedName>
    <definedName name="nAusQuem">'Preenchimento'!$H$118</definedName>
    <definedName name="nCadinhos">'Preenchimento'!$E$124</definedName>
    <definedName name="nCompressor">'Preenchimento'!$E$115</definedName>
    <definedName name="nCoque04">'Preenchimento'!$E$129</definedName>
    <definedName name="nEquip">'Preenchimento'!$C$96:$C$99</definedName>
    <definedName name="nH2Carvao">'Preenchimento'!$E$128</definedName>
    <definedName name="nH2Coque">'Preenchimento'!$I$128</definedName>
    <definedName name="nHE">'Preenchimento'!$E$120</definedName>
    <definedName name="nHEQuem">'Preenchimento'!$H$120</definedName>
    <definedName name="nHoras">'Resumo Noite'!$E$52:$J$52</definedName>
    <definedName name="nLetra">'Preenchimento'!$D$73</definedName>
    <definedName name="nNitrogenio">'Preenchimento'!$H$115</definedName>
    <definedName name="nObs">'Preenchimento'!$E$130</definedName>
    <definedName name="nPadroes">'Preenchimento'!$E$113</definedName>
    <definedName name="nPadroesQuais">'Preenchimento'!$H$113</definedName>
    <definedName name="nProg">'Preenchimento'!$E$112</definedName>
    <definedName name="nReal">'Preenchimento'!$C$76:$C$87</definedName>
    <definedName name="nRecebe">'Preenchimento'!$E$121</definedName>
    <definedName name="nReforma">'Preenchimento'!$E$125</definedName>
    <definedName name="nSol">'Preenchimento'!$C$90:$C$93</definedName>
    <definedName name="nTecnico">'Preenchimento'!$G$73</definedName>
    <definedName name="nTroca">'Preenchimento'!$E$119</definedName>
    <definedName name="nTrocaQuem">'Preenchimento'!$H$119</definedName>
    <definedName name="pData">'Preenchimento'!$E$6</definedName>
    <definedName name="_xlnm.Print_Area" localSheetId="4">Configurações!$B$2:$P$40</definedName>
    <definedName name="_xlnm.Print_Area" localSheetId="0">Preenchimento!$B$2:$K$132</definedName>
    <definedName name="_xlnm.Print_Area" localSheetId="3">'Resultados gerais'!$B$2:$S$44</definedName>
    <definedName name="_xlnm.Print_Area" localSheetId="1">'Resumo Dia'!$B$2:$M$87</definedName>
    <definedName name="_xlnm.Print_Area" localSheetId="2">'Resumo Noite'!$B$2:$M$87</definedName>
  </definedNames>
  <calcPr calcId="124519" fullCalcOnLoad="1"/>
</workbook>
</file>

<file path=xl/sharedStrings.xml><?xml version="1.0" encoding="utf-8"?>
<sst xmlns="http://schemas.openxmlformats.org/spreadsheetml/2006/main" count="812" uniqueCount="255">
  <si>
    <t>Configurações</t>
  </si>
  <si>
    <t>Parâmetros gerais, tags do MES e limites de especificação</t>
  </si>
  <si>
    <t>Parâmetros gerais</t>
  </si>
  <si>
    <t>Fonte dos dados</t>
  </si>
  <si>
    <t>MES</t>
  </si>
  <si>
    <t>MES = busca no Aspen/IP.21  ·  SIMULAÇÃO = dados fictícios (treinamento e teste)</t>
  </si>
  <si>
    <t>Servidor do MES</t>
  </si>
  <si>
    <t>UBU</t>
  </si>
  <si>
    <t>Fonte de dados do suplemento Aspen</t>
  </si>
  <si>
    <t>Início do turno Dia</t>
  </si>
  <si>
    <t>Turno Noite começa 12 h depois (Dia 07h-19h · Noite 19h-07h)</t>
  </si>
  <si>
    <t>Espera máxima pelo MES (s)</t>
  </si>
  <si>
    <t>Tempo de espera pela resposta das fórmulas do Aspen</t>
  </si>
  <si>
    <t>Formato da data para o MES</t>
  </si>
  <si>
    <t>Texto dd/mm/aaaa</t>
  </si>
  <si>
    <t>Texto dd/mm/aaaa (padrão, validado no MES) · Data do Excel · Texto mm/dd/aaaa</t>
  </si>
  <si>
    <t>Análise SEM TAG = fica fora da consulta ao MES e oculta no relatório. Preencha a tag (ex.: M710050020-00xx-HHLQU) quando confirmada no MES. Pellet Feed: amostra única, a tag US4 repete a US3. LIE/LSE = especificação (vazio = sem avaliação).</t>
  </si>
  <si>
    <t>Tags do MES e limites - Análises químicas US3 e US4</t>
  </si>
  <si>
    <t>Amostra</t>
  </si>
  <si>
    <t>Análise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</si>
  <si>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</si>
  <si>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</si>
  <si>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</si>
  <si>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</si>
  <si>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</si>
  <si>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</si>
  <si>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</si>
  <si>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</si>
  <si>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</si>
  <si>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</si>
  <si>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</si>
  <si>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</si>
  <si>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</si>
  <si>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Pellet Feed - Mineroduto 03</t>
  </si>
  <si>
    <t>FeT</t>
  </si>
  <si>
    <t>%</t>
  </si>
  <si>
    <t>Média</t>
  </si>
  <si>
    <t>IP_MESVALOR</t>
  </si>
  <si>
    <t>SiO2</t>
  </si>
  <si>
    <t>M650030010-0004-HHLQU</t>
  </si>
  <si>
    <t>Al2O3</t>
  </si>
  <si>
    <t>CaO</t>
  </si>
  <si>
    <t>M650030010-0006-HHLQU</t>
  </si>
  <si>
    <t>MgO</t>
  </si>
  <si>
    <t>P</t>
  </si>
  <si>
    <t>Mn</t>
  </si>
  <si>
    <t>TiO2</t>
  </si>
  <si>
    <t>PPC</t>
  </si>
  <si>
    <t>M650030010-0013-HHLQU</t>
  </si>
  <si>
    <t>pH - Mineroduto</t>
  </si>
  <si>
    <t>-</t>
  </si>
  <si>
    <t>Linha de Mistura / Pelota</t>
  </si>
  <si>
    <t>M710050020-0004-HHLQU</t>
  </si>
  <si>
    <t>M4710050020-0004-HHLQU</t>
  </si>
  <si>
    <t>M710050020-0006-HHLQU</t>
  </si>
  <si>
    <t>M4710050020-0006-HHLQU</t>
  </si>
  <si>
    <t>B2 (CaO/SiO2)</t>
  </si>
  <si>
    <t>M710050020-0018-HHLQU</t>
  </si>
  <si>
    <t>M4710050020-0018-HHLQU</t>
  </si>
  <si>
    <t>Carvão</t>
  </si>
  <si>
    <t>kg/t</t>
  </si>
  <si>
    <t>M710050020-0084-HHLQU</t>
  </si>
  <si>
    <t>M4710050020-0084-HHLQU</t>
  </si>
  <si>
    <t>Carbono Fixo</t>
  </si>
  <si>
    <t>M710050020-0493-HHLQU</t>
  </si>
  <si>
    <t>M4710050020-0493-HHLQU</t>
  </si>
  <si>
    <t>Tags em laranja: análise ainda sem tag no MES (confirmar com a TI / MES).</t>
  </si>
  <si>
    <t>LISTAS (usadas nas caixas de seleção)</t>
  </si>
  <si>
    <t>Turnos</t>
  </si>
  <si>
    <t>Dia (07h às 19h)</t>
  </si>
  <si>
    <t>Noite (19h às 07h)</t>
  </si>
  <si>
    <t>Letras</t>
  </si>
  <si>
    <t>A</t>
  </si>
  <si>
    <t>B</t>
  </si>
  <si>
    <t>C</t>
  </si>
  <si>
    <t>D</t>
  </si>
  <si>
    <t>Sistema de ar</t>
  </si>
  <si>
    <t>Compressor</t>
  </si>
  <si>
    <t>Nitrogênio</t>
  </si>
  <si>
    <t>Status</t>
  </si>
  <si>
    <t>Ligado</t>
  </si>
  <si>
    <t>Desligado</t>
  </si>
  <si>
    <t>Condição</t>
  </si>
  <si>
    <t>Bom</t>
  </si>
  <si>
    <t>Regular</t>
  </si>
  <si>
    <t>Ruim</t>
  </si>
  <si>
    <t>Soma</t>
  </si>
  <si>
    <t>Último valor</t>
  </si>
  <si>
    <t>Fonte</t>
  </si>
  <si>
    <t>SIMULAÇÃO</t>
  </si>
  <si>
    <t>Sim/Não</t>
  </si>
  <si>
    <t>Sim</t>
  </si>
  <si>
    <t>Não</t>
  </si>
  <si>
    <t>Tipo de tag</t>
  </si>
  <si>
    <t>IP_ANALOGMAP</t>
  </si>
  <si>
    <t>Formato data MES</t>
  </si>
  <si>
    <t>Data do Excel</t>
  </si>
  <si>
    <t>Texto mm/dd/aaaa</t>
  </si>
  <si>
    <t>Dados brutos do MES (Aspen IP.21) - não editar</t>
  </si>
  <si>
    <t>Início</t>
  </si>
  <si>
    <t>Fim</t>
  </si>
  <si>
    <t>Consulta: Análises químicas  (tipo de cálculo "1")</t>
  </si>
  <si>
    <t>Data/hora</t>
  </si>
  <si>
    <t>P02 US3 · SiO2</t>
  </si>
  <si>
    <t>P02 US4 · SiO2</t>
  </si>
  <si>
    <t>P04 US3 · CaO</t>
  </si>
  <si>
    <t>P04 US4 · CaO</t>
  </si>
  <si>
    <t>P09 US3 · PPC</t>
  </si>
  <si>
    <t>P09 US4 · PPC</t>
  </si>
  <si>
    <t>P12 US3 · SiO2</t>
  </si>
  <si>
    <t>P12 US4 · SiO2</t>
  </si>
  <si>
    <t>P14 US3 · CaO</t>
  </si>
  <si>
    <t>P14 US4 · CaO</t>
  </si>
  <si>
    <t>P16 US3 · B2 (CaO/SiO2)</t>
  </si>
  <si>
    <t>P16 US4 · B2 (CaO/SiO2)</t>
  </si>
  <si>
    <t>P17 US3 · Carvão</t>
  </si>
  <si>
    <t>P17 US4 · Carvão</t>
  </si>
  <si>
    <t>P18 US3 · Carbono Fixo</t>
  </si>
  <si>
    <t>P18 US4 · Carbono Fixo</t>
  </si>
  <si>
    <t>Passagem de Turno - Laboratório Químico</t>
  </si>
  <si>
    <t>Usinas 3 e 4  ·  preencha os campos amarelos do seu turno</t>
  </si>
  <si>
    <t>Data do dia</t>
  </si>
  <si>
    <t>Turno Dia 07h às 19h  ·  Turno Noite 19h às 07h do dia seguinte  ·  um arquivo por dia</t>
  </si>
  <si>
    <t>TURNO DIA  ·  07h às 19h</t>
  </si>
  <si>
    <t>▶ Ver Resumo Dia</t>
  </si>
  <si>
    <t>Letra</t>
  </si>
  <si>
    <t>Técnico</t>
  </si>
  <si>
    <t>1. Tarefas realizadas</t>
  </si>
  <si>
    <t>uma tarefa por linha</t>
  </si>
  <si>
    <t>2. Solicitações</t>
  </si>
  <si>
    <t>nº da solicitação, amostra, pendência</t>
  </si>
  <si>
    <t>3. Equipamentos</t>
  </si>
  <si>
    <t>falhas, vazamentos, manutenção</t>
  </si>
  <si>
    <t>4. Tarefas a realizar (próximo turno)</t>
  </si>
  <si>
    <t>5. Controle do laboratório</t>
  </si>
  <si>
    <t>Programas / equipamentos em uso</t>
  </si>
  <si>
    <t>OREGON (RX), Carbono (Leco CS-230), PCS (Calorímetro), mufla 1000 ºC, fotômetro, balanças, estufa e máquina de fusão</t>
  </si>
  <si>
    <t>Foi necessário preparar padrões?</t>
  </si>
  <si>
    <t>Quais</t>
  </si>
  <si>
    <t>Sistema de ar utilizado</t>
  </si>
  <si>
    <t>Condição do compressor</t>
  </si>
  <si>
    <t>6. Pessoal (ausências, trocas e hora extra)</t>
  </si>
  <si>
    <t>Houve ausência no turno?</t>
  </si>
  <si>
    <t>Quem</t>
  </si>
  <si>
    <t>Houve troca combinada?</t>
  </si>
  <si>
    <t>Houve hora extra?</t>
  </si>
  <si>
    <t>Letra que recebe o turno</t>
  </si>
  <si>
    <t>7. Cadinhos de platina</t>
  </si>
  <si>
    <t>Repassados para o turno</t>
  </si>
  <si>
    <t>Retirados para reforma</t>
  </si>
  <si>
    <t>8. Observações gerais</t>
  </si>
  <si>
    <t>Hidrogênio no carvão</t>
  </si>
  <si>
    <t>Hidrogênio no coque</t>
  </si>
  <si>
    <t>Coque Planta 04</t>
  </si>
  <si>
    <t>Observações</t>
  </si>
  <si>
    <t>TURNO NOITE  ·  19h às 07h</t>
  </si>
  <si>
    <t>▶ Ver Resumo Noite</t>
  </si>
  <si>
    <t>▼ Ir para o Turno Noite</t>
  </si>
  <si>
    <t>▶ Resumo Dia</t>
  </si>
  <si>
    <t>▶ Resumo Noite</t>
  </si>
  <si>
    <t>▶ Resultados gerais</t>
  </si>
  <si>
    <t>Relatório de Turno - Laboratório Químico</t>
  </si>
  <si>
    <t>Usinas 3 e 4  ·  Turno Dia  ·  07h às 19h</t>
  </si>
  <si>
    <t>Ocorrências do turno</t>
  </si>
  <si>
    <t>Tarefas realizadas</t>
  </si>
  <si>
    <t>T</t>
  </si>
  <si>
    <t>Solicitações</t>
  </si>
  <si>
    <t>Equipamentos</t>
  </si>
  <si>
    <t>Tarefas a realizar (próximo turno)</t>
  </si>
  <si>
    <t>Controle do laboratório</t>
  </si>
  <si>
    <t>Pessoal</t>
  </si>
  <si>
    <t>Cadinhos de platina</t>
  </si>
  <si>
    <t>Informativo de qualidade do turno  ·  resultados químicos do MES de 2 em 2 h</t>
  </si>
  <si>
    <t>Resultados ainda não atualizados  ·  botão "Atualizar dados do MES"</t>
  </si>
  <si>
    <t>Amostra / análise</t>
  </si>
  <si>
    <t>Un.</t>
  </si>
  <si>
    <t>Usina</t>
  </si>
  <si>
    <t>07h-09h</t>
  </si>
  <si>
    <t>09h-11h</t>
  </si>
  <si>
    <t>11h-13h</t>
  </si>
  <si>
    <t>13h-15h</t>
  </si>
  <si>
    <t>15h-17h</t>
  </si>
  <si>
    <t>17h-19h</t>
  </si>
  <si>
    <t>Média do turno</t>
  </si>
  <si>
    <t>Mín.</t>
  </si>
  <si>
    <t>Máx.</t>
  </si>
  <si>
    <t>G1</t>
  </si>
  <si>
    <t>P01U3</t>
  </si>
  <si>
    <t>MD03</t>
  </si>
  <si>
    <t>P02U3</t>
  </si>
  <si>
    <t>P03U3</t>
  </si>
  <si>
    <t>P04U3</t>
  </si>
  <si>
    <t>P05U3</t>
  </si>
  <si>
    <t>P06U3</t>
  </si>
  <si>
    <t>P07U3</t>
  </si>
  <si>
    <t>P08U3</t>
  </si>
  <si>
    <t>P09U3</t>
  </si>
  <si>
    <t>P10U3</t>
  </si>
  <si>
    <t>G2</t>
  </si>
  <si>
    <t>P11U3</t>
  </si>
  <si>
    <t>US3</t>
  </si>
  <si>
    <t>P11U4</t>
  </si>
  <si>
    <t>US4</t>
  </si>
  <si>
    <t>P12U3</t>
  </si>
  <si>
    <t>P12U4</t>
  </si>
  <si>
    <t>P13U3</t>
  </si>
  <si>
    <t>P13U4</t>
  </si>
  <si>
    <t>P14U3</t>
  </si>
  <si>
    <t>P14U4</t>
  </si>
  <si>
    <t>P15U3</t>
  </si>
  <si>
    <t>P15U4</t>
  </si>
  <si>
    <t>P16U3</t>
  </si>
  <si>
    <t>P16U4</t>
  </si>
  <si>
    <t>P17U3</t>
  </si>
  <si>
    <t>P17U4</t>
  </si>
  <si>
    <t>P18U3</t>
  </si>
  <si>
    <t>P18U4</t>
  </si>
  <si>
    <t>P19U3</t>
  </si>
  <si>
    <t>P19U4</t>
  </si>
  <si>
    <t>P20U3</t>
  </si>
  <si>
    <t>P20U4</t>
  </si>
  <si>
    <t>P21U3</t>
  </si>
  <si>
    <t>P21U4</t>
  </si>
  <si>
    <t>Média do turno = média das janelas de 2 h. Laranja: fora da especificação. MD03 = Pellet Feed do Mineroduto 03 (amostra única para US3 e US4).</t>
  </si>
  <si>
    <t>◀ Voltar ao preenchimento</t>
  </si>
  <si>
    <t>As ocorrências vêm sozinhas da aba Preenchimento (Turno Dia).
Os resultados do MES são do período do turno, na data do Preenchimento.
Para print: Windows + Shift + S.</t>
  </si>
  <si>
    <t>Usinas 3 e 4  ·  Turno Noite  ·  19h às 07h</t>
  </si>
  <si>
    <t>19h-21h</t>
  </si>
  <si>
    <t>21h-23h</t>
  </si>
  <si>
    <t>23h-01h</t>
  </si>
  <si>
    <t>01h-03h</t>
  </si>
  <si>
    <t>03h-05h</t>
  </si>
  <si>
    <t>05h-07h</t>
  </si>
  <si>
    <t>As ocorrências vêm sozinhas da aba Preenchimento (Turno Noite).
Os resultados do MES são do período do turno, na data do Preenchimento.
Para print: Windows + Shift + S.</t>
  </si>
  <si>
    <t>Resultados Gerais - Laboratório Químico</t>
  </si>
  <si>
    <t>Usinas 3 e 4  ·  resultados químicos do MES de 2 em 2 horas, no período escolhido</t>
  </si>
  <si>
    <t>Período (até 24 h)</t>
  </si>
  <si>
    <t>Ex.: 01/09/2026 07:00  →  02/09/2026 07:00; depois clique em Atualizar dados do MES.</t>
  </si>
  <si>
    <t>Resultados ainda não atualizados</t>
  </si>
  <si>
    <t>—</t>
  </si>
  <si>
    <t>Média do período</t>
  </si>
  <si>
    <t>Média do período = média das janelas de 2 h. Laranja: fora da especificação. Análises sem tag no MES ficam ocultas.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</si>
  <si>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</si>
  <si>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</si>
  <si>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</si>
  <si>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</si>
  <si>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</si>
  <si>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</si>
  <si>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</si>
  <si>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</si>
  <si>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Análises químicas</t>
  </si>
  <si>
    <t>1</t>
  </si>
  <si>
    <t>A7</t>
  </si>
  <si>
    <t>A9</t>
  </si>
  <si>
    <t>1,2,3,4,5,6,7,8,9,10,11,12,13,14,15,16,17,18,19,20,21</t>
  </si>
</sst>
</file>

<file path=xl/styles.xml><?xml version="1.0" encoding="utf-8"?>
<styleSheet xmlns="http://schemas.openxmlformats.org/spreadsheetml/2006/main">
  <numFmts count="7">
    <numFmt numFmtId="164" formatCode="dd/mm/yyyy"/>
    <numFmt numFmtId="165" formatCode="0.00"/>
    <numFmt numFmtId="166" formatCode="0.000"/>
    <numFmt numFmtId="167" formatCode="0.0"/>
    <numFmt numFmtId="168" formatCode="dd/mm/yyyy hh:mm"/>
    <numFmt numFmtId="169" formatCode="hh:mm"/>
    <numFmt numFmtId="170" formatCode="dd/mm/yyyy hh:mm:ss"/>
  </numFmts>
  <fonts count="35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5"/>
      <color rgb="FFFFFFFF"/>
      <name val="Segoe UI"/>
      <family val="2"/>
    </font>
    <font>
      <sz val="9"/>
      <color rgb="FFCFE0EA"/>
      <name val="Segoe UI"/>
      <family val="2"/>
    </font>
    <font>
      <b/>
      <sz val="9"/>
      <color rgb="FF003B6C"/>
      <name val="Segoe UI"/>
      <family val="2"/>
    </font>
    <font>
      <b/>
      <sz val="12"/>
      <color rgb="FF003B6C"/>
      <name val="Segoe UI"/>
      <family val="2"/>
    </font>
    <font>
      <sz val="8"/>
      <color rgb="FF5B6B77"/>
      <name val="Segoe UI"/>
      <family val="2"/>
    </font>
    <font>
      <b/>
      <u/>
      <sz val="9"/>
      <color rgb="FF004070"/>
      <name val="Segoe UI"/>
      <family val="2"/>
    </font>
    <font>
      <b/>
      <sz val="13"/>
      <color rgb="FFFFFFFF"/>
      <name val="Segoe UI"/>
      <family val="2"/>
    </font>
    <font>
      <b/>
      <u/>
      <sz val="10"/>
      <color rgb="FF004070"/>
      <name val="Segoe UI"/>
      <family val="2"/>
    </font>
    <font>
      <b/>
      <sz val="11"/>
      <color rgb="FF1D2B36"/>
      <name val="Segoe UI"/>
      <family val="2"/>
    </font>
    <font>
      <b/>
      <sz val="11"/>
      <color rgb="FF003B6C"/>
      <name val="Segoe UI"/>
      <family val="2"/>
    </font>
    <font>
      <i/>
      <sz val="8"/>
      <color rgb="FF5B6B77"/>
      <name val="Segoe UI"/>
      <family val="2"/>
    </font>
    <font>
      <sz val="9"/>
      <color rgb="FF1D2B36"/>
      <name val="Segoe UI"/>
      <family val="2"/>
    </font>
    <font>
      <b/>
      <sz val="10"/>
      <color rgb="FF003B6C"/>
      <name val="Segoe UI"/>
      <family val="2"/>
    </font>
    <font>
      <sz val="6"/>
      <color rgb="FFFFFFFF"/>
      <name val="Segoe UI"/>
      <family val="2"/>
    </font>
    <font>
      <b/>
      <sz val="9"/>
      <color rgb="FF61889B"/>
      <name val="Segoe UI"/>
      <family val="2"/>
    </font>
    <font>
      <i/>
      <sz val="9"/>
      <color rgb="FF5B6B77"/>
      <name val="Segoe UI"/>
      <family val="2"/>
    </font>
    <font>
      <b/>
      <sz val="8"/>
      <color rgb="FFFFFFFF"/>
      <name val="Segoe UI"/>
      <family val="2"/>
    </font>
    <font>
      <b/>
      <sz val="8"/>
      <color rgb="FF00335A"/>
      <name val="Segoe UI"/>
      <family val="2"/>
    </font>
    <font>
      <sz val="8"/>
      <color rgb="FF61889B"/>
      <name val="Segoe UI"/>
      <family val="2"/>
    </font>
    <font>
      <b/>
      <sz val="8"/>
      <color rgb="FF61889B"/>
      <name val="Segoe UI"/>
      <family val="2"/>
    </font>
    <font>
      <i/>
      <sz val="7.5"/>
      <color rgb="FF5B6B77"/>
      <name val="Segoe UI"/>
      <family val="2"/>
    </font>
    <font>
      <sz val="9"/>
      <color rgb="FF5B6B77"/>
      <name val="Segoe UI"/>
      <family val="2"/>
    </font>
    <font>
      <b/>
      <sz val="10"/>
      <color rgb="FFFFFFFF"/>
      <name val="Segoe UI"/>
      <family val="2"/>
    </font>
    <font>
      <b/>
      <sz val="10"/>
      <color rgb="FF1D2B36"/>
      <name val="Segoe UI"/>
      <family val="2"/>
    </font>
    <font>
      <b/>
      <sz val="9"/>
      <color rgb="FF1D2B36"/>
      <name val="Segoe UI"/>
      <family val="2"/>
    </font>
    <font>
      <i/>
      <sz val="9"/>
      <color rgb="FF61889B"/>
      <name val="Segoe UI"/>
      <family val="2"/>
    </font>
    <font>
      <sz val="10"/>
      <color rgb="FF61889B"/>
      <name val="Segoe UI"/>
      <family val="2"/>
    </font>
    <font>
      <sz val="9"/>
      <color rgb="FF1D2B36"/>
      <name val="Consolas"/>
      <family val="2"/>
    </font>
    <font>
      <sz val="9"/>
      <color rgb="FF61889B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9">
    <border>
      <left/>
      <right/>
      <top/>
      <bottom/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dashed">
        <color rgb="FFFFC000"/>
      </bottom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/>
      <top/>
      <bottom/>
      <diagonal/>
    </border>
    <border>
      <left style="thin">
        <color rgb="FFDDE3E8"/>
      </left>
      <right style="thin">
        <color rgb="FFDDE3E8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indent="1" wrapText="1"/>
    </xf>
    <xf numFmtId="164" fontId="5" fillId="5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8" fillId="2" borderId="2" xfId="0" applyFont="1" applyFill="1" applyBorder="1" applyAlignment="1">
      <alignment horizontal="left" vertical="center" indent="1"/>
    </xf>
    <xf numFmtId="0" fontId="9" fillId="0" borderId="0" xfId="0" applyFont="1" applyAlignment="1">
      <alignment vertical="center"/>
    </xf>
    <xf numFmtId="0" fontId="10" fillId="5" borderId="1" xfId="0" applyFont="1" applyFill="1" applyBorder="1" applyAlignment="1" applyProtection="1">
      <alignment horizontal="center" vertical="center"/>
      <protection locked="0"/>
    </xf>
    <xf numFmtId="0" fontId="10" fillId="5" borderId="1" xfId="0" applyFont="1" applyFill="1" applyBorder="1" applyAlignment="1" applyProtection="1">
      <alignment horizontal="left" vertical="center" indent="1"/>
      <protection locked="0"/>
    </xf>
    <xf numFmtId="0" fontId="11" fillId="0" borderId="3" xfId="0" applyFont="1" applyBorder="1" applyAlignment="1"/>
    <xf numFmtId="0" fontId="12" fillId="0" borderId="3" xfId="0" applyFont="1" applyBorder="1" applyAlignment="1">
      <alignment horizontal="right"/>
    </xf>
    <xf numFmtId="0" fontId="6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 applyProtection="1">
      <alignment horizontal="left" vertical="center" indent="1"/>
      <protection locked="0"/>
    </xf>
    <xf numFmtId="0" fontId="13" fillId="5" borderId="1" xfId="0" applyFont="1" applyFill="1" applyBorder="1" applyAlignment="1" applyProtection="1">
      <alignment horizontal="left" vertical="center" indent="1" wrapText="1"/>
      <protection locked="0"/>
    </xf>
    <xf numFmtId="0" fontId="1" fillId="5" borderId="1" xfId="0" applyFont="1" applyFill="1" applyBorder="1" applyAlignment="1" applyProtection="1">
      <alignment vertical="top" indent="1" wrapText="1"/>
      <protection locked="0"/>
    </xf>
    <xf numFmtId="0" fontId="14" fillId="4" borderId="1" xfId="0" applyFont="1" applyFill="1" applyBorder="1" applyAlignment="1">
      <alignment horizontal="left" vertical="center" indent="1"/>
    </xf>
    <xf numFmtId="0" fontId="4" fillId="4" borderId="1" xfId="0" applyFont="1" applyFill="1" applyBorder="1" applyAlignment="1">
      <alignment horizontal="left" vertical="center" indent="1"/>
    </xf>
    <xf numFmtId="0" fontId="15" fillId="0" borderId="0" xfId="0" applyFont="1" applyAlignment="1">
      <alignment vertical="center"/>
    </xf>
    <xf numFmtId="0" fontId="16" fillId="0" borderId="4" xfId="0" applyFont="1" applyBorder="1" applyAlignment="1">
      <alignment horizontal="right" vertical="center"/>
    </xf>
    <xf numFmtId="0" fontId="13" fillId="0" borderId="5" xfId="0" applyFont="1" applyBorder="1" applyAlignment="1">
      <alignment horizontal="left" vertical="center" indent="1" wrapText="1"/>
    </xf>
    <xf numFmtId="0" fontId="6" fillId="0" borderId="0" xfId="0" applyFont="1" applyAlignment="1">
      <alignment vertical="top" indent="1" wrapText="1"/>
    </xf>
    <xf numFmtId="0" fontId="17" fillId="0" borderId="5" xfId="0" applyFont="1" applyBorder="1" applyAlignment="1">
      <alignment horizontal="left" vertical="center" indent="1"/>
    </xf>
    <xf numFmtId="0" fontId="4" fillId="4" borderId="1" xfId="0" applyFont="1" applyFill="1" applyBorder="1" applyAlignment="1">
      <alignment vertical="top" indent="1" wrapText="1"/>
    </xf>
    <xf numFmtId="0" fontId="13" fillId="0" borderId="1" xfId="0" applyFont="1" applyBorder="1" applyAlignment="1">
      <alignment vertical="top" indent="1" wrapText="1"/>
    </xf>
    <xf numFmtId="0" fontId="12" fillId="0" borderId="0" xfId="0" applyFont="1" applyAlignment="1">
      <alignment horizontal="left" vertical="center" indent="1"/>
    </xf>
    <xf numFmtId="0" fontId="18" fillId="2" borderId="6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left" vertical="center" indent="1"/>
    </xf>
    <xf numFmtId="0" fontId="13" fillId="7" borderId="1" xfId="0" applyFont="1" applyFill="1" applyBorder="1" applyAlignment="1">
      <alignment horizontal="left" vertical="center" indent="1"/>
    </xf>
    <xf numFmtId="0" fontId="6" fillId="7" borderId="1" xfId="0" applyFont="1" applyFill="1" applyBorder="1" applyAlignment="1">
      <alignment horizontal="center" vertical="center"/>
    </xf>
    <xf numFmtId="0" fontId="19" fillId="7" borderId="1" xfId="0" applyFont="1" applyFill="1" applyBorder="1" applyAlignment="1">
      <alignment horizontal="center" vertical="center"/>
    </xf>
    <xf numFmtId="165" fontId="13" fillId="7" borderId="1" xfId="0" applyNumberFormat="1" applyFont="1" applyFill="1" applyBorder="1" applyAlignment="1">
      <alignment horizontal="center" vertical="center"/>
    </xf>
    <xf numFmtId="165" fontId="4" fillId="8" borderId="1" xfId="0" applyNumberFormat="1" applyFont="1" applyFill="1" applyBorder="1" applyAlignment="1">
      <alignment horizontal="center" vertical="center"/>
    </xf>
    <xf numFmtId="165" fontId="20" fillId="7" borderId="1" xfId="0" applyNumberFormat="1" applyFont="1" applyFill="1" applyBorder="1" applyAlignment="1">
      <alignment horizontal="center" vertical="center"/>
    </xf>
    <xf numFmtId="0" fontId="13" fillId="9" borderId="1" xfId="0" applyFont="1" applyFill="1" applyBorder="1" applyAlignment="1">
      <alignment horizontal="left" vertical="center" indent="1"/>
    </xf>
    <xf numFmtId="0" fontId="6" fillId="9" borderId="1" xfId="0" applyFont="1" applyFill="1" applyBorder="1" applyAlignment="1">
      <alignment horizontal="center" vertical="center"/>
    </xf>
    <xf numFmtId="0" fontId="19" fillId="9" borderId="1" xfId="0" applyFont="1" applyFill="1" applyBorder="1" applyAlignment="1">
      <alignment horizontal="center" vertical="center"/>
    </xf>
    <xf numFmtId="165" fontId="13" fillId="9" borderId="1" xfId="0" applyNumberFormat="1" applyFont="1" applyFill="1" applyBorder="1" applyAlignment="1">
      <alignment horizontal="center" vertical="center"/>
    </xf>
    <xf numFmtId="165" fontId="20" fillId="9" borderId="1" xfId="0" applyNumberFormat="1" applyFont="1" applyFill="1" applyBorder="1" applyAlignment="1">
      <alignment horizontal="center" vertical="center"/>
    </xf>
    <xf numFmtId="166" fontId="13" fillId="9" borderId="1" xfId="0" applyNumberFormat="1" applyFont="1" applyFill="1" applyBorder="1" applyAlignment="1">
      <alignment horizontal="center" vertical="center"/>
    </xf>
    <xf numFmtId="166" fontId="4" fillId="8" borderId="1" xfId="0" applyNumberFormat="1" applyFont="1" applyFill="1" applyBorder="1" applyAlignment="1">
      <alignment horizontal="center" vertical="center"/>
    </xf>
    <xf numFmtId="166" fontId="20" fillId="9" borderId="1" xfId="0" applyNumberFormat="1" applyFont="1" applyFill="1" applyBorder="1" applyAlignment="1">
      <alignment horizontal="center" vertical="center"/>
    </xf>
    <xf numFmtId="166" fontId="13" fillId="7" borderId="1" xfId="0" applyNumberFormat="1" applyFont="1" applyFill="1" applyBorder="1" applyAlignment="1">
      <alignment horizontal="center" vertical="center"/>
    </xf>
    <xf numFmtId="166" fontId="20" fillId="7" borderId="1" xfId="0" applyNumberFormat="1" applyFont="1" applyFill="1" applyBorder="1" applyAlignment="1">
      <alignment horizontal="center" vertical="center"/>
    </xf>
    <xf numFmtId="0" fontId="21" fillId="7" borderId="1" xfId="0" applyFont="1" applyFill="1" applyBorder="1" applyAlignment="1">
      <alignment horizontal="center" vertical="center"/>
    </xf>
    <xf numFmtId="0" fontId="21" fillId="9" borderId="1" xfId="0" applyFont="1" applyFill="1" applyBorder="1" applyAlignment="1">
      <alignment horizontal="center" vertical="center"/>
    </xf>
    <xf numFmtId="167" fontId="13" fillId="7" borderId="1" xfId="0" applyNumberFormat="1" applyFont="1" applyFill="1" applyBorder="1" applyAlignment="1">
      <alignment horizontal="center" vertical="center"/>
    </xf>
    <xf numFmtId="167" fontId="4" fillId="8" borderId="1" xfId="0" applyNumberFormat="1" applyFont="1" applyFill="1" applyBorder="1" applyAlignment="1">
      <alignment horizontal="center" vertical="center"/>
    </xf>
    <xf numFmtId="167" fontId="20" fillId="7" borderId="1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left" vertical="center" indent="1"/>
    </xf>
    <xf numFmtId="0" fontId="23" fillId="0" borderId="0" xfId="0" applyFont="1" applyAlignment="1">
      <alignment horizontal="right" vertical="center"/>
    </xf>
    <xf numFmtId="168" fontId="11" fillId="5" borderId="7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indent="1" wrapText="1"/>
    </xf>
    <xf numFmtId="0" fontId="24" fillId="10" borderId="0" xfId="0" applyFont="1" applyFill="1" applyAlignment="1">
      <alignment horizontal="left" vertical="center" indent="1"/>
    </xf>
    <xf numFmtId="0" fontId="25" fillId="4" borderId="1" xfId="0" applyFont="1" applyFill="1" applyBorder="1" applyAlignment="1">
      <alignment horizontal="left" vertical="center" indent="1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23" fillId="0" borderId="0" xfId="0" applyFont="1" applyAlignment="1">
      <alignment horizontal="left" vertical="center" indent="1"/>
    </xf>
    <xf numFmtId="0" fontId="26" fillId="6" borderId="0" xfId="0" applyFont="1" applyFill="1" applyAlignment="1">
      <alignment vertical="center" wrapText="1"/>
    </xf>
    <xf numFmtId="0" fontId="13" fillId="0" borderId="8" xfId="0" applyFont="1" applyBorder="1" applyAlignment="1">
      <alignment vertical="center"/>
    </xf>
    <xf numFmtId="169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>
      <alignment horizontal="left" vertical="center" indent="1" wrapText="1"/>
    </xf>
    <xf numFmtId="0" fontId="24" fillId="11" borderId="6" xfId="0" applyFont="1" applyFill="1" applyBorder="1" applyAlignment="1">
      <alignment horizontal="center" vertical="center" wrapText="1"/>
    </xf>
    <xf numFmtId="0" fontId="28" fillId="4" borderId="6" xfId="0" applyFont="1" applyFill="1" applyBorder="1" applyAlignment="1">
      <alignment horizontal="left" vertical="center" indent="1"/>
    </xf>
    <xf numFmtId="0" fontId="25" fillId="4" borderId="6" xfId="0" applyFont="1" applyFill="1" applyBorder="1" applyAlignment="1">
      <alignment horizontal="left" vertical="center" indent="1"/>
    </xf>
    <xf numFmtId="0" fontId="29" fillId="5" borderId="1" xfId="0" applyFont="1" applyFill="1" applyBorder="1" applyAlignment="1" applyProtection="1">
      <alignment vertical="center"/>
      <protection locked="0"/>
    </xf>
    <xf numFmtId="0" fontId="13" fillId="5" borderId="1" xfId="0" applyFont="1" applyFill="1" applyBorder="1" applyAlignment="1" applyProtection="1">
      <alignment vertical="center"/>
      <protection locked="0"/>
    </xf>
    <xf numFmtId="0" fontId="30" fillId="4" borderId="1" xfId="0" applyFont="1" applyFill="1" applyBorder="1" applyAlignment="1">
      <alignment vertical="center"/>
    </xf>
    <xf numFmtId="0" fontId="28" fillId="7" borderId="6" xfId="0" applyFont="1" applyFill="1" applyBorder="1" applyAlignment="1">
      <alignment horizontal="left" vertical="center" indent="1"/>
    </xf>
    <xf numFmtId="0" fontId="25" fillId="7" borderId="6" xfId="0" applyFont="1" applyFill="1" applyBorder="1" applyAlignment="1">
      <alignment horizontal="left" vertical="center" indent="1"/>
    </xf>
    <xf numFmtId="0" fontId="31" fillId="0" borderId="0" xfId="0" applyFont="1" applyAlignment="1">
      <alignment vertical="center"/>
    </xf>
    <xf numFmtId="168" fontId="1" fillId="0" borderId="0" xfId="0" applyNumberFormat="1" applyFont="1" applyAlignment="1">
      <alignment vertical="center"/>
    </xf>
    <xf numFmtId="0" fontId="32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170" fontId="1" fillId="4" borderId="0" xfId="0" applyNumberFormat="1" applyFont="1" applyFill="1" applyAlignment="1">
      <alignment horizontal="left"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24" fillId="2" borderId="0" xfId="0" applyFont="1" applyFill="1" applyAlignment="1">
      <alignment vertical="center"/>
    </xf>
    <xf numFmtId="0" fontId="18" fillId="2" borderId="0" xfId="0" applyFont="1" applyFill="1" applyAlignment="1">
      <alignment vertical="center" wrapText="1"/>
    </xf>
    <xf numFmtId="165" fontId="1" fillId="0" borderId="0" xfId="0" applyNumberFormat="1" applyFont="1" applyAlignment="1">
      <alignment vertical="center"/>
    </xf>
  </cellXfs>
  <cellStyles count="1">
    <cellStyle name="Normal" xfId="0" builtinId="0"/>
  </cellStyles>
  <dxfs count="2">
    <dxf>
      <fill>
        <patternFill>
          <bgColor rgb="FFFDE6D8"/>
        </patternFill>
      </fill>
    </dxf>
    <dxf>
      <font>
        <b/>
        <color rgb="FFF37021"/>
      </font>
      <fill>
        <patternFill>
          <bgColor rgb="FFFDE6D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3</xdr:col>
      <xdr:colOff>413385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19050</xdr:rowOff>
    </xdr:from>
    <xdr:to>
      <xdr:col>15</xdr:col>
      <xdr:colOff>28575</xdr:colOff>
      <xdr:row>2</xdr:row>
      <xdr:rowOff>114300</xdr:rowOff>
    </xdr:to>
    <xdr:sp macro="[0]!AtualizarMESDia" textlink="">
      <xdr:nvSpPr>
        <xdr:cNvPr id="3" name="TextBox 2" descr="Botão: AtualizarMESDia"/>
        <xdr:cNvSpPr txBox="1"/>
      </xdr:nvSpPr>
      <xdr:spPr>
        <a:xfrm>
          <a:off x="7705725" y="95250"/>
          <a:ext cx="1905000" cy="4191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(turno Dia)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0</xdr:rowOff>
    </xdr:from>
    <xdr:to>
      <xdr:col>15</xdr:col>
      <xdr:colOff>28575</xdr:colOff>
      <xdr:row>7</xdr:row>
      <xdr:rowOff>66675</xdr:rowOff>
    </xdr:to>
    <xdr:sp macro="[0]!CopiarImagemDia" textlink="">
      <xdr:nvSpPr>
        <xdr:cNvPr id="4" name="TextBox 3" descr="Botão: CopiarImagemDia"/>
        <xdr:cNvSpPr txBox="1"/>
      </xdr:nvSpPr>
      <xdr:spPr>
        <a:xfrm>
          <a:off x="7705725" y="771525"/>
          <a:ext cx="1905000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(para o e-mail)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19050</xdr:rowOff>
    </xdr:from>
    <xdr:to>
      <xdr:col>15</xdr:col>
      <xdr:colOff>28575</xdr:colOff>
      <xdr:row>2</xdr:row>
      <xdr:rowOff>114300</xdr:rowOff>
    </xdr:to>
    <xdr:sp macro="[0]!AtualizarMESNoite" textlink="">
      <xdr:nvSpPr>
        <xdr:cNvPr id="3" name="TextBox 2" descr="Botão: AtualizarMESNoite"/>
        <xdr:cNvSpPr txBox="1"/>
      </xdr:nvSpPr>
      <xdr:spPr>
        <a:xfrm>
          <a:off x="7705725" y="95250"/>
          <a:ext cx="1905000" cy="4191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(turno Noite)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0</xdr:rowOff>
    </xdr:from>
    <xdr:to>
      <xdr:col>15</xdr:col>
      <xdr:colOff>28575</xdr:colOff>
      <xdr:row>7</xdr:row>
      <xdr:rowOff>66675</xdr:rowOff>
    </xdr:to>
    <xdr:sp macro="[0]!CopiarImagemNoite" textlink="">
      <xdr:nvSpPr>
        <xdr:cNvPr id="4" name="TextBox 3" descr="Botão: CopiarImagemNoite"/>
        <xdr:cNvSpPr txBox="1"/>
      </xdr:nvSpPr>
      <xdr:spPr>
        <a:xfrm>
          <a:off x="7705725" y="771525"/>
          <a:ext cx="1905000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(para o e-mail)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20</xdr:col>
      <xdr:colOff>38100</xdr:colOff>
      <xdr:row>1</xdr:row>
      <xdr:rowOff>19050</xdr:rowOff>
    </xdr:from>
    <xdr:to>
      <xdr:col>21</xdr:col>
      <xdr:colOff>28575</xdr:colOff>
      <xdr:row>2</xdr:row>
      <xdr:rowOff>114300</xdr:rowOff>
    </xdr:to>
    <xdr:sp macro="[0]!AtualizarResultados" textlink="">
      <xdr:nvSpPr>
        <xdr:cNvPr id="3" name="TextBox 2" descr="Botão: AtualizarResultados"/>
        <xdr:cNvSpPr txBox="1"/>
      </xdr:nvSpPr>
      <xdr:spPr>
        <a:xfrm>
          <a:off x="10791825" y="95250"/>
          <a:ext cx="1905000" cy="4191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(período escolhido)</a:t>
          </a:r>
        </a:p>
      </xdr:txBody>
    </xdr:sp>
    <xdr:clientData fPrintsWithSheet="0"/>
  </xdr:twoCellAnchor>
  <xdr:twoCellAnchor editAs="absolute">
    <xdr:from>
      <xdr:col>20</xdr:col>
      <xdr:colOff>38100</xdr:colOff>
      <xdr:row>5</xdr:row>
      <xdr:rowOff>0</xdr:rowOff>
    </xdr:from>
    <xdr:to>
      <xdr:col>21</xdr:col>
      <xdr:colOff>28575</xdr:colOff>
      <xdr:row>7</xdr:row>
      <xdr:rowOff>19050</xdr:rowOff>
    </xdr:to>
    <xdr:sp macro="[0]!CopiarImagemResultados" textlink="">
      <xdr:nvSpPr>
        <xdr:cNvPr id="4" name="TextBox 3" descr="Botão: CopiarImagemResultados"/>
        <xdr:cNvSpPr txBox="1"/>
      </xdr:nvSpPr>
      <xdr:spPr>
        <a:xfrm>
          <a:off x="10791825" y="790575"/>
          <a:ext cx="1905000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(para o e-mail)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2</xdr:col>
      <xdr:colOff>413385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reenchimento" textlink="">
      <xdr:nvSpPr>
        <xdr:cNvPr id="3" name="TextBox 2" descr="Botão: IrPreenchimento"/>
        <xdr:cNvSpPr txBox="1"/>
      </xdr:nvSpPr>
      <xdr:spPr>
        <a:xfrm>
          <a:off x="11772900" y="9715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preenchimento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4668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0</xdr:row>
      <xdr:rowOff>19050</xdr:rowOff>
    </xdr:from>
    <xdr:to>
      <xdr:col>5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4191000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reenchimento">
    <tabColor rgb="FFFDB913"/>
    <pageSetUpPr fitToPage="1"/>
  </sheetPr>
  <dimension ref="A1:M132"/>
  <sheetViews>
    <sheetView showGridLines="0" tabSelected="1" workbookViewId="0">
      <pane ySplit="7" topLeftCell="A8" activePane="bottomLeft" state="frozen"/>
      <selection pane="bottomLeft"/>
    </sheetView>
  </sheetViews>
  <sheetFormatPr defaultRowHeight="15"/>
  <cols>
    <col min="1" max="1" width="2.7109375" customWidth="1"/>
    <col min="2" max="2" width="5.7109375" customWidth="1"/>
    <col min="3" max="11" width="11" customWidth="1"/>
    <col min="12" max="12" width="3.7109375" customWidth="1"/>
    <col min="13" max="13" width="30.7109375" customWidth="1"/>
  </cols>
  <sheetData>
    <row r="1" spans="2:13" ht="6" customHeight="1"/>
    <row r="2" spans="2:13" ht="26" customHeight="1">
      <c r="B2" s="1"/>
      <c r="C2" s="1"/>
      <c r="D2" s="1"/>
      <c r="E2" s="2" t="s">
        <v>119</v>
      </c>
      <c r="F2" s="2"/>
      <c r="G2" s="2"/>
      <c r="H2" s="2"/>
      <c r="I2" s="2"/>
      <c r="J2" s="2"/>
      <c r="K2" s="2"/>
    </row>
    <row r="3" spans="2:13" ht="20" customHeight="1">
      <c r="B3" s="1"/>
      <c r="C3" s="1"/>
      <c r="D3" s="1"/>
      <c r="E3" s="3" t="s">
        <v>120</v>
      </c>
      <c r="F3" s="3"/>
      <c r="G3" s="3"/>
      <c r="H3" s="3"/>
      <c r="I3" s="3"/>
      <c r="J3" s="3"/>
      <c r="K3" s="3"/>
    </row>
    <row r="4" spans="2:13" ht="4" customHeight="1">
      <c r="B4" s="4"/>
      <c r="C4" s="4"/>
      <c r="D4" s="4"/>
      <c r="E4" s="4"/>
      <c r="F4" s="4"/>
      <c r="G4" s="4"/>
      <c r="H4" s="4"/>
      <c r="I4" s="4"/>
      <c r="J4" s="4"/>
      <c r="K4" s="4"/>
    </row>
    <row r="5" spans="2:13" ht="8" customHeight="1"/>
    <row r="6" spans="2:13" ht="26" customHeight="1">
      <c r="B6" s="5" t="s">
        <v>121</v>
      </c>
      <c r="C6" s="5"/>
      <c r="D6" s="5"/>
      <c r="E6" s="6"/>
      <c r="F6" s="6"/>
      <c r="G6" s="7" t="s">
        <v>122</v>
      </c>
      <c r="H6" s="7"/>
      <c r="I6" s="7"/>
      <c r="J6" s="7"/>
      <c r="K6" s="7"/>
    </row>
    <row r="8" spans="2:13" ht="18" customHeight="1">
      <c r="B8" s="8" t="s">
        <v>157</v>
      </c>
      <c r="F8" s="8" t="s">
        <v>158</v>
      </c>
      <c r="H8" s="8" t="s">
        <v>159</v>
      </c>
      <c r="J8" s="8" t="s">
        <v>160</v>
      </c>
    </row>
    <row r="10" spans="2:13" ht="26" customHeight="1">
      <c r="B10" s="9" t="s">
        <v>123</v>
      </c>
      <c r="C10" s="9"/>
      <c r="D10" s="9"/>
      <c r="E10" s="9"/>
      <c r="F10" s="9"/>
      <c r="G10" s="9"/>
      <c r="H10" s="9"/>
      <c r="I10" s="9"/>
      <c r="J10" s="9"/>
      <c r="K10" s="9"/>
      <c r="M10" s="10" t="s">
        <v>124</v>
      </c>
    </row>
    <row r="11" spans="2:13" ht="22" customHeight="1">
      <c r="B11" s="5" t="s">
        <v>125</v>
      </c>
      <c r="C11" s="5"/>
      <c r="D11" s="11"/>
      <c r="E11" s="5" t="s">
        <v>126</v>
      </c>
      <c r="F11" s="5"/>
      <c r="G11" s="12"/>
      <c r="H11" s="12"/>
      <c r="I11" s="12"/>
      <c r="J11" s="12"/>
      <c r="K11" s="12"/>
    </row>
    <row r="13" spans="2:13" ht="20" customHeight="1">
      <c r="B13" s="13" t="s">
        <v>127</v>
      </c>
      <c r="C13" s="13"/>
      <c r="D13" s="13"/>
      <c r="E13" s="13"/>
      <c r="F13" s="13"/>
      <c r="G13" s="13"/>
      <c r="H13" s="14" t="s">
        <v>128</v>
      </c>
      <c r="I13" s="14"/>
      <c r="J13" s="14"/>
      <c r="K13" s="14"/>
    </row>
    <row r="14" spans="2:13" ht="19" customHeight="1">
      <c r="B14" s="15">
        <v>1</v>
      </c>
      <c r="C14" s="16"/>
      <c r="D14" s="16"/>
      <c r="E14" s="16"/>
      <c r="F14" s="16"/>
      <c r="G14" s="16"/>
      <c r="H14" s="16"/>
      <c r="I14" s="16"/>
      <c r="J14" s="16"/>
      <c r="K14" s="16"/>
    </row>
    <row r="15" spans="2:13" ht="19" customHeight="1">
      <c r="B15" s="15">
        <v>2</v>
      </c>
      <c r="C15" s="16"/>
      <c r="D15" s="16"/>
      <c r="E15" s="16"/>
      <c r="F15" s="16"/>
      <c r="G15" s="16"/>
      <c r="H15" s="16"/>
      <c r="I15" s="16"/>
      <c r="J15" s="16"/>
      <c r="K15" s="16"/>
    </row>
    <row r="16" spans="2:13" ht="19" customHeight="1">
      <c r="B16" s="15">
        <v>3</v>
      </c>
      <c r="C16" s="16"/>
      <c r="D16" s="16"/>
      <c r="E16" s="16"/>
      <c r="F16" s="16"/>
      <c r="G16" s="16"/>
      <c r="H16" s="16"/>
      <c r="I16" s="16"/>
      <c r="J16" s="16"/>
      <c r="K16" s="16"/>
    </row>
    <row r="17" spans="2:11" ht="19" customHeight="1">
      <c r="B17" s="15">
        <v>4</v>
      </c>
      <c r="C17" s="16"/>
      <c r="D17" s="16"/>
      <c r="E17" s="16"/>
      <c r="F17" s="16"/>
      <c r="G17" s="16"/>
      <c r="H17" s="16"/>
      <c r="I17" s="16"/>
      <c r="J17" s="16"/>
      <c r="K17" s="16"/>
    </row>
    <row r="18" spans="2:11" ht="19" customHeight="1">
      <c r="B18" s="15">
        <v>5</v>
      </c>
      <c r="C18" s="16"/>
      <c r="D18" s="16"/>
      <c r="E18" s="16"/>
      <c r="F18" s="16"/>
      <c r="G18" s="16"/>
      <c r="H18" s="16"/>
      <c r="I18" s="16"/>
      <c r="J18" s="16"/>
      <c r="K18" s="16"/>
    </row>
    <row r="19" spans="2:11" ht="19" customHeight="1">
      <c r="B19" s="15">
        <v>6</v>
      </c>
      <c r="C19" s="16"/>
      <c r="D19" s="16"/>
      <c r="E19" s="16"/>
      <c r="F19" s="16"/>
      <c r="G19" s="16"/>
      <c r="H19" s="16"/>
      <c r="I19" s="16"/>
      <c r="J19" s="16"/>
      <c r="K19" s="16"/>
    </row>
    <row r="20" spans="2:11" ht="19" customHeight="1">
      <c r="B20" s="15">
        <v>7</v>
      </c>
      <c r="C20" s="16"/>
      <c r="D20" s="16"/>
      <c r="E20" s="16"/>
      <c r="F20" s="16"/>
      <c r="G20" s="16"/>
      <c r="H20" s="16"/>
      <c r="I20" s="16"/>
      <c r="J20" s="16"/>
      <c r="K20" s="16"/>
    </row>
    <row r="21" spans="2:11" ht="19" customHeight="1">
      <c r="B21" s="15">
        <v>8</v>
      </c>
      <c r="C21" s="16"/>
      <c r="D21" s="16"/>
      <c r="E21" s="16"/>
      <c r="F21" s="16"/>
      <c r="G21" s="16"/>
      <c r="H21" s="16"/>
      <c r="I21" s="16"/>
      <c r="J21" s="16"/>
      <c r="K21" s="16"/>
    </row>
    <row r="22" spans="2:11" ht="19" customHeight="1">
      <c r="B22" s="15">
        <v>9</v>
      </c>
      <c r="C22" s="16"/>
      <c r="D22" s="16"/>
      <c r="E22" s="16"/>
      <c r="F22" s="16"/>
      <c r="G22" s="16"/>
      <c r="H22" s="16"/>
      <c r="I22" s="16"/>
      <c r="J22" s="16"/>
      <c r="K22" s="16"/>
    </row>
    <row r="23" spans="2:11" ht="19" customHeight="1">
      <c r="B23" s="15">
        <v>10</v>
      </c>
      <c r="C23" s="16"/>
      <c r="D23" s="16"/>
      <c r="E23" s="16"/>
      <c r="F23" s="16"/>
      <c r="G23" s="16"/>
      <c r="H23" s="16"/>
      <c r="I23" s="16"/>
      <c r="J23" s="16"/>
      <c r="K23" s="16"/>
    </row>
    <row r="24" spans="2:11" ht="19" customHeight="1">
      <c r="B24" s="15">
        <v>11</v>
      </c>
      <c r="C24" s="16"/>
      <c r="D24" s="16"/>
      <c r="E24" s="16"/>
      <c r="F24" s="16"/>
      <c r="G24" s="16"/>
      <c r="H24" s="16"/>
      <c r="I24" s="16"/>
      <c r="J24" s="16"/>
      <c r="K24" s="16"/>
    </row>
    <row r="25" spans="2:11" ht="19" customHeight="1">
      <c r="B25" s="15">
        <v>12</v>
      </c>
      <c r="C25" s="16"/>
      <c r="D25" s="16"/>
      <c r="E25" s="16"/>
      <c r="F25" s="16"/>
      <c r="G25" s="16"/>
      <c r="H25" s="16"/>
      <c r="I25" s="16"/>
      <c r="J25" s="16"/>
      <c r="K25" s="16"/>
    </row>
    <row r="27" spans="2:11" ht="20" customHeight="1">
      <c r="B27" s="13" t="s">
        <v>129</v>
      </c>
      <c r="C27" s="13"/>
      <c r="D27" s="13"/>
      <c r="E27" s="13"/>
      <c r="F27" s="13"/>
      <c r="G27" s="13"/>
      <c r="H27" s="14" t="s">
        <v>130</v>
      </c>
      <c r="I27" s="14"/>
      <c r="J27" s="14"/>
      <c r="K27" s="14"/>
    </row>
    <row r="28" spans="2:11" ht="19" customHeight="1">
      <c r="B28" s="15">
        <v>1</v>
      </c>
      <c r="C28" s="16"/>
      <c r="D28" s="16"/>
      <c r="E28" s="16"/>
      <c r="F28" s="16"/>
      <c r="G28" s="16"/>
      <c r="H28" s="16"/>
      <c r="I28" s="16"/>
      <c r="J28" s="16"/>
      <c r="K28" s="16"/>
    </row>
    <row r="29" spans="2:11" ht="19" customHeight="1">
      <c r="B29" s="15">
        <v>2</v>
      </c>
      <c r="C29" s="16"/>
      <c r="D29" s="16"/>
      <c r="E29" s="16"/>
      <c r="F29" s="16"/>
      <c r="G29" s="16"/>
      <c r="H29" s="16"/>
      <c r="I29" s="16"/>
      <c r="J29" s="16"/>
      <c r="K29" s="16"/>
    </row>
    <row r="30" spans="2:11" ht="19" customHeight="1">
      <c r="B30" s="15">
        <v>3</v>
      </c>
      <c r="C30" s="16"/>
      <c r="D30" s="16"/>
      <c r="E30" s="16"/>
      <c r="F30" s="16"/>
      <c r="G30" s="16"/>
      <c r="H30" s="16"/>
      <c r="I30" s="16"/>
      <c r="J30" s="16"/>
      <c r="K30" s="16"/>
    </row>
    <row r="31" spans="2:11" ht="19" customHeight="1">
      <c r="B31" s="15">
        <v>4</v>
      </c>
      <c r="C31" s="16"/>
      <c r="D31" s="16"/>
      <c r="E31" s="16"/>
      <c r="F31" s="16"/>
      <c r="G31" s="16"/>
      <c r="H31" s="16"/>
      <c r="I31" s="16"/>
      <c r="J31" s="16"/>
      <c r="K31" s="16"/>
    </row>
    <row r="33" spans="2:11" ht="20" customHeight="1">
      <c r="B33" s="13" t="s">
        <v>131</v>
      </c>
      <c r="C33" s="13"/>
      <c r="D33" s="13"/>
      <c r="E33" s="13"/>
      <c r="F33" s="13"/>
      <c r="G33" s="13"/>
      <c r="H33" s="14" t="s">
        <v>132</v>
      </c>
      <c r="I33" s="14"/>
      <c r="J33" s="14"/>
      <c r="K33" s="14"/>
    </row>
    <row r="34" spans="2:11" ht="19" customHeight="1">
      <c r="B34" s="15">
        <v>1</v>
      </c>
      <c r="C34" s="16"/>
      <c r="D34" s="16"/>
      <c r="E34" s="16"/>
      <c r="F34" s="16"/>
      <c r="G34" s="16"/>
      <c r="H34" s="16"/>
      <c r="I34" s="16"/>
      <c r="J34" s="16"/>
      <c r="K34" s="16"/>
    </row>
    <row r="35" spans="2:11" ht="19" customHeight="1">
      <c r="B35" s="15">
        <v>2</v>
      </c>
      <c r="C35" s="16"/>
      <c r="D35" s="16"/>
      <c r="E35" s="16"/>
      <c r="F35" s="16"/>
      <c r="G35" s="16"/>
      <c r="H35" s="16"/>
      <c r="I35" s="16"/>
      <c r="J35" s="16"/>
      <c r="K35" s="16"/>
    </row>
    <row r="36" spans="2:11" ht="19" customHeight="1">
      <c r="B36" s="15">
        <v>3</v>
      </c>
      <c r="C36" s="16"/>
      <c r="D36" s="16"/>
      <c r="E36" s="16"/>
      <c r="F36" s="16"/>
      <c r="G36" s="16"/>
      <c r="H36" s="16"/>
      <c r="I36" s="16"/>
      <c r="J36" s="16"/>
      <c r="K36" s="16"/>
    </row>
    <row r="37" spans="2:11" ht="19" customHeight="1">
      <c r="B37" s="15">
        <v>4</v>
      </c>
      <c r="C37" s="16"/>
      <c r="D37" s="16"/>
      <c r="E37" s="16"/>
      <c r="F37" s="16"/>
      <c r="G37" s="16"/>
      <c r="H37" s="16"/>
      <c r="I37" s="16"/>
      <c r="J37" s="16"/>
      <c r="K37" s="16"/>
    </row>
    <row r="39" spans="2:11" ht="20" customHeight="1">
      <c r="B39" s="13" t="s">
        <v>133</v>
      </c>
      <c r="C39" s="13"/>
      <c r="D39" s="13"/>
      <c r="E39" s="13"/>
      <c r="F39" s="13"/>
      <c r="G39" s="13"/>
      <c r="H39" s="14" t="s">
        <v>128</v>
      </c>
      <c r="I39" s="14"/>
      <c r="J39" s="14"/>
      <c r="K39" s="14"/>
    </row>
    <row r="40" spans="2:11" ht="19" customHeight="1">
      <c r="B40" s="15">
        <v>1</v>
      </c>
      <c r="C40" s="16"/>
      <c r="D40" s="16"/>
      <c r="E40" s="16"/>
      <c r="F40" s="16"/>
      <c r="G40" s="16"/>
      <c r="H40" s="16"/>
      <c r="I40" s="16"/>
      <c r="J40" s="16"/>
      <c r="K40" s="16"/>
    </row>
    <row r="41" spans="2:11" ht="19" customHeight="1">
      <c r="B41" s="15">
        <v>2</v>
      </c>
      <c r="C41" s="16"/>
      <c r="D41" s="16"/>
      <c r="E41" s="16"/>
      <c r="F41" s="16"/>
      <c r="G41" s="16"/>
      <c r="H41" s="16"/>
      <c r="I41" s="16"/>
      <c r="J41" s="16"/>
      <c r="K41" s="16"/>
    </row>
    <row r="42" spans="2:11" ht="19" customHeight="1">
      <c r="B42" s="15">
        <v>3</v>
      </c>
      <c r="C42" s="16"/>
      <c r="D42" s="16"/>
      <c r="E42" s="16"/>
      <c r="F42" s="16"/>
      <c r="G42" s="16"/>
      <c r="H42" s="16"/>
      <c r="I42" s="16"/>
      <c r="J42" s="16"/>
      <c r="K42" s="16"/>
    </row>
    <row r="43" spans="2:11" ht="19" customHeight="1">
      <c r="B43" s="15">
        <v>4</v>
      </c>
      <c r="C43" s="16"/>
      <c r="D43" s="16"/>
      <c r="E43" s="16"/>
      <c r="F43" s="16"/>
      <c r="G43" s="16"/>
      <c r="H43" s="16"/>
      <c r="I43" s="16"/>
      <c r="J43" s="16"/>
      <c r="K43" s="16"/>
    </row>
    <row r="44" spans="2:11" ht="19" customHeight="1">
      <c r="B44" s="15">
        <v>5</v>
      </c>
      <c r="C44" s="16"/>
      <c r="D44" s="16"/>
      <c r="E44" s="16"/>
      <c r="F44" s="16"/>
      <c r="G44" s="16"/>
      <c r="H44" s="16"/>
      <c r="I44" s="16"/>
      <c r="J44" s="16"/>
      <c r="K44" s="16"/>
    </row>
    <row r="45" spans="2:11" ht="19" customHeight="1">
      <c r="B45" s="15">
        <v>6</v>
      </c>
      <c r="C45" s="16"/>
      <c r="D45" s="16"/>
      <c r="E45" s="16"/>
      <c r="F45" s="16"/>
      <c r="G45" s="16"/>
      <c r="H45" s="16"/>
      <c r="I45" s="16"/>
      <c r="J45" s="16"/>
      <c r="K45" s="16"/>
    </row>
    <row r="46" spans="2:11" ht="19" customHeight="1">
      <c r="B46" s="15">
        <v>7</v>
      </c>
      <c r="C46" s="16"/>
      <c r="D46" s="16"/>
      <c r="E46" s="16"/>
      <c r="F46" s="16"/>
      <c r="G46" s="16"/>
      <c r="H46" s="16"/>
      <c r="I46" s="16"/>
      <c r="J46" s="16"/>
      <c r="K46" s="16"/>
    </row>
    <row r="47" spans="2:11" ht="19" customHeight="1">
      <c r="B47" s="15">
        <v>8</v>
      </c>
      <c r="C47" s="16"/>
      <c r="D47" s="16"/>
      <c r="E47" s="16"/>
      <c r="F47" s="16"/>
      <c r="G47" s="16"/>
      <c r="H47" s="16"/>
      <c r="I47" s="16"/>
      <c r="J47" s="16"/>
      <c r="K47" s="16"/>
    </row>
    <row r="49" spans="2:11" ht="22" customHeight="1">
      <c r="B49" s="13" t="s">
        <v>134</v>
      </c>
      <c r="C49" s="13"/>
      <c r="D49" s="13"/>
      <c r="E49" s="13"/>
      <c r="F49" s="13"/>
      <c r="G49" s="13"/>
      <c r="H49" s="13"/>
      <c r="I49" s="13"/>
      <c r="J49" s="13"/>
      <c r="K49" s="13"/>
    </row>
    <row r="50" spans="2:11" ht="32" customHeight="1">
      <c r="B50" s="5" t="s">
        <v>135</v>
      </c>
      <c r="C50" s="5"/>
      <c r="D50" s="5"/>
      <c r="E50" s="17" t="s">
        <v>136</v>
      </c>
      <c r="F50" s="17"/>
      <c r="G50" s="17"/>
      <c r="H50" s="17"/>
      <c r="I50" s="17"/>
      <c r="J50" s="17"/>
      <c r="K50" s="17"/>
    </row>
    <row r="51" spans="2:11" ht="20" customHeight="1">
      <c r="B51" s="5" t="s">
        <v>137</v>
      </c>
      <c r="C51" s="5"/>
      <c r="D51" s="5"/>
      <c r="E51" s="16" t="s">
        <v>92</v>
      </c>
      <c r="F51" s="16"/>
      <c r="G51" s="5" t="s">
        <v>138</v>
      </c>
      <c r="H51" s="16"/>
      <c r="I51" s="16"/>
      <c r="J51" s="16"/>
      <c r="K51" s="16"/>
    </row>
    <row r="52" spans="2:11" ht="20" customHeight="1">
      <c r="B52" s="5" t="s">
        <v>139</v>
      </c>
      <c r="C52" s="5"/>
      <c r="D52" s="5"/>
      <c r="E52" s="16" t="s">
        <v>77</v>
      </c>
      <c r="F52" s="16"/>
      <c r="G52" s="5" t="s">
        <v>79</v>
      </c>
      <c r="H52" s="16"/>
      <c r="I52" s="16"/>
    </row>
    <row r="53" spans="2:11" ht="20" customHeight="1">
      <c r="B53" s="5" t="s">
        <v>140</v>
      </c>
      <c r="C53" s="5"/>
      <c r="D53" s="5"/>
      <c r="E53" s="16"/>
      <c r="F53" s="16"/>
      <c r="G53" s="5" t="s">
        <v>78</v>
      </c>
      <c r="H53" s="16"/>
      <c r="I53" s="16"/>
    </row>
    <row r="55" spans="2:11" ht="22" customHeight="1">
      <c r="B55" s="13" t="s">
        <v>141</v>
      </c>
      <c r="C55" s="13"/>
      <c r="D55" s="13"/>
      <c r="E55" s="13"/>
      <c r="F55" s="13"/>
      <c r="G55" s="13"/>
      <c r="H55" s="13"/>
      <c r="I55" s="13"/>
      <c r="J55" s="13"/>
      <c r="K55" s="13"/>
    </row>
    <row r="56" spans="2:11" ht="20" customHeight="1">
      <c r="B56" s="5" t="s">
        <v>142</v>
      </c>
      <c r="C56" s="5"/>
      <c r="D56" s="5"/>
      <c r="E56" s="16" t="s">
        <v>92</v>
      </c>
      <c r="F56" s="16"/>
      <c r="G56" s="5" t="s">
        <v>143</v>
      </c>
      <c r="H56" s="16"/>
      <c r="I56" s="16"/>
      <c r="J56" s="16"/>
      <c r="K56" s="16"/>
    </row>
    <row r="57" spans="2:11" ht="20" customHeight="1">
      <c r="B57" s="5" t="s">
        <v>144</v>
      </c>
      <c r="C57" s="5"/>
      <c r="D57" s="5"/>
      <c r="E57" s="16" t="s">
        <v>92</v>
      </c>
      <c r="F57" s="16"/>
      <c r="G57" s="5" t="s">
        <v>143</v>
      </c>
      <c r="H57" s="16"/>
      <c r="I57" s="16"/>
      <c r="J57" s="16"/>
      <c r="K57" s="16"/>
    </row>
    <row r="58" spans="2:11" ht="20" customHeight="1">
      <c r="B58" s="5" t="s">
        <v>145</v>
      </c>
      <c r="C58" s="5"/>
      <c r="D58" s="5"/>
      <c r="E58" s="16" t="s">
        <v>92</v>
      </c>
      <c r="F58" s="16"/>
      <c r="G58" s="5" t="s">
        <v>143</v>
      </c>
      <c r="H58" s="16"/>
      <c r="I58" s="16"/>
      <c r="J58" s="16"/>
      <c r="K58" s="16"/>
    </row>
    <row r="59" spans="2:11" ht="20" customHeight="1">
      <c r="B59" s="5" t="s">
        <v>146</v>
      </c>
      <c r="C59" s="5"/>
      <c r="D59" s="5"/>
      <c r="E59" s="16"/>
      <c r="F59" s="16"/>
    </row>
    <row r="61" spans="2:11" ht="22" customHeight="1">
      <c r="B61" s="13" t="s">
        <v>147</v>
      </c>
      <c r="C61" s="13"/>
      <c r="D61" s="13"/>
      <c r="E61" s="13"/>
      <c r="F61" s="13"/>
      <c r="G61" s="13"/>
      <c r="H61" s="13"/>
      <c r="I61" s="13"/>
      <c r="J61" s="13"/>
      <c r="K61" s="13"/>
    </row>
    <row r="62" spans="2:11" ht="20" customHeight="1">
      <c r="B62" s="5" t="s">
        <v>148</v>
      </c>
      <c r="C62" s="5"/>
      <c r="D62" s="5"/>
      <c r="E62" s="16"/>
      <c r="F62" s="16"/>
      <c r="G62" s="16"/>
      <c r="H62" s="16"/>
      <c r="I62" s="16"/>
      <c r="J62" s="16"/>
      <c r="K62" s="16"/>
    </row>
    <row r="63" spans="2:11" ht="20" customHeight="1">
      <c r="B63" s="5" t="s">
        <v>149</v>
      </c>
      <c r="C63" s="5"/>
      <c r="D63" s="5"/>
      <c r="E63" s="16"/>
      <c r="F63" s="16"/>
      <c r="G63" s="16"/>
      <c r="H63" s="16"/>
      <c r="I63" s="16"/>
      <c r="J63" s="16"/>
      <c r="K63" s="16"/>
    </row>
    <row r="65" spans="2:13" ht="22" customHeight="1">
      <c r="B65" s="13" t="s">
        <v>150</v>
      </c>
      <c r="C65" s="13"/>
      <c r="D65" s="13"/>
      <c r="E65" s="13"/>
      <c r="F65" s="13"/>
      <c r="G65" s="13"/>
      <c r="H65" s="13"/>
      <c r="I65" s="13"/>
      <c r="J65" s="13"/>
      <c r="K65" s="13"/>
    </row>
    <row r="66" spans="2:13" ht="20" customHeight="1">
      <c r="B66" s="5" t="s">
        <v>151</v>
      </c>
      <c r="C66" s="5"/>
      <c r="D66" s="5"/>
      <c r="E66" s="16"/>
      <c r="F66" s="16"/>
      <c r="G66" s="5" t="s">
        <v>152</v>
      </c>
      <c r="H66" s="5"/>
      <c r="I66" s="16"/>
      <c r="J66" s="16"/>
      <c r="K66" s="16"/>
    </row>
    <row r="67" spans="2:13" ht="20" customHeight="1">
      <c r="B67" s="5" t="s">
        <v>153</v>
      </c>
      <c r="C67" s="5"/>
      <c r="D67" s="5"/>
      <c r="E67" s="16"/>
      <c r="F67" s="16"/>
      <c r="G67" s="16"/>
      <c r="H67" s="16"/>
      <c r="I67" s="16"/>
      <c r="J67" s="16"/>
      <c r="K67" s="16"/>
    </row>
    <row r="68" spans="2:13">
      <c r="B68" s="5" t="s">
        <v>154</v>
      </c>
      <c r="C68" s="5"/>
      <c r="D68" s="5"/>
      <c r="E68" s="18"/>
      <c r="F68" s="18"/>
      <c r="G68" s="18"/>
      <c r="H68" s="18"/>
      <c r="I68" s="18"/>
      <c r="J68" s="18"/>
      <c r="K68" s="18"/>
    </row>
    <row r="69" spans="2:13">
      <c r="B69" s="5"/>
      <c r="C69" s="5"/>
      <c r="D69" s="5"/>
      <c r="E69" s="18"/>
      <c r="F69" s="18"/>
      <c r="G69" s="18"/>
      <c r="H69" s="18"/>
      <c r="I69" s="18"/>
      <c r="J69" s="18"/>
      <c r="K69" s="18"/>
    </row>
    <row r="70" spans="2:13">
      <c r="B70" s="5"/>
      <c r="C70" s="5"/>
      <c r="D70" s="5"/>
      <c r="E70" s="18"/>
      <c r="F70" s="18"/>
      <c r="G70" s="18"/>
      <c r="H70" s="18"/>
      <c r="I70" s="18"/>
      <c r="J70" s="18"/>
      <c r="K70" s="18"/>
    </row>
    <row r="72" spans="2:13" ht="26" customHeight="1">
      <c r="B72" s="9" t="s">
        <v>155</v>
      </c>
      <c r="C72" s="9"/>
      <c r="D72" s="9"/>
      <c r="E72" s="9"/>
      <c r="F72" s="9"/>
      <c r="G72" s="9"/>
      <c r="H72" s="9"/>
      <c r="I72" s="9"/>
      <c r="J72" s="9"/>
      <c r="K72" s="9"/>
      <c r="M72" s="10" t="s">
        <v>156</v>
      </c>
    </row>
    <row r="73" spans="2:13" ht="22" customHeight="1">
      <c r="B73" s="5" t="s">
        <v>125</v>
      </c>
      <c r="C73" s="5"/>
      <c r="D73" s="11"/>
      <c r="E73" s="5" t="s">
        <v>126</v>
      </c>
      <c r="F73" s="5"/>
      <c r="G73" s="12"/>
      <c r="H73" s="12"/>
      <c r="I73" s="12"/>
      <c r="J73" s="12"/>
      <c r="K73" s="12"/>
    </row>
    <row r="75" spans="2:13" ht="20" customHeight="1">
      <c r="B75" s="13" t="s">
        <v>127</v>
      </c>
      <c r="C75" s="13"/>
      <c r="D75" s="13"/>
      <c r="E75" s="13"/>
      <c r="F75" s="13"/>
      <c r="G75" s="13"/>
      <c r="H75" s="14" t="s">
        <v>128</v>
      </c>
      <c r="I75" s="14"/>
      <c r="J75" s="14"/>
      <c r="K75" s="14"/>
    </row>
    <row r="76" spans="2:13" ht="19" customHeight="1">
      <c r="B76" s="15">
        <v>1</v>
      </c>
      <c r="C76" s="16"/>
      <c r="D76" s="16"/>
      <c r="E76" s="16"/>
      <c r="F76" s="16"/>
      <c r="G76" s="16"/>
      <c r="H76" s="16"/>
      <c r="I76" s="16"/>
      <c r="J76" s="16"/>
      <c r="K76" s="16"/>
    </row>
    <row r="77" spans="2:13" ht="19" customHeight="1">
      <c r="B77" s="15">
        <v>2</v>
      </c>
      <c r="C77" s="16"/>
      <c r="D77" s="16"/>
      <c r="E77" s="16"/>
      <c r="F77" s="16"/>
      <c r="G77" s="16"/>
      <c r="H77" s="16"/>
      <c r="I77" s="16"/>
      <c r="J77" s="16"/>
      <c r="K77" s="16"/>
    </row>
    <row r="78" spans="2:13" ht="19" customHeight="1">
      <c r="B78" s="15">
        <v>3</v>
      </c>
      <c r="C78" s="16"/>
      <c r="D78" s="16"/>
      <c r="E78" s="16"/>
      <c r="F78" s="16"/>
      <c r="G78" s="16"/>
      <c r="H78" s="16"/>
      <c r="I78" s="16"/>
      <c r="J78" s="16"/>
      <c r="K78" s="16"/>
    </row>
    <row r="79" spans="2:13" ht="19" customHeight="1">
      <c r="B79" s="15">
        <v>4</v>
      </c>
      <c r="C79" s="16"/>
      <c r="D79" s="16"/>
      <c r="E79" s="16"/>
      <c r="F79" s="16"/>
      <c r="G79" s="16"/>
      <c r="H79" s="16"/>
      <c r="I79" s="16"/>
      <c r="J79" s="16"/>
      <c r="K79" s="16"/>
    </row>
    <row r="80" spans="2:13" ht="19" customHeight="1">
      <c r="B80" s="15">
        <v>5</v>
      </c>
      <c r="C80" s="16"/>
      <c r="D80" s="16"/>
      <c r="E80" s="16"/>
      <c r="F80" s="16"/>
      <c r="G80" s="16"/>
      <c r="H80" s="16"/>
      <c r="I80" s="16"/>
      <c r="J80" s="16"/>
      <c r="K80" s="16"/>
    </row>
    <row r="81" spans="2:11" ht="19" customHeight="1">
      <c r="B81" s="15">
        <v>6</v>
      </c>
      <c r="C81" s="16"/>
      <c r="D81" s="16"/>
      <c r="E81" s="16"/>
      <c r="F81" s="16"/>
      <c r="G81" s="16"/>
      <c r="H81" s="16"/>
      <c r="I81" s="16"/>
      <c r="J81" s="16"/>
      <c r="K81" s="16"/>
    </row>
    <row r="82" spans="2:11" ht="19" customHeight="1">
      <c r="B82" s="15">
        <v>7</v>
      </c>
      <c r="C82" s="16"/>
      <c r="D82" s="16"/>
      <c r="E82" s="16"/>
      <c r="F82" s="16"/>
      <c r="G82" s="16"/>
      <c r="H82" s="16"/>
      <c r="I82" s="16"/>
      <c r="J82" s="16"/>
      <c r="K82" s="16"/>
    </row>
    <row r="83" spans="2:11" ht="19" customHeight="1">
      <c r="B83" s="15">
        <v>8</v>
      </c>
      <c r="C83" s="16"/>
      <c r="D83" s="16"/>
      <c r="E83" s="16"/>
      <c r="F83" s="16"/>
      <c r="G83" s="16"/>
      <c r="H83" s="16"/>
      <c r="I83" s="16"/>
      <c r="J83" s="16"/>
      <c r="K83" s="16"/>
    </row>
    <row r="84" spans="2:11" ht="19" customHeight="1">
      <c r="B84" s="15">
        <v>9</v>
      </c>
      <c r="C84" s="16"/>
      <c r="D84" s="16"/>
      <c r="E84" s="16"/>
      <c r="F84" s="16"/>
      <c r="G84" s="16"/>
      <c r="H84" s="16"/>
      <c r="I84" s="16"/>
      <c r="J84" s="16"/>
      <c r="K84" s="16"/>
    </row>
    <row r="85" spans="2:11" ht="19" customHeight="1">
      <c r="B85" s="15">
        <v>10</v>
      </c>
      <c r="C85" s="16"/>
      <c r="D85" s="16"/>
      <c r="E85" s="16"/>
      <c r="F85" s="16"/>
      <c r="G85" s="16"/>
      <c r="H85" s="16"/>
      <c r="I85" s="16"/>
      <c r="J85" s="16"/>
      <c r="K85" s="16"/>
    </row>
    <row r="86" spans="2:11" ht="19" customHeight="1">
      <c r="B86" s="15">
        <v>11</v>
      </c>
      <c r="C86" s="16"/>
      <c r="D86" s="16"/>
      <c r="E86" s="16"/>
      <c r="F86" s="16"/>
      <c r="G86" s="16"/>
      <c r="H86" s="16"/>
      <c r="I86" s="16"/>
      <c r="J86" s="16"/>
      <c r="K86" s="16"/>
    </row>
    <row r="87" spans="2:11" ht="19" customHeight="1">
      <c r="B87" s="15">
        <v>12</v>
      </c>
      <c r="C87" s="16"/>
      <c r="D87" s="16"/>
      <c r="E87" s="16"/>
      <c r="F87" s="16"/>
      <c r="G87" s="16"/>
      <c r="H87" s="16"/>
      <c r="I87" s="16"/>
      <c r="J87" s="16"/>
      <c r="K87" s="16"/>
    </row>
    <row r="89" spans="2:11" ht="20" customHeight="1">
      <c r="B89" s="13" t="s">
        <v>129</v>
      </c>
      <c r="C89" s="13"/>
      <c r="D89" s="13"/>
      <c r="E89" s="13"/>
      <c r="F89" s="13"/>
      <c r="G89" s="13"/>
      <c r="H89" s="14" t="s">
        <v>130</v>
      </c>
      <c r="I89" s="14"/>
      <c r="J89" s="14"/>
      <c r="K89" s="14"/>
    </row>
    <row r="90" spans="2:11" ht="19" customHeight="1">
      <c r="B90" s="15">
        <v>1</v>
      </c>
      <c r="C90" s="16"/>
      <c r="D90" s="16"/>
      <c r="E90" s="16"/>
      <c r="F90" s="16"/>
      <c r="G90" s="16"/>
      <c r="H90" s="16"/>
      <c r="I90" s="16"/>
      <c r="J90" s="16"/>
      <c r="K90" s="16"/>
    </row>
    <row r="91" spans="2:11" ht="19" customHeight="1">
      <c r="B91" s="15">
        <v>2</v>
      </c>
      <c r="C91" s="16"/>
      <c r="D91" s="16"/>
      <c r="E91" s="16"/>
      <c r="F91" s="16"/>
      <c r="G91" s="16"/>
      <c r="H91" s="16"/>
      <c r="I91" s="16"/>
      <c r="J91" s="16"/>
      <c r="K91" s="16"/>
    </row>
    <row r="92" spans="2:11" ht="19" customHeight="1">
      <c r="B92" s="15">
        <v>3</v>
      </c>
      <c r="C92" s="16"/>
      <c r="D92" s="16"/>
      <c r="E92" s="16"/>
      <c r="F92" s="16"/>
      <c r="G92" s="16"/>
      <c r="H92" s="16"/>
      <c r="I92" s="16"/>
      <c r="J92" s="16"/>
      <c r="K92" s="16"/>
    </row>
    <row r="93" spans="2:11" ht="19" customHeight="1">
      <c r="B93" s="15">
        <v>4</v>
      </c>
      <c r="C93" s="16"/>
      <c r="D93" s="16"/>
      <c r="E93" s="16"/>
      <c r="F93" s="16"/>
      <c r="G93" s="16"/>
      <c r="H93" s="16"/>
      <c r="I93" s="16"/>
      <c r="J93" s="16"/>
      <c r="K93" s="16"/>
    </row>
    <row r="95" spans="2:11" ht="20" customHeight="1">
      <c r="B95" s="13" t="s">
        <v>131</v>
      </c>
      <c r="C95" s="13"/>
      <c r="D95" s="13"/>
      <c r="E95" s="13"/>
      <c r="F95" s="13"/>
      <c r="G95" s="13"/>
      <c r="H95" s="14" t="s">
        <v>132</v>
      </c>
      <c r="I95" s="14"/>
      <c r="J95" s="14"/>
      <c r="K95" s="14"/>
    </row>
    <row r="96" spans="2:11" ht="19" customHeight="1">
      <c r="B96" s="15">
        <v>1</v>
      </c>
      <c r="C96" s="16"/>
      <c r="D96" s="16"/>
      <c r="E96" s="16"/>
      <c r="F96" s="16"/>
      <c r="G96" s="16"/>
      <c r="H96" s="16"/>
      <c r="I96" s="16"/>
      <c r="J96" s="16"/>
      <c r="K96" s="16"/>
    </row>
    <row r="97" spans="2:11" ht="19" customHeight="1">
      <c r="B97" s="15">
        <v>2</v>
      </c>
      <c r="C97" s="16"/>
      <c r="D97" s="16"/>
      <c r="E97" s="16"/>
      <c r="F97" s="16"/>
      <c r="G97" s="16"/>
      <c r="H97" s="16"/>
      <c r="I97" s="16"/>
      <c r="J97" s="16"/>
      <c r="K97" s="16"/>
    </row>
    <row r="98" spans="2:11" ht="19" customHeight="1">
      <c r="B98" s="15">
        <v>3</v>
      </c>
      <c r="C98" s="16"/>
      <c r="D98" s="16"/>
      <c r="E98" s="16"/>
      <c r="F98" s="16"/>
      <c r="G98" s="16"/>
      <c r="H98" s="16"/>
      <c r="I98" s="16"/>
      <c r="J98" s="16"/>
      <c r="K98" s="16"/>
    </row>
    <row r="99" spans="2:11" ht="19" customHeight="1">
      <c r="B99" s="15">
        <v>4</v>
      </c>
      <c r="C99" s="16"/>
      <c r="D99" s="16"/>
      <c r="E99" s="16"/>
      <c r="F99" s="16"/>
      <c r="G99" s="16"/>
      <c r="H99" s="16"/>
      <c r="I99" s="16"/>
      <c r="J99" s="16"/>
      <c r="K99" s="16"/>
    </row>
    <row r="101" spans="2:11" ht="20" customHeight="1">
      <c r="B101" s="13" t="s">
        <v>133</v>
      </c>
      <c r="C101" s="13"/>
      <c r="D101" s="13"/>
      <c r="E101" s="13"/>
      <c r="F101" s="13"/>
      <c r="G101" s="13"/>
      <c r="H101" s="14" t="s">
        <v>128</v>
      </c>
      <c r="I101" s="14"/>
      <c r="J101" s="14"/>
      <c r="K101" s="14"/>
    </row>
    <row r="102" spans="2:11" ht="19" customHeight="1">
      <c r="B102" s="15">
        <v>1</v>
      </c>
      <c r="C102" s="16"/>
      <c r="D102" s="16"/>
      <c r="E102" s="16"/>
      <c r="F102" s="16"/>
      <c r="G102" s="16"/>
      <c r="H102" s="16"/>
      <c r="I102" s="16"/>
      <c r="J102" s="16"/>
      <c r="K102" s="16"/>
    </row>
    <row r="103" spans="2:11" ht="19" customHeight="1">
      <c r="B103" s="15">
        <v>2</v>
      </c>
      <c r="C103" s="16"/>
      <c r="D103" s="16"/>
      <c r="E103" s="16"/>
      <c r="F103" s="16"/>
      <c r="G103" s="16"/>
      <c r="H103" s="16"/>
      <c r="I103" s="16"/>
      <c r="J103" s="16"/>
      <c r="K103" s="16"/>
    </row>
    <row r="104" spans="2:11" ht="19" customHeight="1">
      <c r="B104" s="15">
        <v>3</v>
      </c>
      <c r="C104" s="16"/>
      <c r="D104" s="16"/>
      <c r="E104" s="16"/>
      <c r="F104" s="16"/>
      <c r="G104" s="16"/>
      <c r="H104" s="16"/>
      <c r="I104" s="16"/>
      <c r="J104" s="16"/>
      <c r="K104" s="16"/>
    </row>
    <row r="105" spans="2:11" ht="19" customHeight="1">
      <c r="B105" s="15">
        <v>4</v>
      </c>
      <c r="C105" s="16"/>
      <c r="D105" s="16"/>
      <c r="E105" s="16"/>
      <c r="F105" s="16"/>
      <c r="G105" s="16"/>
      <c r="H105" s="16"/>
      <c r="I105" s="16"/>
      <c r="J105" s="16"/>
      <c r="K105" s="16"/>
    </row>
    <row r="106" spans="2:11" ht="19" customHeight="1">
      <c r="B106" s="15">
        <v>5</v>
      </c>
      <c r="C106" s="16"/>
      <c r="D106" s="16"/>
      <c r="E106" s="16"/>
      <c r="F106" s="16"/>
      <c r="G106" s="16"/>
      <c r="H106" s="16"/>
      <c r="I106" s="16"/>
      <c r="J106" s="16"/>
      <c r="K106" s="16"/>
    </row>
    <row r="107" spans="2:11" ht="19" customHeight="1">
      <c r="B107" s="15">
        <v>6</v>
      </c>
      <c r="C107" s="16"/>
      <c r="D107" s="16"/>
      <c r="E107" s="16"/>
      <c r="F107" s="16"/>
      <c r="G107" s="16"/>
      <c r="H107" s="16"/>
      <c r="I107" s="16"/>
      <c r="J107" s="16"/>
      <c r="K107" s="16"/>
    </row>
    <row r="108" spans="2:11" ht="19" customHeight="1">
      <c r="B108" s="15">
        <v>7</v>
      </c>
      <c r="C108" s="16"/>
      <c r="D108" s="16"/>
      <c r="E108" s="16"/>
      <c r="F108" s="16"/>
      <c r="G108" s="16"/>
      <c r="H108" s="16"/>
      <c r="I108" s="16"/>
      <c r="J108" s="16"/>
      <c r="K108" s="16"/>
    </row>
    <row r="109" spans="2:11" ht="19" customHeight="1">
      <c r="B109" s="15">
        <v>8</v>
      </c>
      <c r="C109" s="16"/>
      <c r="D109" s="16"/>
      <c r="E109" s="16"/>
      <c r="F109" s="16"/>
      <c r="G109" s="16"/>
      <c r="H109" s="16"/>
      <c r="I109" s="16"/>
      <c r="J109" s="16"/>
      <c r="K109" s="16"/>
    </row>
    <row r="111" spans="2:11" ht="22" customHeight="1">
      <c r="B111" s="13" t="s">
        <v>134</v>
      </c>
      <c r="C111" s="13"/>
      <c r="D111" s="13"/>
      <c r="E111" s="13"/>
      <c r="F111" s="13"/>
      <c r="G111" s="13"/>
      <c r="H111" s="13"/>
      <c r="I111" s="13"/>
      <c r="J111" s="13"/>
      <c r="K111" s="13"/>
    </row>
    <row r="112" spans="2:11" ht="32" customHeight="1">
      <c r="B112" s="5" t="s">
        <v>135</v>
      </c>
      <c r="C112" s="5"/>
      <c r="D112" s="5"/>
      <c r="E112" s="17" t="s">
        <v>136</v>
      </c>
      <c r="F112" s="17"/>
      <c r="G112" s="17"/>
      <c r="H112" s="17"/>
      <c r="I112" s="17"/>
      <c r="J112" s="17"/>
      <c r="K112" s="17"/>
    </row>
    <row r="113" spans="2:11" ht="20" customHeight="1">
      <c r="B113" s="5" t="s">
        <v>137</v>
      </c>
      <c r="C113" s="5"/>
      <c r="D113" s="5"/>
      <c r="E113" s="16" t="s">
        <v>92</v>
      </c>
      <c r="F113" s="16"/>
      <c r="G113" s="5" t="s">
        <v>138</v>
      </c>
      <c r="H113" s="16"/>
      <c r="I113" s="16"/>
      <c r="J113" s="16"/>
      <c r="K113" s="16"/>
    </row>
    <row r="114" spans="2:11" ht="20" customHeight="1">
      <c r="B114" s="5" t="s">
        <v>139</v>
      </c>
      <c r="C114" s="5"/>
      <c r="D114" s="5"/>
      <c r="E114" s="16" t="s">
        <v>77</v>
      </c>
      <c r="F114" s="16"/>
      <c r="G114" s="5" t="s">
        <v>79</v>
      </c>
      <c r="H114" s="16"/>
      <c r="I114" s="16"/>
    </row>
    <row r="115" spans="2:11" ht="20" customHeight="1">
      <c r="B115" s="5" t="s">
        <v>140</v>
      </c>
      <c r="C115" s="5"/>
      <c r="D115" s="5"/>
      <c r="E115" s="16"/>
      <c r="F115" s="16"/>
      <c r="G115" s="5" t="s">
        <v>78</v>
      </c>
      <c r="H115" s="16"/>
      <c r="I115" s="16"/>
    </row>
    <row r="117" spans="2:11" ht="22" customHeight="1">
      <c r="B117" s="13" t="s">
        <v>141</v>
      </c>
      <c r="C117" s="13"/>
      <c r="D117" s="13"/>
      <c r="E117" s="13"/>
      <c r="F117" s="13"/>
      <c r="G117" s="13"/>
      <c r="H117" s="13"/>
      <c r="I117" s="13"/>
      <c r="J117" s="13"/>
      <c r="K117" s="13"/>
    </row>
    <row r="118" spans="2:11" ht="20" customHeight="1">
      <c r="B118" s="5" t="s">
        <v>142</v>
      </c>
      <c r="C118" s="5"/>
      <c r="D118" s="5"/>
      <c r="E118" s="16" t="s">
        <v>92</v>
      </c>
      <c r="F118" s="16"/>
      <c r="G118" s="5" t="s">
        <v>143</v>
      </c>
      <c r="H118" s="16"/>
      <c r="I118" s="16"/>
      <c r="J118" s="16"/>
      <c r="K118" s="16"/>
    </row>
    <row r="119" spans="2:11" ht="20" customHeight="1">
      <c r="B119" s="5" t="s">
        <v>144</v>
      </c>
      <c r="C119" s="5"/>
      <c r="D119" s="5"/>
      <c r="E119" s="16" t="s">
        <v>92</v>
      </c>
      <c r="F119" s="16"/>
      <c r="G119" s="5" t="s">
        <v>143</v>
      </c>
      <c r="H119" s="16"/>
      <c r="I119" s="16"/>
      <c r="J119" s="16"/>
      <c r="K119" s="16"/>
    </row>
    <row r="120" spans="2:11" ht="20" customHeight="1">
      <c r="B120" s="5" t="s">
        <v>145</v>
      </c>
      <c r="C120" s="5"/>
      <c r="D120" s="5"/>
      <c r="E120" s="16" t="s">
        <v>92</v>
      </c>
      <c r="F120" s="16"/>
      <c r="G120" s="5" t="s">
        <v>143</v>
      </c>
      <c r="H120" s="16"/>
      <c r="I120" s="16"/>
      <c r="J120" s="16"/>
      <c r="K120" s="16"/>
    </row>
    <row r="121" spans="2:11" ht="20" customHeight="1">
      <c r="B121" s="5" t="s">
        <v>146</v>
      </c>
      <c r="C121" s="5"/>
      <c r="D121" s="5"/>
      <c r="E121" s="16"/>
      <c r="F121" s="16"/>
    </row>
    <row r="123" spans="2:11" ht="22" customHeight="1">
      <c r="B123" s="13" t="s">
        <v>147</v>
      </c>
      <c r="C123" s="13"/>
      <c r="D123" s="13"/>
      <c r="E123" s="13"/>
      <c r="F123" s="13"/>
      <c r="G123" s="13"/>
      <c r="H123" s="13"/>
      <c r="I123" s="13"/>
      <c r="J123" s="13"/>
      <c r="K123" s="13"/>
    </row>
    <row r="124" spans="2:11" ht="20" customHeight="1">
      <c r="B124" s="5" t="s">
        <v>148</v>
      </c>
      <c r="C124" s="5"/>
      <c r="D124" s="5"/>
      <c r="E124" s="16"/>
      <c r="F124" s="16"/>
      <c r="G124" s="16"/>
      <c r="H124" s="16"/>
      <c r="I124" s="16"/>
      <c r="J124" s="16"/>
      <c r="K124" s="16"/>
    </row>
    <row r="125" spans="2:11" ht="20" customHeight="1">
      <c r="B125" s="5" t="s">
        <v>149</v>
      </c>
      <c r="C125" s="5"/>
      <c r="D125" s="5"/>
      <c r="E125" s="16"/>
      <c r="F125" s="16"/>
      <c r="G125" s="16"/>
      <c r="H125" s="16"/>
      <c r="I125" s="16"/>
      <c r="J125" s="16"/>
      <c r="K125" s="16"/>
    </row>
    <row r="127" spans="2:11" ht="22" customHeight="1">
      <c r="B127" s="13" t="s">
        <v>150</v>
      </c>
      <c r="C127" s="13"/>
      <c r="D127" s="13"/>
      <c r="E127" s="13"/>
      <c r="F127" s="13"/>
      <c r="G127" s="13"/>
      <c r="H127" s="13"/>
      <c r="I127" s="13"/>
      <c r="J127" s="13"/>
      <c r="K127" s="13"/>
    </row>
    <row r="128" spans="2:11" ht="20" customHeight="1">
      <c r="B128" s="5" t="s">
        <v>151</v>
      </c>
      <c r="C128" s="5"/>
      <c r="D128" s="5"/>
      <c r="E128" s="16"/>
      <c r="F128" s="16"/>
      <c r="G128" s="5" t="s">
        <v>152</v>
      </c>
      <c r="H128" s="5"/>
      <c r="I128" s="16"/>
      <c r="J128" s="16"/>
      <c r="K128" s="16"/>
    </row>
    <row r="129" spans="2:11" ht="20" customHeight="1">
      <c r="B129" s="5" t="s">
        <v>153</v>
      </c>
      <c r="C129" s="5"/>
      <c r="D129" s="5"/>
      <c r="E129" s="16"/>
      <c r="F129" s="16"/>
      <c r="G129" s="16"/>
      <c r="H129" s="16"/>
      <c r="I129" s="16"/>
      <c r="J129" s="16"/>
      <c r="K129" s="16"/>
    </row>
    <row r="130" spans="2:11">
      <c r="B130" s="5" t="s">
        <v>154</v>
      </c>
      <c r="C130" s="5"/>
      <c r="D130" s="5"/>
      <c r="E130" s="18"/>
      <c r="F130" s="18"/>
      <c r="G130" s="18"/>
      <c r="H130" s="18"/>
      <c r="I130" s="18"/>
      <c r="J130" s="18"/>
      <c r="K130" s="18"/>
    </row>
    <row r="131" spans="2:11">
      <c r="B131" s="5"/>
      <c r="C131" s="5"/>
      <c r="D131" s="5"/>
      <c r="E131" s="18"/>
      <c r="F131" s="18"/>
      <c r="G131" s="18"/>
      <c r="H131" s="18"/>
      <c r="I131" s="18"/>
      <c r="J131" s="18"/>
      <c r="K131" s="18"/>
    </row>
    <row r="132" spans="2:11">
      <c r="B132" s="5"/>
      <c r="C132" s="5"/>
      <c r="D132" s="5"/>
      <c r="E132" s="18"/>
      <c r="F132" s="18"/>
      <c r="G132" s="18"/>
      <c r="H132" s="18"/>
      <c r="I132" s="18"/>
      <c r="J132" s="18"/>
      <c r="K132" s="18"/>
    </row>
  </sheetData>
  <sheetProtection sheet="1" objects="1" scenarios="1" formatColumns="0" formatRows="0"/>
  <mergeCells count="161">
    <mergeCell ref="E2:K2"/>
    <mergeCell ref="E3:K3"/>
    <mergeCell ref="B6:D6"/>
    <mergeCell ref="E6:F6"/>
    <mergeCell ref="G6:K6"/>
    <mergeCell ref="B10:K10"/>
    <mergeCell ref="B11:C11"/>
    <mergeCell ref="E11:F11"/>
    <mergeCell ref="G11:K11"/>
    <mergeCell ref="B13:G13"/>
    <mergeCell ref="H13:K13"/>
    <mergeCell ref="C14:K14"/>
    <mergeCell ref="C15:K15"/>
    <mergeCell ref="C16:K16"/>
    <mergeCell ref="C17:K17"/>
    <mergeCell ref="C18:K18"/>
    <mergeCell ref="C19:K19"/>
    <mergeCell ref="C20:K20"/>
    <mergeCell ref="C21:K21"/>
    <mergeCell ref="C22:K22"/>
    <mergeCell ref="C23:K23"/>
    <mergeCell ref="C24:K24"/>
    <mergeCell ref="C25:K25"/>
    <mergeCell ref="B27:G27"/>
    <mergeCell ref="H27:K27"/>
    <mergeCell ref="C28:K28"/>
    <mergeCell ref="C29:K29"/>
    <mergeCell ref="C30:K30"/>
    <mergeCell ref="C31:K31"/>
    <mergeCell ref="B33:G33"/>
    <mergeCell ref="H33:K33"/>
    <mergeCell ref="C34:K34"/>
    <mergeCell ref="C35:K35"/>
    <mergeCell ref="C36:K36"/>
    <mergeCell ref="C37:K37"/>
    <mergeCell ref="B39:G39"/>
    <mergeCell ref="H39:K39"/>
    <mergeCell ref="C40:K40"/>
    <mergeCell ref="C41:K41"/>
    <mergeCell ref="C42:K42"/>
    <mergeCell ref="C43:K43"/>
    <mergeCell ref="C44:K44"/>
    <mergeCell ref="C45:K45"/>
    <mergeCell ref="C46:K46"/>
    <mergeCell ref="C47:K47"/>
    <mergeCell ref="B49:K49"/>
    <mergeCell ref="B50:D50"/>
    <mergeCell ref="E50:K50"/>
    <mergeCell ref="B51:D51"/>
    <mergeCell ref="E51:F51"/>
    <mergeCell ref="H51:K51"/>
    <mergeCell ref="B52:D52"/>
    <mergeCell ref="E52:F52"/>
    <mergeCell ref="H52:I52"/>
    <mergeCell ref="B53:D53"/>
    <mergeCell ref="E53:F53"/>
    <mergeCell ref="H53:I53"/>
    <mergeCell ref="B55:K55"/>
    <mergeCell ref="B56:D56"/>
    <mergeCell ref="E56:F56"/>
    <mergeCell ref="H56:K56"/>
    <mergeCell ref="B57:D57"/>
    <mergeCell ref="E57:F57"/>
    <mergeCell ref="H57:K57"/>
    <mergeCell ref="B58:D58"/>
    <mergeCell ref="E58:F58"/>
    <mergeCell ref="H58:K58"/>
    <mergeCell ref="B59:D59"/>
    <mergeCell ref="E59:F59"/>
    <mergeCell ref="B61:K61"/>
    <mergeCell ref="B62:D62"/>
    <mergeCell ref="E62:K62"/>
    <mergeCell ref="B63:D63"/>
    <mergeCell ref="E63:K63"/>
    <mergeCell ref="B65:K65"/>
    <mergeCell ref="B66:D66"/>
    <mergeCell ref="E66:F66"/>
    <mergeCell ref="G66:H66"/>
    <mergeCell ref="I66:K66"/>
    <mergeCell ref="B67:D67"/>
    <mergeCell ref="E67:K67"/>
    <mergeCell ref="B68:D70"/>
    <mergeCell ref="E68:K70"/>
    <mergeCell ref="B72:K72"/>
    <mergeCell ref="B73:C73"/>
    <mergeCell ref="E73:F73"/>
    <mergeCell ref="G73:K73"/>
    <mergeCell ref="B75:G75"/>
    <mergeCell ref="H75:K75"/>
    <mergeCell ref="C76:K76"/>
    <mergeCell ref="C77:K77"/>
    <mergeCell ref="C78:K78"/>
    <mergeCell ref="C79:K79"/>
    <mergeCell ref="C80:K80"/>
    <mergeCell ref="C81:K81"/>
    <mergeCell ref="C82:K82"/>
    <mergeCell ref="C83:K83"/>
    <mergeCell ref="C84:K84"/>
    <mergeCell ref="C85:K85"/>
    <mergeCell ref="C86:K86"/>
    <mergeCell ref="C87:K87"/>
    <mergeCell ref="B89:G89"/>
    <mergeCell ref="H89:K89"/>
    <mergeCell ref="C90:K90"/>
    <mergeCell ref="C91:K91"/>
    <mergeCell ref="C92:K92"/>
    <mergeCell ref="C93:K93"/>
    <mergeCell ref="B95:G95"/>
    <mergeCell ref="H95:K95"/>
    <mergeCell ref="C96:K96"/>
    <mergeCell ref="C97:K97"/>
    <mergeCell ref="C98:K98"/>
    <mergeCell ref="C99:K99"/>
    <mergeCell ref="B101:G101"/>
    <mergeCell ref="H101:K101"/>
    <mergeCell ref="C102:K102"/>
    <mergeCell ref="C103:K103"/>
    <mergeCell ref="C104:K104"/>
    <mergeCell ref="C105:K105"/>
    <mergeCell ref="C106:K106"/>
    <mergeCell ref="C107:K107"/>
    <mergeCell ref="C108:K108"/>
    <mergeCell ref="C109:K109"/>
    <mergeCell ref="B111:K111"/>
    <mergeCell ref="B112:D112"/>
    <mergeCell ref="E112:K112"/>
    <mergeCell ref="B113:D113"/>
    <mergeCell ref="E113:F113"/>
    <mergeCell ref="H113:K113"/>
    <mergeCell ref="B114:D114"/>
    <mergeCell ref="E114:F114"/>
    <mergeCell ref="H114:I114"/>
    <mergeCell ref="B115:D115"/>
    <mergeCell ref="E115:F115"/>
    <mergeCell ref="H115:I115"/>
    <mergeCell ref="B117:K117"/>
    <mergeCell ref="B118:D118"/>
    <mergeCell ref="E118:F118"/>
    <mergeCell ref="H118:K118"/>
    <mergeCell ref="B119:D119"/>
    <mergeCell ref="E119:F119"/>
    <mergeCell ref="H119:K119"/>
    <mergeCell ref="B120:D120"/>
    <mergeCell ref="E120:F120"/>
    <mergeCell ref="H120:K120"/>
    <mergeCell ref="B121:D121"/>
    <mergeCell ref="E121:F121"/>
    <mergeCell ref="B123:K123"/>
    <mergeCell ref="B124:D124"/>
    <mergeCell ref="E124:K124"/>
    <mergeCell ref="B125:D125"/>
    <mergeCell ref="E125:K125"/>
    <mergeCell ref="B127:K127"/>
    <mergeCell ref="B128:D128"/>
    <mergeCell ref="E128:F128"/>
    <mergeCell ref="G128:H128"/>
    <mergeCell ref="I128:K128"/>
    <mergeCell ref="B129:D129"/>
    <mergeCell ref="E129:K129"/>
    <mergeCell ref="B130:D132"/>
    <mergeCell ref="E130:K132"/>
  </mergeCells>
  <dataValidations count="21">
    <dataValidation type="date" operator="greaterThan" allowBlank="1" showInputMessage="1" showErrorMessage="1" error="Digite uma data válida (dd/mm/aaaa)." sqref="E6">
      <formula1>43831</formula1>
    </dataValidation>
    <dataValidation type="list" allowBlank="1" showInputMessage="1" showErrorMessage="1" sqref="D11">
      <formula1>lstTurma</formula1>
    </dataValidation>
    <dataValidation type="list" allowBlank="1" showInputMessage="1" showErrorMessage="1" sqref="E51">
      <formula1>lstSN</formula1>
    </dataValidation>
    <dataValidation type="list" allowBlank="1" showInputMessage="1" showErrorMessage="1" sqref="E52">
      <formula1>lstAr</formula1>
    </dataValidation>
    <dataValidation type="list" allowBlank="1" showInputMessage="1" showErrorMessage="1" sqref="H52">
      <formula1>lstLigado</formula1>
    </dataValidation>
    <dataValidation type="list" allowBlank="1" showInputMessage="1" showErrorMessage="1" sqref="E53">
      <formula1>lstCond</formula1>
    </dataValidation>
    <dataValidation type="list" allowBlank="1" showInputMessage="1" showErrorMessage="1" sqref="H53">
      <formula1>lstCond</formula1>
    </dataValidation>
    <dataValidation type="list" allowBlank="1" showInputMessage="1" showErrorMessage="1" sqref="E56">
      <formula1>lstSN</formula1>
    </dataValidation>
    <dataValidation type="list" allowBlank="1" showInputMessage="1" showErrorMessage="1" sqref="E57">
      <formula1>lstSN</formula1>
    </dataValidation>
    <dataValidation type="list" allowBlank="1" showInputMessage="1" showErrorMessage="1" sqref="E58">
      <formula1>lstSN</formula1>
    </dataValidation>
    <dataValidation type="list" allowBlank="1" showInputMessage="1" showErrorMessage="1" sqref="E59">
      <formula1>lstTurma</formula1>
    </dataValidation>
    <dataValidation type="list" allowBlank="1" showInputMessage="1" showErrorMessage="1" sqref="D73">
      <formula1>lstTurma</formula1>
    </dataValidation>
    <dataValidation type="list" allowBlank="1" showInputMessage="1" showErrorMessage="1" sqref="E113">
      <formula1>lstSN</formula1>
    </dataValidation>
    <dataValidation type="list" allowBlank="1" showInputMessage="1" showErrorMessage="1" sqref="E114">
      <formula1>lstAr</formula1>
    </dataValidation>
    <dataValidation type="list" allowBlank="1" showInputMessage="1" showErrorMessage="1" sqref="H114">
      <formula1>lstLigado</formula1>
    </dataValidation>
    <dataValidation type="list" allowBlank="1" showInputMessage="1" showErrorMessage="1" sqref="E115">
      <formula1>lstCond</formula1>
    </dataValidation>
    <dataValidation type="list" allowBlank="1" showInputMessage="1" showErrorMessage="1" sqref="H115">
      <formula1>lstCond</formula1>
    </dataValidation>
    <dataValidation type="list" allowBlank="1" showInputMessage="1" showErrorMessage="1" sqref="E118">
      <formula1>lstSN</formula1>
    </dataValidation>
    <dataValidation type="list" allowBlank="1" showInputMessage="1" showErrorMessage="1" sqref="E119">
      <formula1>lstSN</formula1>
    </dataValidation>
    <dataValidation type="list" allowBlank="1" showInputMessage="1" showErrorMessage="1" sqref="E120">
      <formula1>lstSN</formula1>
    </dataValidation>
    <dataValidation type="list" allowBlank="1" showInputMessage="1" showErrorMessage="1" sqref="E121">
      <formula1>lstTurma</formula1>
    </dataValidation>
  </dataValidations>
  <hyperlinks>
    <hyperlink ref="B8" location="'Preenchimento'!B72" display="▼ Ir para o Turno Noite"/>
    <hyperlink ref="F8" location="'Resumo Dia'!A1" display="▶ Resumo Dia"/>
    <hyperlink ref="H8" location="'Resumo Noite'!A1" display="▶ Resumo Noite"/>
    <hyperlink ref="J8" location="'Resultados gerais'!A1" display="▶ Resultados gerais"/>
    <hyperlink ref="M10" location="'Resumo Dia'!A1" display="▶ Ver Resumo Dia"/>
    <hyperlink ref="M72" location="'Resumo Noite'!A1" display="▶ Ver Resumo Noite"/>
  </hyperlinks>
  <pageMargins left="0.4" right="0.4" top="0.5" bottom="0.5" header="0.3" footer="0.3"/>
  <pageSetup paperSize="9" fitToHeight="0" orientation="portrait"/>
  <rowBreaks count="1" manualBreakCount="1">
    <brk id="71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moDia">
    <tabColor rgb="FF00335A"/>
    <pageSetUpPr fitToPage="1"/>
  </sheetPr>
  <dimension ref="A1:O87"/>
  <sheetViews>
    <sheetView showGridLines="0" workbookViewId="0"/>
  </sheetViews>
  <sheetFormatPr defaultRowHeight="15"/>
  <cols>
    <col min="1" max="1" width="2.7109375" customWidth="1"/>
    <col min="2" max="2" width="23.7109375" customWidth="1"/>
    <col min="3" max="4" width="6.7109375" customWidth="1"/>
    <col min="5" max="10" width="7.7109375" customWidth="1"/>
    <col min="11" max="11" width="9.7109375" customWidth="1"/>
    <col min="12" max="13" width="7.7109375" customWidth="1"/>
    <col min="14" max="14" width="3.7109375" customWidth="1"/>
    <col min="15" max="15" width="28.7109375" customWidth="1"/>
  </cols>
  <sheetData>
    <row r="1" spans="1:15" ht="6" customHeight="1"/>
    <row r="2" spans="1:15" ht="26" customHeight="1">
      <c r="B2" s="1"/>
      <c r="C2" s="1"/>
      <c r="D2" s="2" t="s">
        <v>161</v>
      </c>
      <c r="E2" s="2"/>
      <c r="F2" s="2"/>
      <c r="G2" s="2"/>
      <c r="H2" s="2"/>
      <c r="I2" s="2"/>
      <c r="J2" s="2"/>
      <c r="K2" s="2"/>
      <c r="L2" s="2"/>
      <c r="M2" s="2"/>
    </row>
    <row r="3" spans="1:15" ht="20" customHeight="1">
      <c r="B3" s="1"/>
      <c r="C3" s="1"/>
      <c r="D3" s="3" t="s">
        <v>162</v>
      </c>
      <c r="E3" s="3"/>
      <c r="F3" s="3"/>
      <c r="G3" s="3"/>
      <c r="H3" s="3"/>
      <c r="I3" s="3"/>
      <c r="J3" s="3"/>
      <c r="K3" s="3"/>
      <c r="L3" s="3"/>
      <c r="M3" s="3"/>
    </row>
    <row r="4" spans="1:15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6" customHeight="1"/>
    <row r="6" spans="1:15" ht="22" customHeight="1">
      <c r="B6" s="19">
        <f>IF(pData="","Preencha a DATA na aba Preenchimento",TEXT(DAY(pData),"00")&amp;"/"&amp;TEXT(MONTH(pData),"00")&amp;"/"&amp;YEAR(pData))&amp;"   ·   Turno Dia"&amp;IF(dLetra="","","   ·   Letra "&amp;dLetra)&amp;IF(dTecnico="","","   ·   Técnico: "&amp;dTecnico)</f>
        <v>0</v>
      </c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</row>
    <row r="7" spans="1:15" ht="6" customHeight="1"/>
    <row r="8" spans="1:15" ht="22" customHeight="1">
      <c r="B8" s="13" t="s">
        <v>163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</row>
    <row r="9" spans="1:15" ht="16" customHeight="1">
      <c r="B9" s="20" t="s">
        <v>164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</row>
    <row r="10" spans="1:15" ht="14" customHeight="1">
      <c r="A10" s="21" t="s">
        <v>165</v>
      </c>
      <c r="B10" s="22">
        <f>IF(C10="","","•")</f>
        <v>0</v>
      </c>
      <c r="C10" s="23">
        <f>IF(TRIM('Preenchimento'!$C$14)="","",TRIM('Preenchimento'!$C$14))</f>
        <v>0</v>
      </c>
      <c r="D10" s="23"/>
      <c r="E10" s="23"/>
      <c r="F10" s="23"/>
      <c r="G10" s="23"/>
      <c r="H10" s="23"/>
      <c r="I10" s="23"/>
      <c r="J10" s="23"/>
      <c r="K10" s="23"/>
      <c r="L10" s="23"/>
      <c r="M10" s="23"/>
      <c r="O10" s="10" t="s">
        <v>224</v>
      </c>
    </row>
    <row r="11" spans="1:15" ht="14" customHeight="1">
      <c r="A11" s="21" t="s">
        <v>165</v>
      </c>
      <c r="B11" s="22">
        <f>IF(C11="","","•")</f>
        <v>0</v>
      </c>
      <c r="C11" s="23">
        <f>IF(TRIM('Preenchimento'!$C$15)="","",TRIM('Preenchimento'!$C$15))</f>
        <v>0</v>
      </c>
      <c r="D11" s="23"/>
      <c r="E11" s="23"/>
      <c r="F11" s="23"/>
      <c r="G11" s="23"/>
      <c r="H11" s="23"/>
      <c r="I11" s="23"/>
      <c r="J11" s="23"/>
      <c r="K11" s="23"/>
      <c r="L11" s="23"/>
      <c r="M11" s="23"/>
    </row>
    <row r="12" spans="1:15" ht="14" customHeight="1">
      <c r="A12" s="21" t="s">
        <v>165</v>
      </c>
      <c r="B12" s="22">
        <f>IF(C12="","","•")</f>
        <v>0</v>
      </c>
      <c r="C12" s="23">
        <f>IF(TRIM('Preenchimento'!$C$16)="","",TRIM('Preenchimento'!$C$16))</f>
        <v>0</v>
      </c>
      <c r="D12" s="23"/>
      <c r="E12" s="23"/>
      <c r="F12" s="23"/>
      <c r="G12" s="23"/>
      <c r="H12" s="23"/>
      <c r="I12" s="23"/>
      <c r="J12" s="23"/>
      <c r="K12" s="23"/>
      <c r="L12" s="23"/>
      <c r="M12" s="23"/>
      <c r="O12" s="24" t="s">
        <v>225</v>
      </c>
    </row>
    <row r="13" spans="1:15" ht="14" customHeight="1">
      <c r="A13" s="21" t="s">
        <v>165</v>
      </c>
      <c r="B13" s="22">
        <f>IF(C13="","","•")</f>
        <v>0</v>
      </c>
      <c r="C13" s="23">
        <f>IF(TRIM('Preenchimento'!$C$17)="","",TRIM('Preenchimento'!$C$17))</f>
        <v>0</v>
      </c>
      <c r="D13" s="23"/>
      <c r="E13" s="23"/>
      <c r="F13" s="23"/>
      <c r="G13" s="23"/>
      <c r="H13" s="23"/>
      <c r="I13" s="23"/>
      <c r="J13" s="23"/>
      <c r="K13" s="23"/>
      <c r="L13" s="23"/>
      <c r="M13" s="23"/>
      <c r="O13" s="24"/>
    </row>
    <row r="14" spans="1:15" ht="14" customHeight="1">
      <c r="A14" s="21" t="s">
        <v>165</v>
      </c>
      <c r="B14" s="22">
        <f>IF(C14="","","•")</f>
        <v>0</v>
      </c>
      <c r="C14" s="23">
        <f>IF(TRIM('Preenchimento'!$C$18)="","",TRIM('Preenchimento'!$C$18))</f>
        <v>0</v>
      </c>
      <c r="D14" s="23"/>
      <c r="E14" s="23"/>
      <c r="F14" s="23"/>
      <c r="G14" s="23"/>
      <c r="H14" s="23"/>
      <c r="I14" s="23"/>
      <c r="J14" s="23"/>
      <c r="K14" s="23"/>
      <c r="L14" s="23"/>
      <c r="M14" s="23"/>
      <c r="O14" s="24"/>
    </row>
    <row r="15" spans="1:15" ht="14" customHeight="1">
      <c r="A15" s="21" t="s">
        <v>165</v>
      </c>
      <c r="B15" s="22">
        <f>IF(C15="","","•")</f>
        <v>0</v>
      </c>
      <c r="C15" s="23">
        <f>IF(TRIM('Preenchimento'!$C$19)="","",TRIM('Preenchimento'!$C$19))</f>
        <v>0</v>
      </c>
      <c r="D15" s="23"/>
      <c r="E15" s="23"/>
      <c r="F15" s="23"/>
      <c r="G15" s="23"/>
      <c r="H15" s="23"/>
      <c r="I15" s="23"/>
      <c r="J15" s="23"/>
      <c r="K15" s="23"/>
      <c r="L15" s="23"/>
      <c r="M15" s="23"/>
      <c r="O15" s="24"/>
    </row>
    <row r="16" spans="1:15" ht="14" customHeight="1">
      <c r="A16" s="21" t="s">
        <v>165</v>
      </c>
      <c r="B16" s="22">
        <f>IF(C16="","","•")</f>
        <v>0</v>
      </c>
      <c r="C16" s="23">
        <f>IF(TRIM('Preenchimento'!$C$20)="","",TRIM('Preenchimento'!$C$20))</f>
        <v>0</v>
      </c>
      <c r="D16" s="23"/>
      <c r="E16" s="23"/>
      <c r="F16" s="23"/>
      <c r="G16" s="23"/>
      <c r="H16" s="23"/>
      <c r="I16" s="23"/>
      <c r="J16" s="23"/>
      <c r="K16" s="23"/>
      <c r="L16" s="23"/>
      <c r="M16" s="23"/>
      <c r="O16" s="24"/>
    </row>
    <row r="17" spans="1:15" ht="14" customHeight="1">
      <c r="A17" s="21" t="s">
        <v>165</v>
      </c>
      <c r="B17" s="22">
        <f>IF(C17="","","•")</f>
        <v>0</v>
      </c>
      <c r="C17" s="23">
        <f>IF(TRIM('Preenchimento'!$C$21)="","",TRIM('Preenchimento'!$C$21))</f>
        <v>0</v>
      </c>
      <c r="D17" s="23"/>
      <c r="E17" s="23"/>
      <c r="F17" s="23"/>
      <c r="G17" s="23"/>
      <c r="H17" s="23"/>
      <c r="I17" s="23"/>
      <c r="J17" s="23"/>
      <c r="K17" s="23"/>
      <c r="L17" s="23"/>
      <c r="M17" s="23"/>
      <c r="O17" s="24"/>
    </row>
    <row r="18" spans="1:15" ht="14" customHeight="1">
      <c r="A18" s="21" t="s">
        <v>165</v>
      </c>
      <c r="B18" s="22">
        <f>IF(C18="","","•")</f>
        <v>0</v>
      </c>
      <c r="C18" s="23">
        <f>IF(TRIM('Preenchimento'!$C$22)="","",TRIM('Preenchimento'!$C$22))</f>
        <v>0</v>
      </c>
      <c r="D18" s="23"/>
      <c r="E18" s="23"/>
      <c r="F18" s="23"/>
      <c r="G18" s="23"/>
      <c r="H18" s="23"/>
      <c r="I18" s="23"/>
      <c r="J18" s="23"/>
      <c r="K18" s="23"/>
      <c r="L18" s="23"/>
      <c r="M18" s="23"/>
    </row>
    <row r="19" spans="1:15" ht="14" customHeight="1">
      <c r="A19" s="21" t="s">
        <v>165</v>
      </c>
      <c r="B19" s="22">
        <f>IF(C19="","","•")</f>
        <v>0</v>
      </c>
      <c r="C19" s="23">
        <f>IF(TRIM('Preenchimento'!$C$23)="","",TRIM('Preenchimento'!$C$23))</f>
        <v>0</v>
      </c>
      <c r="D19" s="23"/>
      <c r="E19" s="23"/>
      <c r="F19" s="23"/>
      <c r="G19" s="23"/>
      <c r="H19" s="23"/>
      <c r="I19" s="23"/>
      <c r="J19" s="23"/>
      <c r="K19" s="23"/>
      <c r="L19" s="23"/>
      <c r="M19" s="23"/>
    </row>
    <row r="20" spans="1:15" ht="14" customHeight="1">
      <c r="A20" s="21" t="s">
        <v>165</v>
      </c>
      <c r="B20" s="22">
        <f>IF(C20="","","•")</f>
        <v>0</v>
      </c>
      <c r="C20" s="23">
        <f>IF(TRIM('Preenchimento'!$C$24)="","",TRIM('Preenchimento'!$C$24))</f>
        <v>0</v>
      </c>
      <c r="D20" s="23"/>
      <c r="E20" s="23"/>
      <c r="F20" s="23"/>
      <c r="G20" s="23"/>
      <c r="H20" s="23"/>
      <c r="I20" s="23"/>
      <c r="J20" s="23"/>
      <c r="K20" s="23"/>
      <c r="L20" s="23"/>
      <c r="M20" s="23"/>
    </row>
    <row r="21" spans="1:15" ht="14" customHeight="1">
      <c r="A21" s="21" t="s">
        <v>165</v>
      </c>
      <c r="B21" s="22">
        <f>IF(C21="","","•")</f>
        <v>0</v>
      </c>
      <c r="C21" s="23">
        <f>IF(TRIM('Preenchimento'!$C$25)="","",TRIM('Preenchimento'!$C$25))</f>
        <v>0</v>
      </c>
      <c r="D21" s="23"/>
      <c r="E21" s="23"/>
      <c r="F21" s="23"/>
      <c r="G21" s="23"/>
      <c r="H21" s="23"/>
      <c r="I21" s="23"/>
      <c r="J21" s="23"/>
      <c r="K21" s="23"/>
      <c r="L21" s="23"/>
      <c r="M21" s="23"/>
    </row>
    <row r="22" spans="1:15" ht="14" customHeight="1">
      <c r="A22" s="21" t="s">
        <v>165</v>
      </c>
      <c r="B22" s="22"/>
      <c r="C22" s="25">
        <f>IF(COUNTA('Preenchimento'!$C$14:$C$25)=0,"— nada registrado","")</f>
        <v>0</v>
      </c>
      <c r="D22" s="25"/>
      <c r="E22" s="25"/>
      <c r="F22" s="25"/>
      <c r="G22" s="25"/>
      <c r="H22" s="25"/>
      <c r="I22" s="25"/>
      <c r="J22" s="25"/>
      <c r="K22" s="25"/>
      <c r="L22" s="25"/>
      <c r="M22" s="25"/>
    </row>
    <row r="23" spans="1:15" ht="16" customHeight="1">
      <c r="B23" s="20" t="s">
        <v>166</v>
      </c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</row>
    <row r="24" spans="1:15" ht="14" customHeight="1">
      <c r="A24" s="21" t="s">
        <v>165</v>
      </c>
      <c r="B24" s="22">
        <f>IF(C24="","","•")</f>
        <v>0</v>
      </c>
      <c r="C24" s="23">
        <f>IF(TRIM('Preenchimento'!$C$28)="","",TRIM('Preenchimento'!$C$28))</f>
        <v>0</v>
      </c>
      <c r="D24" s="23"/>
      <c r="E24" s="23"/>
      <c r="F24" s="23"/>
      <c r="G24" s="23"/>
      <c r="H24" s="23"/>
      <c r="I24" s="23"/>
      <c r="J24" s="23"/>
      <c r="K24" s="23"/>
      <c r="L24" s="23"/>
      <c r="M24" s="23"/>
    </row>
    <row r="25" spans="1:15" ht="14" customHeight="1">
      <c r="A25" s="21" t="s">
        <v>165</v>
      </c>
      <c r="B25" s="22">
        <f>IF(C25="","","•")</f>
        <v>0</v>
      </c>
      <c r="C25" s="23">
        <f>IF(TRIM('Preenchimento'!$C$29)="","",TRIM('Preenchimento'!$C$29))</f>
        <v>0</v>
      </c>
      <c r="D25" s="23"/>
      <c r="E25" s="23"/>
      <c r="F25" s="23"/>
      <c r="G25" s="23"/>
      <c r="H25" s="23"/>
      <c r="I25" s="23"/>
      <c r="J25" s="23"/>
      <c r="K25" s="23"/>
      <c r="L25" s="23"/>
      <c r="M25" s="23"/>
    </row>
    <row r="26" spans="1:15" ht="14" customHeight="1">
      <c r="A26" s="21" t="s">
        <v>165</v>
      </c>
      <c r="B26" s="22">
        <f>IF(C26="","","•")</f>
        <v>0</v>
      </c>
      <c r="C26" s="23">
        <f>IF(TRIM('Preenchimento'!$C$30)="","",TRIM('Preenchimento'!$C$30))</f>
        <v>0</v>
      </c>
      <c r="D26" s="23"/>
      <c r="E26" s="23"/>
      <c r="F26" s="23"/>
      <c r="G26" s="23"/>
      <c r="H26" s="23"/>
      <c r="I26" s="23"/>
      <c r="J26" s="23"/>
      <c r="K26" s="23"/>
      <c r="L26" s="23"/>
      <c r="M26" s="23"/>
    </row>
    <row r="27" spans="1:15" ht="14" customHeight="1">
      <c r="A27" s="21" t="s">
        <v>165</v>
      </c>
      <c r="B27" s="22">
        <f>IF(C27="","","•")</f>
        <v>0</v>
      </c>
      <c r="C27" s="23">
        <f>IF(TRIM('Preenchimento'!$C$31)="","",TRIM('Preenchimento'!$C$31))</f>
        <v>0</v>
      </c>
      <c r="D27" s="23"/>
      <c r="E27" s="23"/>
      <c r="F27" s="23"/>
      <c r="G27" s="23"/>
      <c r="H27" s="23"/>
      <c r="I27" s="23"/>
      <c r="J27" s="23"/>
      <c r="K27" s="23"/>
      <c r="L27" s="23"/>
      <c r="M27" s="23"/>
    </row>
    <row r="28" spans="1:15" ht="14" customHeight="1">
      <c r="A28" s="21" t="s">
        <v>165</v>
      </c>
      <c r="B28" s="22"/>
      <c r="C28" s="25">
        <f>IF(COUNTA('Preenchimento'!$C$28:$C$31)=0,"— nada registrado","")</f>
        <v>0</v>
      </c>
      <c r="D28" s="25"/>
      <c r="E28" s="25"/>
      <c r="F28" s="25"/>
      <c r="G28" s="25"/>
      <c r="H28" s="25"/>
      <c r="I28" s="25"/>
      <c r="J28" s="25"/>
      <c r="K28" s="25"/>
      <c r="L28" s="25"/>
      <c r="M28" s="25"/>
    </row>
    <row r="29" spans="1:15" ht="16" customHeight="1">
      <c r="B29" s="20" t="s">
        <v>167</v>
      </c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</row>
    <row r="30" spans="1:15" ht="14" customHeight="1">
      <c r="A30" s="21" t="s">
        <v>165</v>
      </c>
      <c r="B30" s="22">
        <f>IF(C30="","","•")</f>
        <v>0</v>
      </c>
      <c r="C30" s="23">
        <f>IF(TRIM('Preenchimento'!$C$34)="","",TRIM('Preenchimento'!$C$34))</f>
        <v>0</v>
      </c>
      <c r="D30" s="23"/>
      <c r="E30" s="23"/>
      <c r="F30" s="23"/>
      <c r="G30" s="23"/>
      <c r="H30" s="23"/>
      <c r="I30" s="23"/>
      <c r="J30" s="23"/>
      <c r="K30" s="23"/>
      <c r="L30" s="23"/>
      <c r="M30" s="23"/>
    </row>
    <row r="31" spans="1:15" ht="14" customHeight="1">
      <c r="A31" s="21" t="s">
        <v>165</v>
      </c>
      <c r="B31" s="22">
        <f>IF(C31="","","•")</f>
        <v>0</v>
      </c>
      <c r="C31" s="23">
        <f>IF(TRIM('Preenchimento'!$C$35)="","",TRIM('Preenchimento'!$C$35))</f>
        <v>0</v>
      </c>
      <c r="D31" s="23"/>
      <c r="E31" s="23"/>
      <c r="F31" s="23"/>
      <c r="G31" s="23"/>
      <c r="H31" s="23"/>
      <c r="I31" s="23"/>
      <c r="J31" s="23"/>
      <c r="K31" s="23"/>
      <c r="L31" s="23"/>
      <c r="M31" s="23"/>
    </row>
    <row r="32" spans="1:15" ht="14" customHeight="1">
      <c r="A32" s="21" t="s">
        <v>165</v>
      </c>
      <c r="B32" s="22">
        <f>IF(C32="","","•")</f>
        <v>0</v>
      </c>
      <c r="C32" s="23">
        <f>IF(TRIM('Preenchimento'!$C$36)="","",TRIM('Preenchimento'!$C$36))</f>
        <v>0</v>
      </c>
      <c r="D32" s="23"/>
      <c r="E32" s="23"/>
      <c r="F32" s="23"/>
      <c r="G32" s="23"/>
      <c r="H32" s="23"/>
      <c r="I32" s="23"/>
      <c r="J32" s="23"/>
      <c r="K32" s="23"/>
      <c r="L32" s="23"/>
      <c r="M32" s="23"/>
    </row>
    <row r="33" spans="1:13" ht="14" customHeight="1">
      <c r="A33" s="21" t="s">
        <v>165</v>
      </c>
      <c r="B33" s="22">
        <f>IF(C33="","","•")</f>
        <v>0</v>
      </c>
      <c r="C33" s="23">
        <f>IF(TRIM('Preenchimento'!$C$37)="","",TRIM('Preenchimento'!$C$37))</f>
        <v>0</v>
      </c>
      <c r="D33" s="23"/>
      <c r="E33" s="23"/>
      <c r="F33" s="23"/>
      <c r="G33" s="23"/>
      <c r="H33" s="23"/>
      <c r="I33" s="23"/>
      <c r="J33" s="23"/>
      <c r="K33" s="23"/>
      <c r="L33" s="23"/>
      <c r="M33" s="23"/>
    </row>
    <row r="34" spans="1:13" ht="14" customHeight="1">
      <c r="A34" s="21" t="s">
        <v>165</v>
      </c>
      <c r="B34" s="22"/>
      <c r="C34" s="25">
        <f>IF(COUNTA('Preenchimento'!$C$34:$C$37)=0,"— nada registrado","")</f>
        <v>0</v>
      </c>
      <c r="D34" s="25"/>
      <c r="E34" s="25"/>
      <c r="F34" s="25"/>
      <c r="G34" s="25"/>
      <c r="H34" s="25"/>
      <c r="I34" s="25"/>
      <c r="J34" s="25"/>
      <c r="K34" s="25"/>
      <c r="L34" s="25"/>
      <c r="M34" s="25"/>
    </row>
    <row r="35" spans="1:13" ht="16" customHeight="1">
      <c r="B35" s="20" t="s">
        <v>168</v>
      </c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</row>
    <row r="36" spans="1:13" ht="14" customHeight="1">
      <c r="A36" s="21" t="s">
        <v>165</v>
      </c>
      <c r="B36" s="22">
        <f>IF(C36="","","•")</f>
        <v>0</v>
      </c>
      <c r="C36" s="23">
        <f>IF(TRIM('Preenchimento'!$C$40)="","",TRIM('Preenchimento'!$C$40))</f>
        <v>0</v>
      </c>
      <c r="D36" s="23"/>
      <c r="E36" s="23"/>
      <c r="F36" s="23"/>
      <c r="G36" s="23"/>
      <c r="H36" s="23"/>
      <c r="I36" s="23"/>
      <c r="J36" s="23"/>
      <c r="K36" s="23"/>
      <c r="L36" s="23"/>
      <c r="M36" s="23"/>
    </row>
    <row r="37" spans="1:13" ht="14" customHeight="1">
      <c r="A37" s="21" t="s">
        <v>165</v>
      </c>
      <c r="B37" s="22">
        <f>IF(C37="","","•")</f>
        <v>0</v>
      </c>
      <c r="C37" s="23">
        <f>IF(TRIM('Preenchimento'!$C$41)="","",TRIM('Preenchimento'!$C$41))</f>
        <v>0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</row>
    <row r="38" spans="1:13" ht="14" customHeight="1">
      <c r="A38" s="21" t="s">
        <v>165</v>
      </c>
      <c r="B38" s="22">
        <f>IF(C38="","","•")</f>
        <v>0</v>
      </c>
      <c r="C38" s="23">
        <f>IF(TRIM('Preenchimento'!$C$42)="","",TRIM('Preenchimento'!$C$42))</f>
        <v>0</v>
      </c>
      <c r="D38" s="23"/>
      <c r="E38" s="23"/>
      <c r="F38" s="23"/>
      <c r="G38" s="23"/>
      <c r="H38" s="23"/>
      <c r="I38" s="23"/>
      <c r="J38" s="23"/>
      <c r="K38" s="23"/>
      <c r="L38" s="23"/>
      <c r="M38" s="23"/>
    </row>
    <row r="39" spans="1:13" ht="14" customHeight="1">
      <c r="A39" s="21" t="s">
        <v>165</v>
      </c>
      <c r="B39" s="22">
        <f>IF(C39="","","•")</f>
        <v>0</v>
      </c>
      <c r="C39" s="23">
        <f>IF(TRIM('Preenchimento'!$C$43)="","",TRIM('Preenchimento'!$C$43))</f>
        <v>0</v>
      </c>
      <c r="D39" s="23"/>
      <c r="E39" s="23"/>
      <c r="F39" s="23"/>
      <c r="G39" s="23"/>
      <c r="H39" s="23"/>
      <c r="I39" s="23"/>
      <c r="J39" s="23"/>
      <c r="K39" s="23"/>
      <c r="L39" s="23"/>
      <c r="M39" s="23"/>
    </row>
    <row r="40" spans="1:13" ht="14" customHeight="1">
      <c r="A40" s="21" t="s">
        <v>165</v>
      </c>
      <c r="B40" s="22">
        <f>IF(C40="","","•")</f>
        <v>0</v>
      </c>
      <c r="C40" s="23">
        <f>IF(TRIM('Preenchimento'!$C$44)="","",TRIM('Preenchimento'!$C$44))</f>
        <v>0</v>
      </c>
      <c r="D40" s="23"/>
      <c r="E40" s="23"/>
      <c r="F40" s="23"/>
      <c r="G40" s="23"/>
      <c r="H40" s="23"/>
      <c r="I40" s="23"/>
      <c r="J40" s="23"/>
      <c r="K40" s="23"/>
      <c r="L40" s="23"/>
      <c r="M40" s="23"/>
    </row>
    <row r="41" spans="1:13" ht="14" customHeight="1">
      <c r="A41" s="21" t="s">
        <v>165</v>
      </c>
      <c r="B41" s="22">
        <f>IF(C41="","","•")</f>
        <v>0</v>
      </c>
      <c r="C41" s="23">
        <f>IF(TRIM('Preenchimento'!$C$45)="","",TRIM('Preenchimento'!$C$45))</f>
        <v>0</v>
      </c>
      <c r="D41" s="23"/>
      <c r="E41" s="23"/>
      <c r="F41" s="23"/>
      <c r="G41" s="23"/>
      <c r="H41" s="23"/>
      <c r="I41" s="23"/>
      <c r="J41" s="23"/>
      <c r="K41" s="23"/>
      <c r="L41" s="23"/>
      <c r="M41" s="23"/>
    </row>
    <row r="42" spans="1:13" ht="14" customHeight="1">
      <c r="A42" s="21" t="s">
        <v>165</v>
      </c>
      <c r="B42" s="22">
        <f>IF(C42="","","•")</f>
        <v>0</v>
      </c>
      <c r="C42" s="23">
        <f>IF(TRIM('Preenchimento'!$C$46)="","",TRIM('Preenchimento'!$C$46))</f>
        <v>0</v>
      </c>
      <c r="D42" s="23"/>
      <c r="E42" s="23"/>
      <c r="F42" s="23"/>
      <c r="G42" s="23"/>
      <c r="H42" s="23"/>
      <c r="I42" s="23"/>
      <c r="J42" s="23"/>
      <c r="K42" s="23"/>
      <c r="L42" s="23"/>
      <c r="M42" s="23"/>
    </row>
    <row r="43" spans="1:13" ht="14" customHeight="1">
      <c r="A43" s="21" t="s">
        <v>165</v>
      </c>
      <c r="B43" s="22">
        <f>IF(C43="","","•")</f>
        <v>0</v>
      </c>
      <c r="C43" s="23">
        <f>IF(TRIM('Preenchimento'!$C$47)="","",TRIM('Preenchimento'!$C$47))</f>
        <v>0</v>
      </c>
      <c r="D43" s="23"/>
      <c r="E43" s="23"/>
      <c r="F43" s="23"/>
      <c r="G43" s="23"/>
      <c r="H43" s="23"/>
      <c r="I43" s="23"/>
      <c r="J43" s="23"/>
      <c r="K43" s="23"/>
      <c r="L43" s="23"/>
      <c r="M43" s="23"/>
    </row>
    <row r="44" spans="1:13" ht="14" customHeight="1">
      <c r="A44" s="21" t="s">
        <v>165</v>
      </c>
      <c r="B44" s="22"/>
      <c r="C44" s="25">
        <f>IF(COUNTA('Preenchimento'!$C$40:$C$47)=0,"— nada registrado","")</f>
        <v>0</v>
      </c>
      <c r="D44" s="25"/>
      <c r="E44" s="25"/>
      <c r="F44" s="25"/>
      <c r="G44" s="25"/>
      <c r="H44" s="25"/>
      <c r="I44" s="25"/>
      <c r="J44" s="25"/>
      <c r="K44" s="25"/>
      <c r="L44" s="25"/>
      <c r="M44" s="25"/>
    </row>
    <row r="45" spans="1:13" ht="30" customHeight="1">
      <c r="B45" s="26" t="s">
        <v>169</v>
      </c>
      <c r="C45" s="27">
        <f>IF(dProg="","","Em uso: "&amp;dProg&amp;CHAR(10))&amp;"Padrões preparados: "&amp;IF(dPadroes="","-",dPadroes)&amp;IF(dPadroesQuais="",""," ("&amp;dPadroesQuais&amp;")")&amp;"   ·   "&amp;"Sistema de ar: "&amp;IF(dAr="","-",dAr)&amp;IF(dArStatus="",""," - "&amp;dArStatus)&amp;IF(dCompressor="","","   ·   "&amp;"Compressor: "&amp;dCompressor)&amp;IF(dNitrogenio="","","   ·   "&amp;"Nitrogênio: "&amp;dNitrogenio)</f>
        <v>0</v>
      </c>
      <c r="D45" s="27"/>
      <c r="E45" s="27"/>
      <c r="F45" s="27"/>
      <c r="G45" s="27"/>
      <c r="H45" s="27"/>
      <c r="I45" s="27"/>
      <c r="J45" s="27"/>
      <c r="K45" s="27"/>
      <c r="L45" s="27"/>
      <c r="M45" s="27"/>
    </row>
    <row r="46" spans="1:13" ht="16" customHeight="1">
      <c r="B46" s="26" t="s">
        <v>170</v>
      </c>
      <c r="C46" s="27">
        <f>"Ausência: "&amp;IF(dAus="","-",dAus)&amp;IF(dAusQuem="",""," ("&amp;dAusQuem&amp;")")&amp;"   ·   "&amp;"Troca combinada: "&amp;IF(dTroca="","-",dTroca)&amp;IF(dTrocaQuem="",""," ("&amp;dTrocaQuem&amp;")")&amp;"   ·   "&amp;"Hora extra: "&amp;IF(dHE="","-",dHE)&amp;IF(dHEQuem="",""," ("&amp;dHEQuem&amp;")")&amp;IF(dRecebe="","","   ·   "&amp;"Letra que recebe: "&amp;dRecebe)</f>
        <v>0</v>
      </c>
      <c r="D46" s="27"/>
      <c r="E46" s="27"/>
      <c r="F46" s="27"/>
      <c r="G46" s="27"/>
      <c r="H46" s="27"/>
      <c r="I46" s="27"/>
      <c r="J46" s="27"/>
      <c r="K46" s="27"/>
      <c r="L46" s="27"/>
      <c r="M46" s="27"/>
    </row>
    <row r="47" spans="1:13" ht="16" customHeight="1">
      <c r="B47" s="26" t="s">
        <v>171</v>
      </c>
      <c r="C47" s="27">
        <f>"Repassados: "&amp;IF(dCadinhos="","-",dCadinhos)&amp;"   ·   "&amp;"Retirados para reforma: "&amp;IF(dReforma="","-",dReforma)</f>
        <v>0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</row>
    <row r="48" spans="1:13" ht="40" customHeight="1">
      <c r="B48" s="26" t="s">
        <v>154</v>
      </c>
      <c r="C48" s="27">
        <f>IF(dH2Carvao&amp;dH2Coque&amp;dCoque04&amp;dObs="","-",TRIM(IF(dH2Carvao="","","Hidrogênio no carvão: "&amp;dH2Carvao&amp;"     ")&amp;IF(dH2Coque="","","Hidrogênio no coque: "&amp;dH2Coque&amp;"     ")&amp;IF(dCoque04="","","Coque Planta 04: "&amp;dCoque04))&amp;IF(AND(dH2Carvao&amp;dH2Coque&amp;dCoque04&lt;&gt;"",dObs&lt;&gt;""),CHAR(10),"")&amp;dObs)</f>
        <v>0</v>
      </c>
      <c r="D48" s="27"/>
      <c r="E48" s="27"/>
      <c r="F48" s="27"/>
      <c r="G48" s="27"/>
      <c r="H48" s="27"/>
      <c r="I48" s="27"/>
      <c r="J48" s="27"/>
      <c r="K48" s="27"/>
      <c r="L48" s="27"/>
      <c r="M48" s="27"/>
    </row>
    <row r="49" spans="1:13" ht="8" customHeight="1"/>
    <row r="50" spans="1:13" ht="22" customHeight="1">
      <c r="B50" s="13" t="s">
        <v>172</v>
      </c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</row>
    <row r="51" spans="1:13">
      <c r="B51" s="28" t="s">
        <v>173</v>
      </c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</row>
    <row r="52" spans="1:13" ht="26" customHeight="1">
      <c r="B52" s="29" t="s">
        <v>174</v>
      </c>
      <c r="C52" s="29" t="s">
        <v>175</v>
      </c>
      <c r="D52" s="29" t="s">
        <v>176</v>
      </c>
      <c r="E52" s="29" t="s">
        <v>177</v>
      </c>
      <c r="F52" s="29" t="s">
        <v>178</v>
      </c>
      <c r="G52" s="29" t="s">
        <v>179</v>
      </c>
      <c r="H52" s="29" t="s">
        <v>180</v>
      </c>
      <c r="I52" s="29" t="s">
        <v>181</v>
      </c>
      <c r="J52" s="29" t="s">
        <v>182</v>
      </c>
      <c r="K52" s="29" t="s">
        <v>183</v>
      </c>
      <c r="L52" s="29" t="s">
        <v>184</v>
      </c>
      <c r="M52" s="29" t="s">
        <v>185</v>
      </c>
    </row>
    <row r="53" spans="1:13">
      <c r="A53" s="21" t="s">
        <v>186</v>
      </c>
      <c r="B53" s="30" t="s">
        <v>33</v>
      </c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</row>
    <row r="54" spans="1:13" ht="14" customHeight="1">
      <c r="A54" s="21" t="s">
        <v>187</v>
      </c>
      <c r="B54" s="31" t="s">
        <v>34</v>
      </c>
      <c r="C54" s="32" t="s">
        <v>35</v>
      </c>
      <c r="D54" s="33" t="s">
        <v>188</v>
      </c>
      <c r="E54" s="34"/>
      <c r="F54" s="34"/>
      <c r="G54" s="34"/>
      <c r="H54" s="34"/>
      <c r="I54" s="34"/>
      <c r="J54" s="34"/>
      <c r="K54" s="35">
        <f>IF(COUNT(E54:J54)=0,"",AVERAGE(E54:J54))</f>
        <v>0</v>
      </c>
      <c r="L54" s="36">
        <f>IF(COUNT(E54:J54)=0,"",MIN(E54:J54))</f>
        <v>0</v>
      </c>
      <c r="M54" s="36">
        <f>IF(COUNT(E54:J54)=0,"",MAX(E54:J54))</f>
        <v>0</v>
      </c>
    </row>
    <row r="55" spans="1:13" ht="14" customHeight="1">
      <c r="A55" s="21" t="s">
        <v>189</v>
      </c>
      <c r="B55" s="37" t="s">
        <v>38</v>
      </c>
      <c r="C55" s="38" t="s">
        <v>35</v>
      </c>
      <c r="D55" s="39" t="s">
        <v>188</v>
      </c>
      <c r="E55" s="40"/>
      <c r="F55" s="40"/>
      <c r="G55" s="40"/>
      <c r="H55" s="40"/>
      <c r="I55" s="40"/>
      <c r="J55" s="40"/>
      <c r="K55" s="35">
        <f>IF(COUNT(E55:J55)=0,"",AVERAGE(E55:J55))</f>
        <v>0</v>
      </c>
      <c r="L55" s="41">
        <f>IF(COUNT(E55:J55)=0,"",MIN(E55:J55))</f>
        <v>0</v>
      </c>
      <c r="M55" s="41">
        <f>IF(COUNT(E55:J55)=0,"",MAX(E55:J55))</f>
        <v>0</v>
      </c>
    </row>
    <row r="56" spans="1:13" ht="14" customHeight="1">
      <c r="A56" s="21" t="s">
        <v>190</v>
      </c>
      <c r="B56" s="31" t="s">
        <v>40</v>
      </c>
      <c r="C56" s="32" t="s">
        <v>35</v>
      </c>
      <c r="D56" s="33" t="s">
        <v>188</v>
      </c>
      <c r="E56" s="34"/>
      <c r="F56" s="34"/>
      <c r="G56" s="34"/>
      <c r="H56" s="34"/>
      <c r="I56" s="34"/>
      <c r="J56" s="34"/>
      <c r="K56" s="35">
        <f>IF(COUNT(E56:J56)=0,"",AVERAGE(E56:J56))</f>
        <v>0</v>
      </c>
      <c r="L56" s="36">
        <f>IF(COUNT(E56:J56)=0,"",MIN(E56:J56))</f>
        <v>0</v>
      </c>
      <c r="M56" s="36">
        <f>IF(COUNT(E56:J56)=0,"",MAX(E56:J56))</f>
        <v>0</v>
      </c>
    </row>
    <row r="57" spans="1:13" ht="14" customHeight="1">
      <c r="A57" s="21" t="s">
        <v>191</v>
      </c>
      <c r="B57" s="37" t="s">
        <v>41</v>
      </c>
      <c r="C57" s="38" t="s">
        <v>35</v>
      </c>
      <c r="D57" s="39" t="s">
        <v>188</v>
      </c>
      <c r="E57" s="40"/>
      <c r="F57" s="40"/>
      <c r="G57" s="40"/>
      <c r="H57" s="40"/>
      <c r="I57" s="40"/>
      <c r="J57" s="40"/>
      <c r="K57" s="35">
        <f>IF(COUNT(E57:J57)=0,"",AVERAGE(E57:J57))</f>
        <v>0</v>
      </c>
      <c r="L57" s="41">
        <f>IF(COUNT(E57:J57)=0,"",MIN(E57:J57))</f>
        <v>0</v>
      </c>
      <c r="M57" s="41">
        <f>IF(COUNT(E57:J57)=0,"",MAX(E57:J57))</f>
        <v>0</v>
      </c>
    </row>
    <row r="58" spans="1:13" ht="14" customHeight="1">
      <c r="A58" s="21" t="s">
        <v>192</v>
      </c>
      <c r="B58" s="31" t="s">
        <v>43</v>
      </c>
      <c r="C58" s="32" t="s">
        <v>35</v>
      </c>
      <c r="D58" s="33" t="s">
        <v>188</v>
      </c>
      <c r="E58" s="34"/>
      <c r="F58" s="34"/>
      <c r="G58" s="34"/>
      <c r="H58" s="34"/>
      <c r="I58" s="34"/>
      <c r="J58" s="34"/>
      <c r="K58" s="35">
        <f>IF(COUNT(E58:J58)=0,"",AVERAGE(E58:J58))</f>
        <v>0</v>
      </c>
      <c r="L58" s="36">
        <f>IF(COUNT(E58:J58)=0,"",MIN(E58:J58))</f>
        <v>0</v>
      </c>
      <c r="M58" s="36">
        <f>IF(COUNT(E58:J58)=0,"",MAX(E58:J58))</f>
        <v>0</v>
      </c>
    </row>
    <row r="59" spans="1:13" ht="14" customHeight="1">
      <c r="A59" s="21" t="s">
        <v>193</v>
      </c>
      <c r="B59" s="37" t="s">
        <v>44</v>
      </c>
      <c r="C59" s="38" t="s">
        <v>35</v>
      </c>
      <c r="D59" s="39" t="s">
        <v>188</v>
      </c>
      <c r="E59" s="42"/>
      <c r="F59" s="42"/>
      <c r="G59" s="42"/>
      <c r="H59" s="42"/>
      <c r="I59" s="42"/>
      <c r="J59" s="42"/>
      <c r="K59" s="43">
        <f>IF(COUNT(E59:J59)=0,"",AVERAGE(E59:J59))</f>
        <v>0</v>
      </c>
      <c r="L59" s="44">
        <f>IF(COUNT(E59:J59)=0,"",MIN(E59:J59))</f>
        <v>0</v>
      </c>
      <c r="M59" s="44">
        <f>IF(COUNT(E59:J59)=0,"",MAX(E59:J59))</f>
        <v>0</v>
      </c>
    </row>
    <row r="60" spans="1:13" ht="14" customHeight="1">
      <c r="A60" s="21" t="s">
        <v>194</v>
      </c>
      <c r="B60" s="31" t="s">
        <v>45</v>
      </c>
      <c r="C60" s="32" t="s">
        <v>35</v>
      </c>
      <c r="D60" s="33" t="s">
        <v>188</v>
      </c>
      <c r="E60" s="45"/>
      <c r="F60" s="45"/>
      <c r="G60" s="45"/>
      <c r="H60" s="45"/>
      <c r="I60" s="45"/>
      <c r="J60" s="45"/>
      <c r="K60" s="43">
        <f>IF(COUNT(E60:J60)=0,"",AVERAGE(E60:J60))</f>
        <v>0</v>
      </c>
      <c r="L60" s="46">
        <f>IF(COUNT(E60:J60)=0,"",MIN(E60:J60))</f>
        <v>0</v>
      </c>
      <c r="M60" s="46">
        <f>IF(COUNT(E60:J60)=0,"",MAX(E60:J60))</f>
        <v>0</v>
      </c>
    </row>
    <row r="61" spans="1:13" ht="14" customHeight="1">
      <c r="A61" s="21" t="s">
        <v>195</v>
      </c>
      <c r="B61" s="37" t="s">
        <v>46</v>
      </c>
      <c r="C61" s="38" t="s">
        <v>35</v>
      </c>
      <c r="D61" s="39" t="s">
        <v>188</v>
      </c>
      <c r="E61" s="42"/>
      <c r="F61" s="42"/>
      <c r="G61" s="42"/>
      <c r="H61" s="42"/>
      <c r="I61" s="42"/>
      <c r="J61" s="42"/>
      <c r="K61" s="43">
        <f>IF(COUNT(E61:J61)=0,"",AVERAGE(E61:J61))</f>
        <v>0</v>
      </c>
      <c r="L61" s="44">
        <f>IF(COUNT(E61:J61)=0,"",MIN(E61:J61))</f>
        <v>0</v>
      </c>
      <c r="M61" s="44">
        <f>IF(COUNT(E61:J61)=0,"",MAX(E61:J61))</f>
        <v>0</v>
      </c>
    </row>
    <row r="62" spans="1:13" ht="14" customHeight="1">
      <c r="A62" s="21" t="s">
        <v>196</v>
      </c>
      <c r="B62" s="31" t="s">
        <v>47</v>
      </c>
      <c r="C62" s="32" t="s">
        <v>35</v>
      </c>
      <c r="D62" s="33" t="s">
        <v>188</v>
      </c>
      <c r="E62" s="34"/>
      <c r="F62" s="34"/>
      <c r="G62" s="34"/>
      <c r="H62" s="34"/>
      <c r="I62" s="34"/>
      <c r="J62" s="34"/>
      <c r="K62" s="35">
        <f>IF(COUNT(E62:J62)=0,"",AVERAGE(E62:J62))</f>
        <v>0</v>
      </c>
      <c r="L62" s="36">
        <f>IF(COUNT(E62:J62)=0,"",MIN(E62:J62))</f>
        <v>0</v>
      </c>
      <c r="M62" s="36">
        <f>IF(COUNT(E62:J62)=0,"",MAX(E62:J62))</f>
        <v>0</v>
      </c>
    </row>
    <row r="63" spans="1:13" ht="14" customHeight="1">
      <c r="A63" s="21" t="s">
        <v>197</v>
      </c>
      <c r="B63" s="37" t="s">
        <v>49</v>
      </c>
      <c r="C63" s="38" t="s">
        <v>50</v>
      </c>
      <c r="D63" s="39" t="s">
        <v>188</v>
      </c>
      <c r="E63" s="40"/>
      <c r="F63" s="40"/>
      <c r="G63" s="40"/>
      <c r="H63" s="40"/>
      <c r="I63" s="40"/>
      <c r="J63" s="40"/>
      <c r="K63" s="35">
        <f>IF(COUNT(E63:J63)=0,"",AVERAGE(E63:J63))</f>
        <v>0</v>
      </c>
      <c r="L63" s="41">
        <f>IF(COUNT(E63:J63)=0,"",MIN(E63:J63))</f>
        <v>0</v>
      </c>
      <c r="M63" s="41">
        <f>IF(COUNT(E63:J63)=0,"",MAX(E63:J63))</f>
        <v>0</v>
      </c>
    </row>
    <row r="64" spans="1:13">
      <c r="A64" s="21" t="s">
        <v>198</v>
      </c>
      <c r="B64" s="30" t="s">
        <v>51</v>
      </c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</row>
    <row r="65" spans="1:13" ht="14" customHeight="1">
      <c r="A65" s="21" t="s">
        <v>199</v>
      </c>
      <c r="B65" s="31" t="s">
        <v>34</v>
      </c>
      <c r="C65" s="32" t="s">
        <v>35</v>
      </c>
      <c r="D65" s="33" t="s">
        <v>200</v>
      </c>
      <c r="E65" s="34"/>
      <c r="F65" s="34"/>
      <c r="G65" s="34"/>
      <c r="H65" s="34"/>
      <c r="I65" s="34"/>
      <c r="J65" s="34"/>
      <c r="K65" s="35">
        <f>IF(COUNT(E65:J65)=0,"",AVERAGE(E65:J65))</f>
        <v>0</v>
      </c>
      <c r="L65" s="36">
        <f>IF(COUNT(E65:J65)=0,"",MIN(E65:J65))</f>
        <v>0</v>
      </c>
      <c r="M65" s="36">
        <f>IF(COUNT(E65:J65)=0,"",MAX(E65:J65))</f>
        <v>0</v>
      </c>
    </row>
    <row r="66" spans="1:13" ht="14" customHeight="1">
      <c r="A66" s="21" t="s">
        <v>201</v>
      </c>
      <c r="B66" s="31"/>
      <c r="C66" s="32"/>
      <c r="D66" s="47" t="s">
        <v>202</v>
      </c>
      <c r="E66" s="34"/>
      <c r="F66" s="34"/>
      <c r="G66" s="34"/>
      <c r="H66" s="34"/>
      <c r="I66" s="34"/>
      <c r="J66" s="34"/>
      <c r="K66" s="35">
        <f>IF(COUNT(E66:J66)=0,"",AVERAGE(E66:J66))</f>
        <v>0</v>
      </c>
      <c r="L66" s="36">
        <f>IF(COUNT(E66:J66)=0,"",MIN(E66:J66))</f>
        <v>0</v>
      </c>
      <c r="M66" s="36">
        <f>IF(COUNT(E66:J66)=0,"",MAX(E66:J66))</f>
        <v>0</v>
      </c>
    </row>
    <row r="67" spans="1:13" ht="14" customHeight="1">
      <c r="A67" s="21" t="s">
        <v>203</v>
      </c>
      <c r="B67" s="37" t="s">
        <v>38</v>
      </c>
      <c r="C67" s="38" t="s">
        <v>35</v>
      </c>
      <c r="D67" s="39" t="s">
        <v>200</v>
      </c>
      <c r="E67" s="40"/>
      <c r="F67" s="40"/>
      <c r="G67" s="40"/>
      <c r="H67" s="40"/>
      <c r="I67" s="40"/>
      <c r="J67" s="40"/>
      <c r="K67" s="35">
        <f>IF(COUNT(E67:J67)=0,"",AVERAGE(E67:J67))</f>
        <v>0</v>
      </c>
      <c r="L67" s="41">
        <f>IF(COUNT(E67:J67)=0,"",MIN(E67:J67))</f>
        <v>0</v>
      </c>
      <c r="M67" s="41">
        <f>IF(COUNT(E67:J67)=0,"",MAX(E67:J67))</f>
        <v>0</v>
      </c>
    </row>
    <row r="68" spans="1:13" ht="14" customHeight="1">
      <c r="A68" s="21" t="s">
        <v>204</v>
      </c>
      <c r="B68" s="37"/>
      <c r="C68" s="38"/>
      <c r="D68" s="48" t="s">
        <v>202</v>
      </c>
      <c r="E68" s="40"/>
      <c r="F68" s="40"/>
      <c r="G68" s="40"/>
      <c r="H68" s="40"/>
      <c r="I68" s="40"/>
      <c r="J68" s="40"/>
      <c r="K68" s="35">
        <f>IF(COUNT(E68:J68)=0,"",AVERAGE(E68:J68))</f>
        <v>0</v>
      </c>
      <c r="L68" s="41">
        <f>IF(COUNT(E68:J68)=0,"",MIN(E68:J68))</f>
        <v>0</v>
      </c>
      <c r="M68" s="41">
        <f>IF(COUNT(E68:J68)=0,"",MAX(E68:J68))</f>
        <v>0</v>
      </c>
    </row>
    <row r="69" spans="1:13" ht="14" customHeight="1">
      <c r="A69" s="21" t="s">
        <v>205</v>
      </c>
      <c r="B69" s="31" t="s">
        <v>40</v>
      </c>
      <c r="C69" s="32" t="s">
        <v>35</v>
      </c>
      <c r="D69" s="33" t="s">
        <v>200</v>
      </c>
      <c r="E69" s="34"/>
      <c r="F69" s="34"/>
      <c r="G69" s="34"/>
      <c r="H69" s="34"/>
      <c r="I69" s="34"/>
      <c r="J69" s="34"/>
      <c r="K69" s="35">
        <f>IF(COUNT(E69:J69)=0,"",AVERAGE(E69:J69))</f>
        <v>0</v>
      </c>
      <c r="L69" s="36">
        <f>IF(COUNT(E69:J69)=0,"",MIN(E69:J69))</f>
        <v>0</v>
      </c>
      <c r="M69" s="36">
        <f>IF(COUNT(E69:J69)=0,"",MAX(E69:J69))</f>
        <v>0</v>
      </c>
    </row>
    <row r="70" spans="1:13" ht="14" customHeight="1">
      <c r="A70" s="21" t="s">
        <v>206</v>
      </c>
      <c r="B70" s="31"/>
      <c r="C70" s="32"/>
      <c r="D70" s="47" t="s">
        <v>202</v>
      </c>
      <c r="E70" s="34"/>
      <c r="F70" s="34"/>
      <c r="G70" s="34"/>
      <c r="H70" s="34"/>
      <c r="I70" s="34"/>
      <c r="J70" s="34"/>
      <c r="K70" s="35">
        <f>IF(COUNT(E70:J70)=0,"",AVERAGE(E70:J70))</f>
        <v>0</v>
      </c>
      <c r="L70" s="36">
        <f>IF(COUNT(E70:J70)=0,"",MIN(E70:J70))</f>
        <v>0</v>
      </c>
      <c r="M70" s="36">
        <f>IF(COUNT(E70:J70)=0,"",MAX(E70:J70))</f>
        <v>0</v>
      </c>
    </row>
    <row r="71" spans="1:13" ht="14" customHeight="1">
      <c r="A71" s="21" t="s">
        <v>207</v>
      </c>
      <c r="B71" s="37" t="s">
        <v>41</v>
      </c>
      <c r="C71" s="38" t="s">
        <v>35</v>
      </c>
      <c r="D71" s="39" t="s">
        <v>200</v>
      </c>
      <c r="E71" s="40"/>
      <c r="F71" s="40"/>
      <c r="G71" s="40"/>
      <c r="H71" s="40"/>
      <c r="I71" s="40"/>
      <c r="J71" s="40"/>
      <c r="K71" s="35">
        <f>IF(COUNT(E71:J71)=0,"",AVERAGE(E71:J71))</f>
        <v>0</v>
      </c>
      <c r="L71" s="41">
        <f>IF(COUNT(E71:J71)=0,"",MIN(E71:J71))</f>
        <v>0</v>
      </c>
      <c r="M71" s="41">
        <f>IF(COUNT(E71:J71)=0,"",MAX(E71:J71))</f>
        <v>0</v>
      </c>
    </row>
    <row r="72" spans="1:13" ht="14" customHeight="1">
      <c r="A72" s="21" t="s">
        <v>208</v>
      </c>
      <c r="B72" s="37"/>
      <c r="C72" s="38"/>
      <c r="D72" s="48" t="s">
        <v>202</v>
      </c>
      <c r="E72" s="40"/>
      <c r="F72" s="40"/>
      <c r="G72" s="40"/>
      <c r="H72" s="40"/>
      <c r="I72" s="40"/>
      <c r="J72" s="40"/>
      <c r="K72" s="35">
        <f>IF(COUNT(E72:J72)=0,"",AVERAGE(E72:J72))</f>
        <v>0</v>
      </c>
      <c r="L72" s="41">
        <f>IF(COUNT(E72:J72)=0,"",MIN(E72:J72))</f>
        <v>0</v>
      </c>
      <c r="M72" s="41">
        <f>IF(COUNT(E72:J72)=0,"",MAX(E72:J72))</f>
        <v>0</v>
      </c>
    </row>
    <row r="73" spans="1:13" ht="14" customHeight="1">
      <c r="A73" s="21" t="s">
        <v>209</v>
      </c>
      <c r="B73" s="31" t="s">
        <v>43</v>
      </c>
      <c r="C73" s="32" t="s">
        <v>35</v>
      </c>
      <c r="D73" s="33" t="s">
        <v>200</v>
      </c>
      <c r="E73" s="34"/>
      <c r="F73" s="34"/>
      <c r="G73" s="34"/>
      <c r="H73" s="34"/>
      <c r="I73" s="34"/>
      <c r="J73" s="34"/>
      <c r="K73" s="35">
        <f>IF(COUNT(E73:J73)=0,"",AVERAGE(E73:J73))</f>
        <v>0</v>
      </c>
      <c r="L73" s="36">
        <f>IF(COUNT(E73:J73)=0,"",MIN(E73:J73))</f>
        <v>0</v>
      </c>
      <c r="M73" s="36">
        <f>IF(COUNT(E73:J73)=0,"",MAX(E73:J73))</f>
        <v>0</v>
      </c>
    </row>
    <row r="74" spans="1:13" ht="14" customHeight="1">
      <c r="A74" s="21" t="s">
        <v>210</v>
      </c>
      <c r="B74" s="31"/>
      <c r="C74" s="32"/>
      <c r="D74" s="47" t="s">
        <v>202</v>
      </c>
      <c r="E74" s="34"/>
      <c r="F74" s="34"/>
      <c r="G74" s="34"/>
      <c r="H74" s="34"/>
      <c r="I74" s="34"/>
      <c r="J74" s="34"/>
      <c r="K74" s="35">
        <f>IF(COUNT(E74:J74)=0,"",AVERAGE(E74:J74))</f>
        <v>0</v>
      </c>
      <c r="L74" s="36">
        <f>IF(COUNT(E74:J74)=0,"",MIN(E74:J74))</f>
        <v>0</v>
      </c>
      <c r="M74" s="36">
        <f>IF(COUNT(E74:J74)=0,"",MAX(E74:J74))</f>
        <v>0</v>
      </c>
    </row>
    <row r="75" spans="1:13" ht="14" customHeight="1">
      <c r="A75" s="21" t="s">
        <v>211</v>
      </c>
      <c r="B75" s="37" t="s">
        <v>56</v>
      </c>
      <c r="C75" s="38" t="s">
        <v>50</v>
      </c>
      <c r="D75" s="39" t="s">
        <v>200</v>
      </c>
      <c r="E75" s="40"/>
      <c r="F75" s="40"/>
      <c r="G75" s="40"/>
      <c r="H75" s="40"/>
      <c r="I75" s="40"/>
      <c r="J75" s="40"/>
      <c r="K75" s="35">
        <f>IF(COUNT(E75:J75)=0,"",AVERAGE(E75:J75))</f>
        <v>0</v>
      </c>
      <c r="L75" s="41">
        <f>IF(COUNT(E75:J75)=0,"",MIN(E75:J75))</f>
        <v>0</v>
      </c>
      <c r="M75" s="41">
        <f>IF(COUNT(E75:J75)=0,"",MAX(E75:J75))</f>
        <v>0</v>
      </c>
    </row>
    <row r="76" spans="1:13" ht="14" customHeight="1">
      <c r="A76" s="21" t="s">
        <v>212</v>
      </c>
      <c r="B76" s="37"/>
      <c r="C76" s="38"/>
      <c r="D76" s="48" t="s">
        <v>202</v>
      </c>
      <c r="E76" s="40"/>
      <c r="F76" s="40"/>
      <c r="G76" s="40"/>
      <c r="H76" s="40"/>
      <c r="I76" s="40"/>
      <c r="J76" s="40"/>
      <c r="K76" s="35">
        <f>IF(COUNT(E76:J76)=0,"",AVERAGE(E76:J76))</f>
        <v>0</v>
      </c>
      <c r="L76" s="41">
        <f>IF(COUNT(E76:J76)=0,"",MIN(E76:J76))</f>
        <v>0</v>
      </c>
      <c r="M76" s="41">
        <f>IF(COUNT(E76:J76)=0,"",MAX(E76:J76))</f>
        <v>0</v>
      </c>
    </row>
    <row r="77" spans="1:13" ht="14" customHeight="1">
      <c r="A77" s="21" t="s">
        <v>213</v>
      </c>
      <c r="B77" s="31" t="s">
        <v>59</v>
      </c>
      <c r="C77" s="32" t="s">
        <v>60</v>
      </c>
      <c r="D77" s="33" t="s">
        <v>200</v>
      </c>
      <c r="E77" s="49"/>
      <c r="F77" s="49"/>
      <c r="G77" s="49"/>
      <c r="H77" s="49"/>
      <c r="I77" s="49"/>
      <c r="J77" s="49"/>
      <c r="K77" s="50">
        <f>IF(COUNT(E77:J77)=0,"",AVERAGE(E77:J77))</f>
        <v>0</v>
      </c>
      <c r="L77" s="51">
        <f>IF(COUNT(E77:J77)=0,"",MIN(E77:J77))</f>
        <v>0</v>
      </c>
      <c r="M77" s="51">
        <f>IF(COUNT(E77:J77)=0,"",MAX(E77:J77))</f>
        <v>0</v>
      </c>
    </row>
    <row r="78" spans="1:13" ht="14" customHeight="1">
      <c r="A78" s="21" t="s">
        <v>214</v>
      </c>
      <c r="B78" s="31"/>
      <c r="C78" s="32"/>
      <c r="D78" s="47" t="s">
        <v>202</v>
      </c>
      <c r="E78" s="49"/>
      <c r="F78" s="49"/>
      <c r="G78" s="49"/>
      <c r="H78" s="49"/>
      <c r="I78" s="49"/>
      <c r="J78" s="49"/>
      <c r="K78" s="50">
        <f>IF(COUNT(E78:J78)=0,"",AVERAGE(E78:J78))</f>
        <v>0</v>
      </c>
      <c r="L78" s="51">
        <f>IF(COUNT(E78:J78)=0,"",MIN(E78:J78))</f>
        <v>0</v>
      </c>
      <c r="M78" s="51">
        <f>IF(COUNT(E78:J78)=0,"",MAX(E78:J78))</f>
        <v>0</v>
      </c>
    </row>
    <row r="79" spans="1:13" ht="14" customHeight="1">
      <c r="A79" s="21" t="s">
        <v>215</v>
      </c>
      <c r="B79" s="37" t="s">
        <v>63</v>
      </c>
      <c r="C79" s="38" t="s">
        <v>35</v>
      </c>
      <c r="D79" s="39" t="s">
        <v>200</v>
      </c>
      <c r="E79" s="40"/>
      <c r="F79" s="40"/>
      <c r="G79" s="40"/>
      <c r="H79" s="40"/>
      <c r="I79" s="40"/>
      <c r="J79" s="40"/>
      <c r="K79" s="35">
        <f>IF(COUNT(E79:J79)=0,"",AVERAGE(E79:J79))</f>
        <v>0</v>
      </c>
      <c r="L79" s="41">
        <f>IF(COUNT(E79:J79)=0,"",MIN(E79:J79))</f>
        <v>0</v>
      </c>
      <c r="M79" s="41">
        <f>IF(COUNT(E79:J79)=0,"",MAX(E79:J79))</f>
        <v>0</v>
      </c>
    </row>
    <row r="80" spans="1:13" ht="14" customHeight="1">
      <c r="A80" s="21" t="s">
        <v>216</v>
      </c>
      <c r="B80" s="37"/>
      <c r="C80" s="38"/>
      <c r="D80" s="48" t="s">
        <v>202</v>
      </c>
      <c r="E80" s="40"/>
      <c r="F80" s="40"/>
      <c r="G80" s="40"/>
      <c r="H80" s="40"/>
      <c r="I80" s="40"/>
      <c r="J80" s="40"/>
      <c r="K80" s="35">
        <f>IF(COUNT(E80:J80)=0,"",AVERAGE(E80:J80))</f>
        <v>0</v>
      </c>
      <c r="L80" s="41">
        <f>IF(COUNT(E80:J80)=0,"",MIN(E80:J80))</f>
        <v>0</v>
      </c>
      <c r="M80" s="41">
        <f>IF(COUNT(E80:J80)=0,"",MAX(E80:J80))</f>
        <v>0</v>
      </c>
    </row>
    <row r="81" spans="1:13" ht="14" customHeight="1">
      <c r="A81" s="21" t="s">
        <v>217</v>
      </c>
      <c r="B81" s="31" t="s">
        <v>44</v>
      </c>
      <c r="C81" s="32" t="s">
        <v>35</v>
      </c>
      <c r="D81" s="33" t="s">
        <v>200</v>
      </c>
      <c r="E81" s="45"/>
      <c r="F81" s="45"/>
      <c r="G81" s="45"/>
      <c r="H81" s="45"/>
      <c r="I81" s="45"/>
      <c r="J81" s="45"/>
      <c r="K81" s="43">
        <f>IF(COUNT(E81:J81)=0,"",AVERAGE(E81:J81))</f>
        <v>0</v>
      </c>
      <c r="L81" s="46">
        <f>IF(COUNT(E81:J81)=0,"",MIN(E81:J81))</f>
        <v>0</v>
      </c>
      <c r="M81" s="46">
        <f>IF(COUNT(E81:J81)=0,"",MAX(E81:J81))</f>
        <v>0</v>
      </c>
    </row>
    <row r="82" spans="1:13" ht="14" customHeight="1">
      <c r="A82" s="21" t="s">
        <v>218</v>
      </c>
      <c r="B82" s="31"/>
      <c r="C82" s="32"/>
      <c r="D82" s="47" t="s">
        <v>202</v>
      </c>
      <c r="E82" s="45"/>
      <c r="F82" s="45"/>
      <c r="G82" s="45"/>
      <c r="H82" s="45"/>
      <c r="I82" s="45"/>
      <c r="J82" s="45"/>
      <c r="K82" s="43">
        <f>IF(COUNT(E82:J82)=0,"",AVERAGE(E82:J82))</f>
        <v>0</v>
      </c>
      <c r="L82" s="46">
        <f>IF(COUNT(E82:J82)=0,"",MIN(E82:J82))</f>
        <v>0</v>
      </c>
      <c r="M82" s="46">
        <f>IF(COUNT(E82:J82)=0,"",MAX(E82:J82))</f>
        <v>0</v>
      </c>
    </row>
    <row r="83" spans="1:13" ht="14" customHeight="1">
      <c r="A83" s="21" t="s">
        <v>219</v>
      </c>
      <c r="B83" s="37" t="s">
        <v>45</v>
      </c>
      <c r="C83" s="38" t="s">
        <v>35</v>
      </c>
      <c r="D83" s="39" t="s">
        <v>200</v>
      </c>
      <c r="E83" s="42"/>
      <c r="F83" s="42"/>
      <c r="G83" s="42"/>
      <c r="H83" s="42"/>
      <c r="I83" s="42"/>
      <c r="J83" s="42"/>
      <c r="K83" s="43">
        <f>IF(COUNT(E83:J83)=0,"",AVERAGE(E83:J83))</f>
        <v>0</v>
      </c>
      <c r="L83" s="44">
        <f>IF(COUNT(E83:J83)=0,"",MIN(E83:J83))</f>
        <v>0</v>
      </c>
      <c r="M83" s="44">
        <f>IF(COUNT(E83:J83)=0,"",MAX(E83:J83))</f>
        <v>0</v>
      </c>
    </row>
    <row r="84" spans="1:13" ht="14" customHeight="1">
      <c r="A84" s="21" t="s">
        <v>220</v>
      </c>
      <c r="B84" s="37"/>
      <c r="C84" s="38"/>
      <c r="D84" s="48" t="s">
        <v>202</v>
      </c>
      <c r="E84" s="42"/>
      <c r="F84" s="42"/>
      <c r="G84" s="42"/>
      <c r="H84" s="42"/>
      <c r="I84" s="42"/>
      <c r="J84" s="42"/>
      <c r="K84" s="43">
        <f>IF(COUNT(E84:J84)=0,"",AVERAGE(E84:J84))</f>
        <v>0</v>
      </c>
      <c r="L84" s="44">
        <f>IF(COUNT(E84:J84)=0,"",MIN(E84:J84))</f>
        <v>0</v>
      </c>
      <c r="M84" s="44">
        <f>IF(COUNT(E84:J84)=0,"",MAX(E84:J84))</f>
        <v>0</v>
      </c>
    </row>
    <row r="85" spans="1:13" ht="14" customHeight="1">
      <c r="A85" s="21" t="s">
        <v>221</v>
      </c>
      <c r="B85" s="31" t="s">
        <v>46</v>
      </c>
      <c r="C85" s="32" t="s">
        <v>35</v>
      </c>
      <c r="D85" s="33" t="s">
        <v>200</v>
      </c>
      <c r="E85" s="45"/>
      <c r="F85" s="45"/>
      <c r="G85" s="45"/>
      <c r="H85" s="45"/>
      <c r="I85" s="45"/>
      <c r="J85" s="45"/>
      <c r="K85" s="43">
        <f>IF(COUNT(E85:J85)=0,"",AVERAGE(E85:J85))</f>
        <v>0</v>
      </c>
      <c r="L85" s="46">
        <f>IF(COUNT(E85:J85)=0,"",MIN(E85:J85))</f>
        <v>0</v>
      </c>
      <c r="M85" s="46">
        <f>IF(COUNT(E85:J85)=0,"",MAX(E85:J85))</f>
        <v>0</v>
      </c>
    </row>
    <row r="86" spans="1:13" ht="14" customHeight="1">
      <c r="A86" s="21" t="s">
        <v>222</v>
      </c>
      <c r="B86" s="31"/>
      <c r="C86" s="32"/>
      <c r="D86" s="47" t="s">
        <v>202</v>
      </c>
      <c r="E86" s="45"/>
      <c r="F86" s="45"/>
      <c r="G86" s="45"/>
      <c r="H86" s="45"/>
      <c r="I86" s="45"/>
      <c r="J86" s="45"/>
      <c r="K86" s="43">
        <f>IF(COUNT(E86:J86)=0,"",AVERAGE(E86:J86))</f>
        <v>0</v>
      </c>
      <c r="L86" s="46">
        <f>IF(COUNT(E86:J86)=0,"",MIN(E86:J86))</f>
        <v>0</v>
      </c>
      <c r="M86" s="46">
        <f>IF(COUNT(E86:J86)=0,"",MAX(E86:J86))</f>
        <v>0</v>
      </c>
    </row>
    <row r="87" spans="1:13" ht="16" customHeight="1">
      <c r="B87" s="52" t="s">
        <v>223</v>
      </c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</row>
  </sheetData>
  <sheetProtection sheet="1" objects="1" scenarios="1" formatColumns="0" formatRows="0"/>
  <mergeCells count="72">
    <mergeCell ref="D2:M2"/>
    <mergeCell ref="D3:M3"/>
    <mergeCell ref="B6:M6"/>
    <mergeCell ref="B8:M8"/>
    <mergeCell ref="B9:M9"/>
    <mergeCell ref="C10:M10"/>
    <mergeCell ref="C11:M11"/>
    <mergeCell ref="C12:M12"/>
    <mergeCell ref="C13:M13"/>
    <mergeCell ref="C14:M14"/>
    <mergeCell ref="C15:M15"/>
    <mergeCell ref="C16:M16"/>
    <mergeCell ref="C17:M17"/>
    <mergeCell ref="C18:M18"/>
    <mergeCell ref="C19:M19"/>
    <mergeCell ref="C20:M20"/>
    <mergeCell ref="C21:M21"/>
    <mergeCell ref="C22:M22"/>
    <mergeCell ref="B23:M23"/>
    <mergeCell ref="C24:M24"/>
    <mergeCell ref="C25:M25"/>
    <mergeCell ref="C26:M26"/>
    <mergeCell ref="C27:M27"/>
    <mergeCell ref="C28:M28"/>
    <mergeCell ref="B29:M29"/>
    <mergeCell ref="C30:M30"/>
    <mergeCell ref="C31:M31"/>
    <mergeCell ref="C32:M32"/>
    <mergeCell ref="C33:M33"/>
    <mergeCell ref="C34:M34"/>
    <mergeCell ref="B35:M35"/>
    <mergeCell ref="C36:M36"/>
    <mergeCell ref="C37:M37"/>
    <mergeCell ref="C38:M38"/>
    <mergeCell ref="C39:M39"/>
    <mergeCell ref="C40:M40"/>
    <mergeCell ref="C41:M41"/>
    <mergeCell ref="C42:M42"/>
    <mergeCell ref="C43:M43"/>
    <mergeCell ref="C44:M44"/>
    <mergeCell ref="C45:M45"/>
    <mergeCell ref="C46:M46"/>
    <mergeCell ref="C47:M47"/>
    <mergeCell ref="C48:M48"/>
    <mergeCell ref="B50:M50"/>
    <mergeCell ref="B51:M51"/>
    <mergeCell ref="B53:M53"/>
    <mergeCell ref="B64:M64"/>
    <mergeCell ref="B65:B66"/>
    <mergeCell ref="C65:C66"/>
    <mergeCell ref="B67:B68"/>
    <mergeCell ref="C67:C68"/>
    <mergeCell ref="B69:B70"/>
    <mergeCell ref="C69:C70"/>
    <mergeCell ref="B71:B72"/>
    <mergeCell ref="C71:C72"/>
    <mergeCell ref="B73:B74"/>
    <mergeCell ref="C73:C74"/>
    <mergeCell ref="B75:B76"/>
    <mergeCell ref="C75:C76"/>
    <mergeCell ref="B77:B78"/>
    <mergeCell ref="C77:C78"/>
    <mergeCell ref="B79:B80"/>
    <mergeCell ref="C79:C80"/>
    <mergeCell ref="B81:B82"/>
    <mergeCell ref="C81:C82"/>
    <mergeCell ref="B83:B84"/>
    <mergeCell ref="C83:C84"/>
    <mergeCell ref="B85:B86"/>
    <mergeCell ref="C85:C86"/>
    <mergeCell ref="B87:M87"/>
    <mergeCell ref="O12:O17"/>
  </mergeCells>
  <conditionalFormatting sqref="E54:K54">
    <cfRule type="expression" dxfId="1" priority="1">
      <formula>AND(ISNUMBER(E54),OR(AND(ISNUMBER('Configurações'!$K$18),E54&lt;'Configurações'!$K$18),AND(ISNUMBER('Configurações'!$L$18),E54&gt;'Configurações'!$L$18)))</formula>
    </cfRule>
  </conditionalFormatting>
  <conditionalFormatting sqref="E55:K55">
    <cfRule type="expression" dxfId="1" priority="2">
      <formula>AND(ISNUMBER(E55),OR(AND(ISNUMBER('Configurações'!$K$19),E55&lt;'Configurações'!$K$19),AND(ISNUMBER('Configurações'!$L$19),E55&gt;'Configurações'!$L$19)))</formula>
    </cfRule>
  </conditionalFormatting>
  <conditionalFormatting sqref="E56:K56">
    <cfRule type="expression" dxfId="1" priority="3">
      <formula>AND(ISNUMBER(E56),OR(AND(ISNUMBER('Configurações'!$K$20),E56&lt;'Configurações'!$K$20),AND(ISNUMBER('Configurações'!$L$20),E56&gt;'Configurações'!$L$20)))</formula>
    </cfRule>
  </conditionalFormatting>
  <conditionalFormatting sqref="E57:K57">
    <cfRule type="expression" dxfId="1" priority="4">
      <formula>AND(ISNUMBER(E57),OR(AND(ISNUMBER('Configurações'!$K$21),E57&lt;'Configurações'!$K$21),AND(ISNUMBER('Configurações'!$L$21),E57&gt;'Configurações'!$L$21)))</formula>
    </cfRule>
  </conditionalFormatting>
  <conditionalFormatting sqref="E58:K58">
    <cfRule type="expression" dxfId="1" priority="5">
      <formula>AND(ISNUMBER(E58),OR(AND(ISNUMBER('Configurações'!$K$22),E58&lt;'Configurações'!$K$22),AND(ISNUMBER('Configurações'!$L$22),E58&gt;'Configurações'!$L$22)))</formula>
    </cfRule>
  </conditionalFormatting>
  <conditionalFormatting sqref="E59:K59">
    <cfRule type="expression" dxfId="1" priority="6">
      <formula>AND(ISNUMBER(E59),OR(AND(ISNUMBER('Configurações'!$K$23),E59&lt;'Configurações'!$K$23),AND(ISNUMBER('Configurações'!$L$23),E59&gt;'Configurações'!$L$23)))</formula>
    </cfRule>
  </conditionalFormatting>
  <conditionalFormatting sqref="E60:K60">
    <cfRule type="expression" dxfId="1" priority="7">
      <formula>AND(ISNUMBER(E60),OR(AND(ISNUMBER('Configurações'!$K$24),E60&lt;'Configurações'!$K$24),AND(ISNUMBER('Configurações'!$L$24),E60&gt;'Configurações'!$L$24)))</formula>
    </cfRule>
  </conditionalFormatting>
  <conditionalFormatting sqref="E61:K61">
    <cfRule type="expression" dxfId="1" priority="8">
      <formula>AND(ISNUMBER(E61),OR(AND(ISNUMBER('Configurações'!$K$25),E61&lt;'Configurações'!$K$25),AND(ISNUMBER('Configurações'!$L$25),E61&gt;'Configurações'!$L$25)))</formula>
    </cfRule>
  </conditionalFormatting>
  <conditionalFormatting sqref="E62:K62">
    <cfRule type="expression" dxfId="1" priority="9">
      <formula>AND(ISNUMBER(E62),OR(AND(ISNUMBER('Configurações'!$K$26),E62&lt;'Configurações'!$K$26),AND(ISNUMBER('Configurações'!$L$26),E62&gt;'Configurações'!$L$26)))</formula>
    </cfRule>
  </conditionalFormatting>
  <conditionalFormatting sqref="E63:K63">
    <cfRule type="expression" dxfId="1" priority="10">
      <formula>AND(ISNUMBER(E63),OR(AND(ISNUMBER('Configurações'!$K$27),E63&lt;'Configurações'!$K$27),AND(ISNUMBER('Configurações'!$L$27),E63&gt;'Configurações'!$L$27)))</formula>
    </cfRule>
  </conditionalFormatting>
  <conditionalFormatting sqref="E65:K65">
    <cfRule type="expression" dxfId="1" priority="11">
      <formula>AND(ISNUMBER(E65),OR(AND(ISNUMBER('Configurações'!$K$28),E65&lt;'Configurações'!$K$28),AND(ISNUMBER('Configurações'!$L$28),E65&gt;'Configurações'!$L$28)))</formula>
    </cfRule>
  </conditionalFormatting>
  <conditionalFormatting sqref="E66:K66">
    <cfRule type="expression" dxfId="1" priority="12">
      <formula>AND(ISNUMBER(E66),OR(AND(ISNUMBER('Configurações'!$K$28),E66&lt;'Configurações'!$K$28),AND(ISNUMBER('Configurações'!$L$28),E66&gt;'Configurações'!$L$28)))</formula>
    </cfRule>
  </conditionalFormatting>
  <conditionalFormatting sqref="E67:K67">
    <cfRule type="expression" dxfId="1" priority="13">
      <formula>AND(ISNUMBER(E67),OR(AND(ISNUMBER('Configurações'!$K$29),E67&lt;'Configurações'!$K$29),AND(ISNUMBER('Configurações'!$L$29),E67&gt;'Configurações'!$L$29)))</formula>
    </cfRule>
  </conditionalFormatting>
  <conditionalFormatting sqref="E68:K68">
    <cfRule type="expression" dxfId="1" priority="14">
      <formula>AND(ISNUMBER(E68),OR(AND(ISNUMBER('Configurações'!$K$29),E68&lt;'Configurações'!$K$29),AND(ISNUMBER('Configurações'!$L$29),E68&gt;'Configurações'!$L$29)))</formula>
    </cfRule>
  </conditionalFormatting>
  <conditionalFormatting sqref="E69:K69">
    <cfRule type="expression" dxfId="1" priority="15">
      <formula>AND(ISNUMBER(E69),OR(AND(ISNUMBER('Configurações'!$K$30),E69&lt;'Configurações'!$K$30),AND(ISNUMBER('Configurações'!$L$30),E69&gt;'Configurações'!$L$30)))</formula>
    </cfRule>
  </conditionalFormatting>
  <conditionalFormatting sqref="E70:K70">
    <cfRule type="expression" dxfId="1" priority="16">
      <formula>AND(ISNUMBER(E70),OR(AND(ISNUMBER('Configurações'!$K$30),E70&lt;'Configurações'!$K$30),AND(ISNUMBER('Configurações'!$L$30),E70&gt;'Configurações'!$L$30)))</formula>
    </cfRule>
  </conditionalFormatting>
  <conditionalFormatting sqref="E71:K71">
    <cfRule type="expression" dxfId="1" priority="17">
      <formula>AND(ISNUMBER(E71),OR(AND(ISNUMBER('Configurações'!$K$31),E71&lt;'Configurações'!$K$31),AND(ISNUMBER('Configurações'!$L$31),E71&gt;'Configurações'!$L$31)))</formula>
    </cfRule>
  </conditionalFormatting>
  <conditionalFormatting sqref="E72:K72">
    <cfRule type="expression" dxfId="1" priority="18">
      <formula>AND(ISNUMBER(E72),OR(AND(ISNUMBER('Configurações'!$K$31),E72&lt;'Configurações'!$K$31),AND(ISNUMBER('Configurações'!$L$31),E72&gt;'Configurações'!$L$31)))</formula>
    </cfRule>
  </conditionalFormatting>
  <conditionalFormatting sqref="E73:K73">
    <cfRule type="expression" dxfId="1" priority="19">
      <formula>AND(ISNUMBER(E73),OR(AND(ISNUMBER('Configurações'!$K$32),E73&lt;'Configurações'!$K$32),AND(ISNUMBER('Configurações'!$L$32),E73&gt;'Configurações'!$L$32)))</formula>
    </cfRule>
  </conditionalFormatting>
  <conditionalFormatting sqref="E74:K74">
    <cfRule type="expression" dxfId="1" priority="20">
      <formula>AND(ISNUMBER(E74),OR(AND(ISNUMBER('Configurações'!$K$32),E74&lt;'Configurações'!$K$32),AND(ISNUMBER('Configurações'!$L$32),E74&gt;'Configurações'!$L$32)))</formula>
    </cfRule>
  </conditionalFormatting>
  <conditionalFormatting sqref="E75:K75">
    <cfRule type="expression" dxfId="1" priority="21">
      <formula>AND(ISNUMBER(E75),OR(AND(ISNUMBER('Configurações'!$K$33),E75&lt;'Configurações'!$K$33),AND(ISNUMBER('Configurações'!$L$33),E75&gt;'Configurações'!$L$33)))</formula>
    </cfRule>
  </conditionalFormatting>
  <conditionalFormatting sqref="E76:K76">
    <cfRule type="expression" dxfId="1" priority="22">
      <formula>AND(ISNUMBER(E76),OR(AND(ISNUMBER('Configurações'!$K$33),E76&lt;'Configurações'!$K$33),AND(ISNUMBER('Configurações'!$L$33),E76&gt;'Configurações'!$L$33)))</formula>
    </cfRule>
  </conditionalFormatting>
  <conditionalFormatting sqref="E77:K77">
    <cfRule type="expression" dxfId="1" priority="23">
      <formula>AND(ISNUMBER(E77),OR(AND(ISNUMBER('Configurações'!$K$34),E77&lt;'Configurações'!$K$34),AND(ISNUMBER('Configurações'!$L$34),E77&gt;'Configurações'!$L$34)))</formula>
    </cfRule>
  </conditionalFormatting>
  <conditionalFormatting sqref="E78:K78">
    <cfRule type="expression" dxfId="1" priority="24">
      <formula>AND(ISNUMBER(E78),OR(AND(ISNUMBER('Configurações'!$K$34),E78&lt;'Configurações'!$K$34),AND(ISNUMBER('Configurações'!$L$34),E78&gt;'Configurações'!$L$34)))</formula>
    </cfRule>
  </conditionalFormatting>
  <conditionalFormatting sqref="E79:K79">
    <cfRule type="expression" dxfId="1" priority="25">
      <formula>AND(ISNUMBER(E79),OR(AND(ISNUMBER('Configurações'!$K$35),E79&lt;'Configurações'!$K$35),AND(ISNUMBER('Configurações'!$L$35),E79&gt;'Configurações'!$L$35)))</formula>
    </cfRule>
  </conditionalFormatting>
  <conditionalFormatting sqref="E80:K80">
    <cfRule type="expression" dxfId="1" priority="26">
      <formula>AND(ISNUMBER(E80),OR(AND(ISNUMBER('Configurações'!$K$35),E80&lt;'Configurações'!$K$35),AND(ISNUMBER('Configurações'!$L$35),E80&gt;'Configurações'!$L$35)))</formula>
    </cfRule>
  </conditionalFormatting>
  <conditionalFormatting sqref="E81:K81">
    <cfRule type="expression" dxfId="1" priority="27">
      <formula>AND(ISNUMBER(E81),OR(AND(ISNUMBER('Configurações'!$K$36),E81&lt;'Configurações'!$K$36),AND(ISNUMBER('Configurações'!$L$36),E81&gt;'Configurações'!$L$36)))</formula>
    </cfRule>
  </conditionalFormatting>
  <conditionalFormatting sqref="E82:K82">
    <cfRule type="expression" dxfId="1" priority="28">
      <formula>AND(ISNUMBER(E82),OR(AND(ISNUMBER('Configurações'!$K$36),E82&lt;'Configurações'!$K$36),AND(ISNUMBER('Configurações'!$L$36),E82&gt;'Configurações'!$L$36)))</formula>
    </cfRule>
  </conditionalFormatting>
  <conditionalFormatting sqref="E83:K83">
    <cfRule type="expression" dxfId="1" priority="29">
      <formula>AND(ISNUMBER(E83),OR(AND(ISNUMBER('Configurações'!$K$37),E83&lt;'Configurações'!$K$37),AND(ISNUMBER('Configurações'!$L$37),E83&gt;'Configurações'!$L$37)))</formula>
    </cfRule>
  </conditionalFormatting>
  <conditionalFormatting sqref="E84:K84">
    <cfRule type="expression" dxfId="1" priority="30">
      <formula>AND(ISNUMBER(E84),OR(AND(ISNUMBER('Configurações'!$K$37),E84&lt;'Configurações'!$K$37),AND(ISNUMBER('Configurações'!$L$37),E84&gt;'Configurações'!$L$37)))</formula>
    </cfRule>
  </conditionalFormatting>
  <conditionalFormatting sqref="E85:K85">
    <cfRule type="expression" dxfId="1" priority="31">
      <formula>AND(ISNUMBER(E85),OR(AND(ISNUMBER('Configurações'!$K$38),E85&lt;'Configurações'!$K$38),AND(ISNUMBER('Configurações'!$L$38),E85&gt;'Configurações'!$L$38)))</formula>
    </cfRule>
  </conditionalFormatting>
  <conditionalFormatting sqref="E86:K86">
    <cfRule type="expression" dxfId="1" priority="32">
      <formula>AND(ISNUMBER(E86),OR(AND(ISNUMBER('Configurações'!$K$38),E86&lt;'Configurações'!$K$38),AND(ISNUMBER('Configurações'!$L$38),E86&gt;'Configurações'!$L$38)))</formula>
    </cfRule>
  </conditionalFormatting>
  <hyperlinks>
    <hyperlink ref="O10" location="'Preenchimento'!B10" display="◀ Voltar ao preenchimento"/>
  </hyperlinks>
  <printOptions horizontalCentered="1"/>
  <pageMargins left="0.35" right="0.35" top="0.45" bottom="0.45" header="0.3" footer="0.3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sumoNoite">
    <tabColor rgb="FF00335A"/>
    <pageSetUpPr fitToPage="1"/>
  </sheetPr>
  <dimension ref="A1:O87"/>
  <sheetViews>
    <sheetView showGridLines="0" workbookViewId="0"/>
  </sheetViews>
  <sheetFormatPr defaultRowHeight="15"/>
  <cols>
    <col min="1" max="1" width="2.7109375" customWidth="1"/>
    <col min="2" max="2" width="23.7109375" customWidth="1"/>
    <col min="3" max="4" width="6.7109375" customWidth="1"/>
    <col min="5" max="10" width="7.7109375" customWidth="1"/>
    <col min="11" max="11" width="9.7109375" customWidth="1"/>
    <col min="12" max="13" width="7.7109375" customWidth="1"/>
    <col min="14" max="14" width="3.7109375" customWidth="1"/>
    <col min="15" max="15" width="28.7109375" customWidth="1"/>
  </cols>
  <sheetData>
    <row r="1" spans="1:15" ht="6" customHeight="1"/>
    <row r="2" spans="1:15" ht="26" customHeight="1">
      <c r="B2" s="1"/>
      <c r="C2" s="1"/>
      <c r="D2" s="2" t="s">
        <v>161</v>
      </c>
      <c r="E2" s="2"/>
      <c r="F2" s="2"/>
      <c r="G2" s="2"/>
      <c r="H2" s="2"/>
      <c r="I2" s="2"/>
      <c r="J2" s="2"/>
      <c r="K2" s="2"/>
      <c r="L2" s="2"/>
      <c r="M2" s="2"/>
    </row>
    <row r="3" spans="1:15" ht="20" customHeight="1">
      <c r="B3" s="1"/>
      <c r="C3" s="1"/>
      <c r="D3" s="3" t="s">
        <v>226</v>
      </c>
      <c r="E3" s="3"/>
      <c r="F3" s="3"/>
      <c r="G3" s="3"/>
      <c r="H3" s="3"/>
      <c r="I3" s="3"/>
      <c r="J3" s="3"/>
      <c r="K3" s="3"/>
      <c r="L3" s="3"/>
      <c r="M3" s="3"/>
    </row>
    <row r="4" spans="1:15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6" customHeight="1"/>
    <row r="6" spans="1:15" ht="22" customHeight="1">
      <c r="B6" s="19">
        <f>IF(pData="","Preencha a DATA na aba Preenchimento",TEXT(DAY(pData),"00")&amp;"/"&amp;TEXT(MONTH(pData),"00")&amp;"/"&amp;YEAR(pData))&amp;"   ·   Turno Noite"&amp;IF(nLetra="","","   ·   Letra "&amp;nLetra)&amp;IF(nTecnico="","","   ·   Técnico: "&amp;nTecnico)</f>
        <v>0</v>
      </c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</row>
    <row r="7" spans="1:15" ht="6" customHeight="1"/>
    <row r="8" spans="1:15" ht="22" customHeight="1">
      <c r="B8" s="13" t="s">
        <v>163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</row>
    <row r="9" spans="1:15" ht="16" customHeight="1">
      <c r="B9" s="20" t="s">
        <v>164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</row>
    <row r="10" spans="1:15" ht="14" customHeight="1">
      <c r="A10" s="21" t="s">
        <v>165</v>
      </c>
      <c r="B10" s="22">
        <f>IF(C10="","","•")</f>
        <v>0</v>
      </c>
      <c r="C10" s="23">
        <f>IF(TRIM('Preenchimento'!$C$76)="","",TRIM('Preenchimento'!$C$76))</f>
        <v>0</v>
      </c>
      <c r="D10" s="23"/>
      <c r="E10" s="23"/>
      <c r="F10" s="23"/>
      <c r="G10" s="23"/>
      <c r="H10" s="23"/>
      <c r="I10" s="23"/>
      <c r="J10" s="23"/>
      <c r="K10" s="23"/>
      <c r="L10" s="23"/>
      <c r="M10" s="23"/>
      <c r="O10" s="10" t="s">
        <v>224</v>
      </c>
    </row>
    <row r="11" spans="1:15" ht="14" customHeight="1">
      <c r="A11" s="21" t="s">
        <v>165</v>
      </c>
      <c r="B11" s="22">
        <f>IF(C11="","","•")</f>
        <v>0</v>
      </c>
      <c r="C11" s="23">
        <f>IF(TRIM('Preenchimento'!$C$77)="","",TRIM('Preenchimento'!$C$77))</f>
        <v>0</v>
      </c>
      <c r="D11" s="23"/>
      <c r="E11" s="23"/>
      <c r="F11" s="23"/>
      <c r="G11" s="23"/>
      <c r="H11" s="23"/>
      <c r="I11" s="23"/>
      <c r="J11" s="23"/>
      <c r="K11" s="23"/>
      <c r="L11" s="23"/>
      <c r="M11" s="23"/>
    </row>
    <row r="12" spans="1:15" ht="14" customHeight="1">
      <c r="A12" s="21" t="s">
        <v>165</v>
      </c>
      <c r="B12" s="22">
        <f>IF(C12="","","•")</f>
        <v>0</v>
      </c>
      <c r="C12" s="23">
        <f>IF(TRIM('Preenchimento'!$C$78)="","",TRIM('Preenchimento'!$C$78))</f>
        <v>0</v>
      </c>
      <c r="D12" s="23"/>
      <c r="E12" s="23"/>
      <c r="F12" s="23"/>
      <c r="G12" s="23"/>
      <c r="H12" s="23"/>
      <c r="I12" s="23"/>
      <c r="J12" s="23"/>
      <c r="K12" s="23"/>
      <c r="L12" s="23"/>
      <c r="M12" s="23"/>
      <c r="O12" s="24" t="s">
        <v>233</v>
      </c>
    </row>
    <row r="13" spans="1:15" ht="14" customHeight="1">
      <c r="A13" s="21" t="s">
        <v>165</v>
      </c>
      <c r="B13" s="22">
        <f>IF(C13="","","•")</f>
        <v>0</v>
      </c>
      <c r="C13" s="23">
        <f>IF(TRIM('Preenchimento'!$C$79)="","",TRIM('Preenchimento'!$C$79))</f>
        <v>0</v>
      </c>
      <c r="D13" s="23"/>
      <c r="E13" s="23"/>
      <c r="F13" s="23"/>
      <c r="G13" s="23"/>
      <c r="H13" s="23"/>
      <c r="I13" s="23"/>
      <c r="J13" s="23"/>
      <c r="K13" s="23"/>
      <c r="L13" s="23"/>
      <c r="M13" s="23"/>
      <c r="O13" s="24"/>
    </row>
    <row r="14" spans="1:15" ht="14" customHeight="1">
      <c r="A14" s="21" t="s">
        <v>165</v>
      </c>
      <c r="B14" s="22">
        <f>IF(C14="","","•")</f>
        <v>0</v>
      </c>
      <c r="C14" s="23">
        <f>IF(TRIM('Preenchimento'!$C$80)="","",TRIM('Preenchimento'!$C$80))</f>
        <v>0</v>
      </c>
      <c r="D14" s="23"/>
      <c r="E14" s="23"/>
      <c r="F14" s="23"/>
      <c r="G14" s="23"/>
      <c r="H14" s="23"/>
      <c r="I14" s="23"/>
      <c r="J14" s="23"/>
      <c r="K14" s="23"/>
      <c r="L14" s="23"/>
      <c r="M14" s="23"/>
      <c r="O14" s="24"/>
    </row>
    <row r="15" spans="1:15" ht="14" customHeight="1">
      <c r="A15" s="21" t="s">
        <v>165</v>
      </c>
      <c r="B15" s="22">
        <f>IF(C15="","","•")</f>
        <v>0</v>
      </c>
      <c r="C15" s="23">
        <f>IF(TRIM('Preenchimento'!$C$81)="","",TRIM('Preenchimento'!$C$81))</f>
        <v>0</v>
      </c>
      <c r="D15" s="23"/>
      <c r="E15" s="23"/>
      <c r="F15" s="23"/>
      <c r="G15" s="23"/>
      <c r="H15" s="23"/>
      <c r="I15" s="23"/>
      <c r="J15" s="23"/>
      <c r="K15" s="23"/>
      <c r="L15" s="23"/>
      <c r="M15" s="23"/>
      <c r="O15" s="24"/>
    </row>
    <row r="16" spans="1:15" ht="14" customHeight="1">
      <c r="A16" s="21" t="s">
        <v>165</v>
      </c>
      <c r="B16" s="22">
        <f>IF(C16="","","•")</f>
        <v>0</v>
      </c>
      <c r="C16" s="23">
        <f>IF(TRIM('Preenchimento'!$C$82)="","",TRIM('Preenchimento'!$C$82))</f>
        <v>0</v>
      </c>
      <c r="D16" s="23"/>
      <c r="E16" s="23"/>
      <c r="F16" s="23"/>
      <c r="G16" s="23"/>
      <c r="H16" s="23"/>
      <c r="I16" s="23"/>
      <c r="J16" s="23"/>
      <c r="K16" s="23"/>
      <c r="L16" s="23"/>
      <c r="M16" s="23"/>
      <c r="O16" s="24"/>
    </row>
    <row r="17" spans="1:15" ht="14" customHeight="1">
      <c r="A17" s="21" t="s">
        <v>165</v>
      </c>
      <c r="B17" s="22">
        <f>IF(C17="","","•")</f>
        <v>0</v>
      </c>
      <c r="C17" s="23">
        <f>IF(TRIM('Preenchimento'!$C$83)="","",TRIM('Preenchimento'!$C$83))</f>
        <v>0</v>
      </c>
      <c r="D17" s="23"/>
      <c r="E17" s="23"/>
      <c r="F17" s="23"/>
      <c r="G17" s="23"/>
      <c r="H17" s="23"/>
      <c r="I17" s="23"/>
      <c r="J17" s="23"/>
      <c r="K17" s="23"/>
      <c r="L17" s="23"/>
      <c r="M17" s="23"/>
      <c r="O17" s="24"/>
    </row>
    <row r="18" spans="1:15" ht="14" customHeight="1">
      <c r="A18" s="21" t="s">
        <v>165</v>
      </c>
      <c r="B18" s="22">
        <f>IF(C18="","","•")</f>
        <v>0</v>
      </c>
      <c r="C18" s="23">
        <f>IF(TRIM('Preenchimento'!$C$84)="","",TRIM('Preenchimento'!$C$84))</f>
        <v>0</v>
      </c>
      <c r="D18" s="23"/>
      <c r="E18" s="23"/>
      <c r="F18" s="23"/>
      <c r="G18" s="23"/>
      <c r="H18" s="23"/>
      <c r="I18" s="23"/>
      <c r="J18" s="23"/>
      <c r="K18" s="23"/>
      <c r="L18" s="23"/>
      <c r="M18" s="23"/>
    </row>
    <row r="19" spans="1:15" ht="14" customHeight="1">
      <c r="A19" s="21" t="s">
        <v>165</v>
      </c>
      <c r="B19" s="22">
        <f>IF(C19="","","•")</f>
        <v>0</v>
      </c>
      <c r="C19" s="23">
        <f>IF(TRIM('Preenchimento'!$C$85)="","",TRIM('Preenchimento'!$C$85))</f>
        <v>0</v>
      </c>
      <c r="D19" s="23"/>
      <c r="E19" s="23"/>
      <c r="F19" s="23"/>
      <c r="G19" s="23"/>
      <c r="H19" s="23"/>
      <c r="I19" s="23"/>
      <c r="J19" s="23"/>
      <c r="K19" s="23"/>
      <c r="L19" s="23"/>
      <c r="M19" s="23"/>
    </row>
    <row r="20" spans="1:15" ht="14" customHeight="1">
      <c r="A20" s="21" t="s">
        <v>165</v>
      </c>
      <c r="B20" s="22">
        <f>IF(C20="","","•")</f>
        <v>0</v>
      </c>
      <c r="C20" s="23">
        <f>IF(TRIM('Preenchimento'!$C$86)="","",TRIM('Preenchimento'!$C$86))</f>
        <v>0</v>
      </c>
      <c r="D20" s="23"/>
      <c r="E20" s="23"/>
      <c r="F20" s="23"/>
      <c r="G20" s="23"/>
      <c r="H20" s="23"/>
      <c r="I20" s="23"/>
      <c r="J20" s="23"/>
      <c r="K20" s="23"/>
      <c r="L20" s="23"/>
      <c r="M20" s="23"/>
    </row>
    <row r="21" spans="1:15" ht="14" customHeight="1">
      <c r="A21" s="21" t="s">
        <v>165</v>
      </c>
      <c r="B21" s="22">
        <f>IF(C21="","","•")</f>
        <v>0</v>
      </c>
      <c r="C21" s="23">
        <f>IF(TRIM('Preenchimento'!$C$87)="","",TRIM('Preenchimento'!$C$87))</f>
        <v>0</v>
      </c>
      <c r="D21" s="23"/>
      <c r="E21" s="23"/>
      <c r="F21" s="23"/>
      <c r="G21" s="23"/>
      <c r="H21" s="23"/>
      <c r="I21" s="23"/>
      <c r="J21" s="23"/>
      <c r="K21" s="23"/>
      <c r="L21" s="23"/>
      <c r="M21" s="23"/>
    </row>
    <row r="22" spans="1:15" ht="14" customHeight="1">
      <c r="A22" s="21" t="s">
        <v>165</v>
      </c>
      <c r="B22" s="22"/>
      <c r="C22" s="25">
        <f>IF(COUNTA('Preenchimento'!$C$76:$C$87)=0,"— nada registrado","")</f>
        <v>0</v>
      </c>
      <c r="D22" s="25"/>
      <c r="E22" s="25"/>
      <c r="F22" s="25"/>
      <c r="G22" s="25"/>
      <c r="H22" s="25"/>
      <c r="I22" s="25"/>
      <c r="J22" s="25"/>
      <c r="K22" s="25"/>
      <c r="L22" s="25"/>
      <c r="M22" s="25"/>
    </row>
    <row r="23" spans="1:15" ht="16" customHeight="1">
      <c r="B23" s="20" t="s">
        <v>166</v>
      </c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</row>
    <row r="24" spans="1:15" ht="14" customHeight="1">
      <c r="A24" s="21" t="s">
        <v>165</v>
      </c>
      <c r="B24" s="22">
        <f>IF(C24="","","•")</f>
        <v>0</v>
      </c>
      <c r="C24" s="23">
        <f>IF(TRIM('Preenchimento'!$C$90)="","",TRIM('Preenchimento'!$C$90))</f>
        <v>0</v>
      </c>
      <c r="D24" s="23"/>
      <c r="E24" s="23"/>
      <c r="F24" s="23"/>
      <c r="G24" s="23"/>
      <c r="H24" s="23"/>
      <c r="I24" s="23"/>
      <c r="J24" s="23"/>
      <c r="K24" s="23"/>
      <c r="L24" s="23"/>
      <c r="M24" s="23"/>
    </row>
    <row r="25" spans="1:15" ht="14" customHeight="1">
      <c r="A25" s="21" t="s">
        <v>165</v>
      </c>
      <c r="B25" s="22">
        <f>IF(C25="","","•")</f>
        <v>0</v>
      </c>
      <c r="C25" s="23">
        <f>IF(TRIM('Preenchimento'!$C$91)="","",TRIM('Preenchimento'!$C$91))</f>
        <v>0</v>
      </c>
      <c r="D25" s="23"/>
      <c r="E25" s="23"/>
      <c r="F25" s="23"/>
      <c r="G25" s="23"/>
      <c r="H25" s="23"/>
      <c r="I25" s="23"/>
      <c r="J25" s="23"/>
      <c r="K25" s="23"/>
      <c r="L25" s="23"/>
      <c r="M25" s="23"/>
    </row>
    <row r="26" spans="1:15" ht="14" customHeight="1">
      <c r="A26" s="21" t="s">
        <v>165</v>
      </c>
      <c r="B26" s="22">
        <f>IF(C26="","","•")</f>
        <v>0</v>
      </c>
      <c r="C26" s="23">
        <f>IF(TRIM('Preenchimento'!$C$92)="","",TRIM('Preenchimento'!$C$92))</f>
        <v>0</v>
      </c>
      <c r="D26" s="23"/>
      <c r="E26" s="23"/>
      <c r="F26" s="23"/>
      <c r="G26" s="23"/>
      <c r="H26" s="23"/>
      <c r="I26" s="23"/>
      <c r="J26" s="23"/>
      <c r="K26" s="23"/>
      <c r="L26" s="23"/>
      <c r="M26" s="23"/>
    </row>
    <row r="27" spans="1:15" ht="14" customHeight="1">
      <c r="A27" s="21" t="s">
        <v>165</v>
      </c>
      <c r="B27" s="22">
        <f>IF(C27="","","•")</f>
        <v>0</v>
      </c>
      <c r="C27" s="23">
        <f>IF(TRIM('Preenchimento'!$C$93)="","",TRIM('Preenchimento'!$C$93))</f>
        <v>0</v>
      </c>
      <c r="D27" s="23"/>
      <c r="E27" s="23"/>
      <c r="F27" s="23"/>
      <c r="G27" s="23"/>
      <c r="H27" s="23"/>
      <c r="I27" s="23"/>
      <c r="J27" s="23"/>
      <c r="K27" s="23"/>
      <c r="L27" s="23"/>
      <c r="M27" s="23"/>
    </row>
    <row r="28" spans="1:15" ht="14" customHeight="1">
      <c r="A28" s="21" t="s">
        <v>165</v>
      </c>
      <c r="B28" s="22"/>
      <c r="C28" s="25">
        <f>IF(COUNTA('Preenchimento'!$C$90:$C$93)=0,"— nada registrado","")</f>
        <v>0</v>
      </c>
      <c r="D28" s="25"/>
      <c r="E28" s="25"/>
      <c r="F28" s="25"/>
      <c r="G28" s="25"/>
      <c r="H28" s="25"/>
      <c r="I28" s="25"/>
      <c r="J28" s="25"/>
      <c r="K28" s="25"/>
      <c r="L28" s="25"/>
      <c r="M28" s="25"/>
    </row>
    <row r="29" spans="1:15" ht="16" customHeight="1">
      <c r="B29" s="20" t="s">
        <v>167</v>
      </c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</row>
    <row r="30" spans="1:15" ht="14" customHeight="1">
      <c r="A30" s="21" t="s">
        <v>165</v>
      </c>
      <c r="B30" s="22">
        <f>IF(C30="","","•")</f>
        <v>0</v>
      </c>
      <c r="C30" s="23">
        <f>IF(TRIM('Preenchimento'!$C$96)="","",TRIM('Preenchimento'!$C$96))</f>
        <v>0</v>
      </c>
      <c r="D30" s="23"/>
      <c r="E30" s="23"/>
      <c r="F30" s="23"/>
      <c r="G30" s="23"/>
      <c r="H30" s="23"/>
      <c r="I30" s="23"/>
      <c r="J30" s="23"/>
      <c r="K30" s="23"/>
      <c r="L30" s="23"/>
      <c r="M30" s="23"/>
    </row>
    <row r="31" spans="1:15" ht="14" customHeight="1">
      <c r="A31" s="21" t="s">
        <v>165</v>
      </c>
      <c r="B31" s="22">
        <f>IF(C31="","","•")</f>
        <v>0</v>
      </c>
      <c r="C31" s="23">
        <f>IF(TRIM('Preenchimento'!$C$97)="","",TRIM('Preenchimento'!$C$97))</f>
        <v>0</v>
      </c>
      <c r="D31" s="23"/>
      <c r="E31" s="23"/>
      <c r="F31" s="23"/>
      <c r="G31" s="23"/>
      <c r="H31" s="23"/>
      <c r="I31" s="23"/>
      <c r="J31" s="23"/>
      <c r="K31" s="23"/>
      <c r="L31" s="23"/>
      <c r="M31" s="23"/>
    </row>
    <row r="32" spans="1:15" ht="14" customHeight="1">
      <c r="A32" s="21" t="s">
        <v>165</v>
      </c>
      <c r="B32" s="22">
        <f>IF(C32="","","•")</f>
        <v>0</v>
      </c>
      <c r="C32" s="23">
        <f>IF(TRIM('Preenchimento'!$C$98)="","",TRIM('Preenchimento'!$C$98))</f>
        <v>0</v>
      </c>
      <c r="D32" s="23"/>
      <c r="E32" s="23"/>
      <c r="F32" s="23"/>
      <c r="G32" s="23"/>
      <c r="H32" s="23"/>
      <c r="I32" s="23"/>
      <c r="J32" s="23"/>
      <c r="K32" s="23"/>
      <c r="L32" s="23"/>
      <c r="M32" s="23"/>
    </row>
    <row r="33" spans="1:13" ht="14" customHeight="1">
      <c r="A33" s="21" t="s">
        <v>165</v>
      </c>
      <c r="B33" s="22">
        <f>IF(C33="","","•")</f>
        <v>0</v>
      </c>
      <c r="C33" s="23">
        <f>IF(TRIM('Preenchimento'!$C$99)="","",TRIM('Preenchimento'!$C$99))</f>
        <v>0</v>
      </c>
      <c r="D33" s="23"/>
      <c r="E33" s="23"/>
      <c r="F33" s="23"/>
      <c r="G33" s="23"/>
      <c r="H33" s="23"/>
      <c r="I33" s="23"/>
      <c r="J33" s="23"/>
      <c r="K33" s="23"/>
      <c r="L33" s="23"/>
      <c r="M33" s="23"/>
    </row>
    <row r="34" spans="1:13" ht="14" customHeight="1">
      <c r="A34" s="21" t="s">
        <v>165</v>
      </c>
      <c r="B34" s="22"/>
      <c r="C34" s="25">
        <f>IF(COUNTA('Preenchimento'!$C$96:$C$99)=0,"— nada registrado","")</f>
        <v>0</v>
      </c>
      <c r="D34" s="25"/>
      <c r="E34" s="25"/>
      <c r="F34" s="25"/>
      <c r="G34" s="25"/>
      <c r="H34" s="25"/>
      <c r="I34" s="25"/>
      <c r="J34" s="25"/>
      <c r="K34" s="25"/>
      <c r="L34" s="25"/>
      <c r="M34" s="25"/>
    </row>
    <row r="35" spans="1:13" ht="16" customHeight="1">
      <c r="B35" s="20" t="s">
        <v>168</v>
      </c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</row>
    <row r="36" spans="1:13" ht="14" customHeight="1">
      <c r="A36" s="21" t="s">
        <v>165</v>
      </c>
      <c r="B36" s="22">
        <f>IF(C36="","","•")</f>
        <v>0</v>
      </c>
      <c r="C36" s="23">
        <f>IF(TRIM('Preenchimento'!$C$102)="","",TRIM('Preenchimento'!$C$102))</f>
        <v>0</v>
      </c>
      <c r="D36" s="23"/>
      <c r="E36" s="23"/>
      <c r="F36" s="23"/>
      <c r="G36" s="23"/>
      <c r="H36" s="23"/>
      <c r="I36" s="23"/>
      <c r="J36" s="23"/>
      <c r="K36" s="23"/>
      <c r="L36" s="23"/>
      <c r="M36" s="23"/>
    </row>
    <row r="37" spans="1:13" ht="14" customHeight="1">
      <c r="A37" s="21" t="s">
        <v>165</v>
      </c>
      <c r="B37" s="22">
        <f>IF(C37="","","•")</f>
        <v>0</v>
      </c>
      <c r="C37" s="23">
        <f>IF(TRIM('Preenchimento'!$C$103)="","",TRIM('Preenchimento'!$C$103))</f>
        <v>0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</row>
    <row r="38" spans="1:13" ht="14" customHeight="1">
      <c r="A38" s="21" t="s">
        <v>165</v>
      </c>
      <c r="B38" s="22">
        <f>IF(C38="","","•")</f>
        <v>0</v>
      </c>
      <c r="C38" s="23">
        <f>IF(TRIM('Preenchimento'!$C$104)="","",TRIM('Preenchimento'!$C$104))</f>
        <v>0</v>
      </c>
      <c r="D38" s="23"/>
      <c r="E38" s="23"/>
      <c r="F38" s="23"/>
      <c r="G38" s="23"/>
      <c r="H38" s="23"/>
      <c r="I38" s="23"/>
      <c r="J38" s="23"/>
      <c r="K38" s="23"/>
      <c r="L38" s="23"/>
      <c r="M38" s="23"/>
    </row>
    <row r="39" spans="1:13" ht="14" customHeight="1">
      <c r="A39" s="21" t="s">
        <v>165</v>
      </c>
      <c r="B39" s="22">
        <f>IF(C39="","","•")</f>
        <v>0</v>
      </c>
      <c r="C39" s="23">
        <f>IF(TRIM('Preenchimento'!$C$105)="","",TRIM('Preenchimento'!$C$105))</f>
        <v>0</v>
      </c>
      <c r="D39" s="23"/>
      <c r="E39" s="23"/>
      <c r="F39" s="23"/>
      <c r="G39" s="23"/>
      <c r="H39" s="23"/>
      <c r="I39" s="23"/>
      <c r="J39" s="23"/>
      <c r="K39" s="23"/>
      <c r="L39" s="23"/>
      <c r="M39" s="23"/>
    </row>
    <row r="40" spans="1:13" ht="14" customHeight="1">
      <c r="A40" s="21" t="s">
        <v>165</v>
      </c>
      <c r="B40" s="22">
        <f>IF(C40="","","•")</f>
        <v>0</v>
      </c>
      <c r="C40" s="23">
        <f>IF(TRIM('Preenchimento'!$C$106)="","",TRIM('Preenchimento'!$C$106))</f>
        <v>0</v>
      </c>
      <c r="D40" s="23"/>
      <c r="E40" s="23"/>
      <c r="F40" s="23"/>
      <c r="G40" s="23"/>
      <c r="H40" s="23"/>
      <c r="I40" s="23"/>
      <c r="J40" s="23"/>
      <c r="K40" s="23"/>
      <c r="L40" s="23"/>
      <c r="M40" s="23"/>
    </row>
    <row r="41" spans="1:13" ht="14" customHeight="1">
      <c r="A41" s="21" t="s">
        <v>165</v>
      </c>
      <c r="B41" s="22">
        <f>IF(C41="","","•")</f>
        <v>0</v>
      </c>
      <c r="C41" s="23">
        <f>IF(TRIM('Preenchimento'!$C$107)="","",TRIM('Preenchimento'!$C$107))</f>
        <v>0</v>
      </c>
      <c r="D41" s="23"/>
      <c r="E41" s="23"/>
      <c r="F41" s="23"/>
      <c r="G41" s="23"/>
      <c r="H41" s="23"/>
      <c r="I41" s="23"/>
      <c r="J41" s="23"/>
      <c r="K41" s="23"/>
      <c r="L41" s="23"/>
      <c r="M41" s="23"/>
    </row>
    <row r="42" spans="1:13" ht="14" customHeight="1">
      <c r="A42" s="21" t="s">
        <v>165</v>
      </c>
      <c r="B42" s="22">
        <f>IF(C42="","","•")</f>
        <v>0</v>
      </c>
      <c r="C42" s="23">
        <f>IF(TRIM('Preenchimento'!$C$108)="","",TRIM('Preenchimento'!$C$108))</f>
        <v>0</v>
      </c>
      <c r="D42" s="23"/>
      <c r="E42" s="23"/>
      <c r="F42" s="23"/>
      <c r="G42" s="23"/>
      <c r="H42" s="23"/>
      <c r="I42" s="23"/>
      <c r="J42" s="23"/>
      <c r="K42" s="23"/>
      <c r="L42" s="23"/>
      <c r="M42" s="23"/>
    </row>
    <row r="43" spans="1:13" ht="14" customHeight="1">
      <c r="A43" s="21" t="s">
        <v>165</v>
      </c>
      <c r="B43" s="22">
        <f>IF(C43="","","•")</f>
        <v>0</v>
      </c>
      <c r="C43" s="23">
        <f>IF(TRIM('Preenchimento'!$C$109)="","",TRIM('Preenchimento'!$C$109))</f>
        <v>0</v>
      </c>
      <c r="D43" s="23"/>
      <c r="E43" s="23"/>
      <c r="F43" s="23"/>
      <c r="G43" s="23"/>
      <c r="H43" s="23"/>
      <c r="I43" s="23"/>
      <c r="J43" s="23"/>
      <c r="K43" s="23"/>
      <c r="L43" s="23"/>
      <c r="M43" s="23"/>
    </row>
    <row r="44" spans="1:13" ht="14" customHeight="1">
      <c r="A44" s="21" t="s">
        <v>165</v>
      </c>
      <c r="B44" s="22"/>
      <c r="C44" s="25">
        <f>IF(COUNTA('Preenchimento'!$C$102:$C$109)=0,"— nada registrado","")</f>
        <v>0</v>
      </c>
      <c r="D44" s="25"/>
      <c r="E44" s="25"/>
      <c r="F44" s="25"/>
      <c r="G44" s="25"/>
      <c r="H44" s="25"/>
      <c r="I44" s="25"/>
      <c r="J44" s="25"/>
      <c r="K44" s="25"/>
      <c r="L44" s="25"/>
      <c r="M44" s="25"/>
    </row>
    <row r="45" spans="1:13" ht="30" customHeight="1">
      <c r="B45" s="26" t="s">
        <v>169</v>
      </c>
      <c r="C45" s="27">
        <f>IF(nProg="","","Em uso: "&amp;nProg&amp;CHAR(10))&amp;"Padrões preparados: "&amp;IF(nPadroes="","-",nPadroes)&amp;IF(nPadroesQuais="",""," ("&amp;nPadroesQuais&amp;")")&amp;"   ·   "&amp;"Sistema de ar: "&amp;IF(nAr="","-",nAr)&amp;IF(nArStatus="",""," - "&amp;nArStatus)&amp;IF(nCompressor="","","   ·   "&amp;"Compressor: "&amp;nCompressor)&amp;IF(nNitrogenio="","","   ·   "&amp;"Nitrogênio: "&amp;nNitrogenio)</f>
        <v>0</v>
      </c>
      <c r="D45" s="27"/>
      <c r="E45" s="27"/>
      <c r="F45" s="27"/>
      <c r="G45" s="27"/>
      <c r="H45" s="27"/>
      <c r="I45" s="27"/>
      <c r="J45" s="27"/>
      <c r="K45" s="27"/>
      <c r="L45" s="27"/>
      <c r="M45" s="27"/>
    </row>
    <row r="46" spans="1:13" ht="16" customHeight="1">
      <c r="B46" s="26" t="s">
        <v>170</v>
      </c>
      <c r="C46" s="27">
        <f>"Ausência: "&amp;IF(nAus="","-",nAus)&amp;IF(nAusQuem="",""," ("&amp;nAusQuem&amp;")")&amp;"   ·   "&amp;"Troca combinada: "&amp;IF(nTroca="","-",nTroca)&amp;IF(nTrocaQuem="",""," ("&amp;nTrocaQuem&amp;")")&amp;"   ·   "&amp;"Hora extra: "&amp;IF(nHE="","-",nHE)&amp;IF(nHEQuem="",""," ("&amp;nHEQuem&amp;")")&amp;IF(nRecebe="","","   ·   "&amp;"Letra que recebe: "&amp;nRecebe)</f>
        <v>0</v>
      </c>
      <c r="D46" s="27"/>
      <c r="E46" s="27"/>
      <c r="F46" s="27"/>
      <c r="G46" s="27"/>
      <c r="H46" s="27"/>
      <c r="I46" s="27"/>
      <c r="J46" s="27"/>
      <c r="K46" s="27"/>
      <c r="L46" s="27"/>
      <c r="M46" s="27"/>
    </row>
    <row r="47" spans="1:13" ht="16" customHeight="1">
      <c r="B47" s="26" t="s">
        <v>171</v>
      </c>
      <c r="C47" s="27">
        <f>"Repassados: "&amp;IF(nCadinhos="","-",nCadinhos)&amp;"   ·   "&amp;"Retirados para reforma: "&amp;IF(nReforma="","-",nReforma)</f>
        <v>0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</row>
    <row r="48" spans="1:13" ht="40" customHeight="1">
      <c r="B48" s="26" t="s">
        <v>154</v>
      </c>
      <c r="C48" s="27">
        <f>IF(nH2Carvao&amp;nH2Coque&amp;nCoque04&amp;nObs="","-",TRIM(IF(nH2Carvao="","","Hidrogênio no carvão: "&amp;nH2Carvao&amp;"     ")&amp;IF(nH2Coque="","","Hidrogênio no coque: "&amp;nH2Coque&amp;"     ")&amp;IF(nCoque04="","","Coque Planta 04: "&amp;nCoque04))&amp;IF(AND(nH2Carvao&amp;nH2Coque&amp;nCoque04&lt;&gt;"",nObs&lt;&gt;""),CHAR(10),"")&amp;nObs)</f>
        <v>0</v>
      </c>
      <c r="D48" s="27"/>
      <c r="E48" s="27"/>
      <c r="F48" s="27"/>
      <c r="G48" s="27"/>
      <c r="H48" s="27"/>
      <c r="I48" s="27"/>
      <c r="J48" s="27"/>
      <c r="K48" s="27"/>
      <c r="L48" s="27"/>
      <c r="M48" s="27"/>
    </row>
    <row r="49" spans="1:13" ht="8" customHeight="1"/>
    <row r="50" spans="1:13" ht="22" customHeight="1">
      <c r="B50" s="13" t="s">
        <v>172</v>
      </c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</row>
    <row r="51" spans="1:13">
      <c r="B51" s="28" t="s">
        <v>173</v>
      </c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</row>
    <row r="52" spans="1:13" ht="26" customHeight="1">
      <c r="B52" s="29" t="s">
        <v>174</v>
      </c>
      <c r="C52" s="29" t="s">
        <v>175</v>
      </c>
      <c r="D52" s="29" t="s">
        <v>176</v>
      </c>
      <c r="E52" s="29" t="s">
        <v>227</v>
      </c>
      <c r="F52" s="29" t="s">
        <v>228</v>
      </c>
      <c r="G52" s="29" t="s">
        <v>229</v>
      </c>
      <c r="H52" s="29" t="s">
        <v>230</v>
      </c>
      <c r="I52" s="29" t="s">
        <v>231</v>
      </c>
      <c r="J52" s="29" t="s">
        <v>232</v>
      </c>
      <c r="K52" s="29" t="s">
        <v>183</v>
      </c>
      <c r="L52" s="29" t="s">
        <v>184</v>
      </c>
      <c r="M52" s="29" t="s">
        <v>185</v>
      </c>
    </row>
    <row r="53" spans="1:13">
      <c r="A53" s="21" t="s">
        <v>186</v>
      </c>
      <c r="B53" s="30" t="s">
        <v>33</v>
      </c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</row>
    <row r="54" spans="1:13" ht="14" customHeight="1">
      <c r="A54" s="21" t="s">
        <v>187</v>
      </c>
      <c r="B54" s="31" t="s">
        <v>34</v>
      </c>
      <c r="C54" s="32" t="s">
        <v>35</v>
      </c>
      <c r="D54" s="33" t="s">
        <v>188</v>
      </c>
      <c r="E54" s="34"/>
      <c r="F54" s="34"/>
      <c r="G54" s="34"/>
      <c r="H54" s="34"/>
      <c r="I54" s="34"/>
      <c r="J54" s="34"/>
      <c r="K54" s="35">
        <f>IF(COUNT(E54:J54)=0,"",AVERAGE(E54:J54))</f>
        <v>0</v>
      </c>
      <c r="L54" s="36">
        <f>IF(COUNT(E54:J54)=0,"",MIN(E54:J54))</f>
        <v>0</v>
      </c>
      <c r="M54" s="36">
        <f>IF(COUNT(E54:J54)=0,"",MAX(E54:J54))</f>
        <v>0</v>
      </c>
    </row>
    <row r="55" spans="1:13" ht="14" customHeight="1">
      <c r="A55" s="21" t="s">
        <v>189</v>
      </c>
      <c r="B55" s="37" t="s">
        <v>38</v>
      </c>
      <c r="C55" s="38" t="s">
        <v>35</v>
      </c>
      <c r="D55" s="39" t="s">
        <v>188</v>
      </c>
      <c r="E55" s="40"/>
      <c r="F55" s="40"/>
      <c r="G55" s="40"/>
      <c r="H55" s="40"/>
      <c r="I55" s="40"/>
      <c r="J55" s="40"/>
      <c r="K55" s="35">
        <f>IF(COUNT(E55:J55)=0,"",AVERAGE(E55:J55))</f>
        <v>0</v>
      </c>
      <c r="L55" s="41">
        <f>IF(COUNT(E55:J55)=0,"",MIN(E55:J55))</f>
        <v>0</v>
      </c>
      <c r="M55" s="41">
        <f>IF(COUNT(E55:J55)=0,"",MAX(E55:J55))</f>
        <v>0</v>
      </c>
    </row>
    <row r="56" spans="1:13" ht="14" customHeight="1">
      <c r="A56" s="21" t="s">
        <v>190</v>
      </c>
      <c r="B56" s="31" t="s">
        <v>40</v>
      </c>
      <c r="C56" s="32" t="s">
        <v>35</v>
      </c>
      <c r="D56" s="33" t="s">
        <v>188</v>
      </c>
      <c r="E56" s="34"/>
      <c r="F56" s="34"/>
      <c r="G56" s="34"/>
      <c r="H56" s="34"/>
      <c r="I56" s="34"/>
      <c r="J56" s="34"/>
      <c r="K56" s="35">
        <f>IF(COUNT(E56:J56)=0,"",AVERAGE(E56:J56))</f>
        <v>0</v>
      </c>
      <c r="L56" s="36">
        <f>IF(COUNT(E56:J56)=0,"",MIN(E56:J56))</f>
        <v>0</v>
      </c>
      <c r="M56" s="36">
        <f>IF(COUNT(E56:J56)=0,"",MAX(E56:J56))</f>
        <v>0</v>
      </c>
    </row>
    <row r="57" spans="1:13" ht="14" customHeight="1">
      <c r="A57" s="21" t="s">
        <v>191</v>
      </c>
      <c r="B57" s="37" t="s">
        <v>41</v>
      </c>
      <c r="C57" s="38" t="s">
        <v>35</v>
      </c>
      <c r="D57" s="39" t="s">
        <v>188</v>
      </c>
      <c r="E57" s="40"/>
      <c r="F57" s="40"/>
      <c r="G57" s="40"/>
      <c r="H57" s="40"/>
      <c r="I57" s="40"/>
      <c r="J57" s="40"/>
      <c r="K57" s="35">
        <f>IF(COUNT(E57:J57)=0,"",AVERAGE(E57:J57))</f>
        <v>0</v>
      </c>
      <c r="L57" s="41">
        <f>IF(COUNT(E57:J57)=0,"",MIN(E57:J57))</f>
        <v>0</v>
      </c>
      <c r="M57" s="41">
        <f>IF(COUNT(E57:J57)=0,"",MAX(E57:J57))</f>
        <v>0</v>
      </c>
    </row>
    <row r="58" spans="1:13" ht="14" customHeight="1">
      <c r="A58" s="21" t="s">
        <v>192</v>
      </c>
      <c r="B58" s="31" t="s">
        <v>43</v>
      </c>
      <c r="C58" s="32" t="s">
        <v>35</v>
      </c>
      <c r="D58" s="33" t="s">
        <v>188</v>
      </c>
      <c r="E58" s="34"/>
      <c r="F58" s="34"/>
      <c r="G58" s="34"/>
      <c r="H58" s="34"/>
      <c r="I58" s="34"/>
      <c r="J58" s="34"/>
      <c r="K58" s="35">
        <f>IF(COUNT(E58:J58)=0,"",AVERAGE(E58:J58))</f>
        <v>0</v>
      </c>
      <c r="L58" s="36">
        <f>IF(COUNT(E58:J58)=0,"",MIN(E58:J58))</f>
        <v>0</v>
      </c>
      <c r="M58" s="36">
        <f>IF(COUNT(E58:J58)=0,"",MAX(E58:J58))</f>
        <v>0</v>
      </c>
    </row>
    <row r="59" spans="1:13" ht="14" customHeight="1">
      <c r="A59" s="21" t="s">
        <v>193</v>
      </c>
      <c r="B59" s="37" t="s">
        <v>44</v>
      </c>
      <c r="C59" s="38" t="s">
        <v>35</v>
      </c>
      <c r="D59" s="39" t="s">
        <v>188</v>
      </c>
      <c r="E59" s="42"/>
      <c r="F59" s="42"/>
      <c r="G59" s="42"/>
      <c r="H59" s="42"/>
      <c r="I59" s="42"/>
      <c r="J59" s="42"/>
      <c r="K59" s="43">
        <f>IF(COUNT(E59:J59)=0,"",AVERAGE(E59:J59))</f>
        <v>0</v>
      </c>
      <c r="L59" s="44">
        <f>IF(COUNT(E59:J59)=0,"",MIN(E59:J59))</f>
        <v>0</v>
      </c>
      <c r="M59" s="44">
        <f>IF(COUNT(E59:J59)=0,"",MAX(E59:J59))</f>
        <v>0</v>
      </c>
    </row>
    <row r="60" spans="1:13" ht="14" customHeight="1">
      <c r="A60" s="21" t="s">
        <v>194</v>
      </c>
      <c r="B60" s="31" t="s">
        <v>45</v>
      </c>
      <c r="C60" s="32" t="s">
        <v>35</v>
      </c>
      <c r="D60" s="33" t="s">
        <v>188</v>
      </c>
      <c r="E60" s="45"/>
      <c r="F60" s="45"/>
      <c r="G60" s="45"/>
      <c r="H60" s="45"/>
      <c r="I60" s="45"/>
      <c r="J60" s="45"/>
      <c r="K60" s="43">
        <f>IF(COUNT(E60:J60)=0,"",AVERAGE(E60:J60))</f>
        <v>0</v>
      </c>
      <c r="L60" s="46">
        <f>IF(COUNT(E60:J60)=0,"",MIN(E60:J60))</f>
        <v>0</v>
      </c>
      <c r="M60" s="46">
        <f>IF(COUNT(E60:J60)=0,"",MAX(E60:J60))</f>
        <v>0</v>
      </c>
    </row>
    <row r="61" spans="1:13" ht="14" customHeight="1">
      <c r="A61" s="21" t="s">
        <v>195</v>
      </c>
      <c r="B61" s="37" t="s">
        <v>46</v>
      </c>
      <c r="C61" s="38" t="s">
        <v>35</v>
      </c>
      <c r="D61" s="39" t="s">
        <v>188</v>
      </c>
      <c r="E61" s="42"/>
      <c r="F61" s="42"/>
      <c r="G61" s="42"/>
      <c r="H61" s="42"/>
      <c r="I61" s="42"/>
      <c r="J61" s="42"/>
      <c r="K61" s="43">
        <f>IF(COUNT(E61:J61)=0,"",AVERAGE(E61:J61))</f>
        <v>0</v>
      </c>
      <c r="L61" s="44">
        <f>IF(COUNT(E61:J61)=0,"",MIN(E61:J61))</f>
        <v>0</v>
      </c>
      <c r="M61" s="44">
        <f>IF(COUNT(E61:J61)=0,"",MAX(E61:J61))</f>
        <v>0</v>
      </c>
    </row>
    <row r="62" spans="1:13" ht="14" customHeight="1">
      <c r="A62" s="21" t="s">
        <v>196</v>
      </c>
      <c r="B62" s="31" t="s">
        <v>47</v>
      </c>
      <c r="C62" s="32" t="s">
        <v>35</v>
      </c>
      <c r="D62" s="33" t="s">
        <v>188</v>
      </c>
      <c r="E62" s="34"/>
      <c r="F62" s="34"/>
      <c r="G62" s="34"/>
      <c r="H62" s="34"/>
      <c r="I62" s="34"/>
      <c r="J62" s="34"/>
      <c r="K62" s="35">
        <f>IF(COUNT(E62:J62)=0,"",AVERAGE(E62:J62))</f>
        <v>0</v>
      </c>
      <c r="L62" s="36">
        <f>IF(COUNT(E62:J62)=0,"",MIN(E62:J62))</f>
        <v>0</v>
      </c>
      <c r="M62" s="36">
        <f>IF(COUNT(E62:J62)=0,"",MAX(E62:J62))</f>
        <v>0</v>
      </c>
    </row>
    <row r="63" spans="1:13" ht="14" customHeight="1">
      <c r="A63" s="21" t="s">
        <v>197</v>
      </c>
      <c r="B63" s="37" t="s">
        <v>49</v>
      </c>
      <c r="C63" s="38" t="s">
        <v>50</v>
      </c>
      <c r="D63" s="39" t="s">
        <v>188</v>
      </c>
      <c r="E63" s="40"/>
      <c r="F63" s="40"/>
      <c r="G63" s="40"/>
      <c r="H63" s="40"/>
      <c r="I63" s="40"/>
      <c r="J63" s="40"/>
      <c r="K63" s="35">
        <f>IF(COUNT(E63:J63)=0,"",AVERAGE(E63:J63))</f>
        <v>0</v>
      </c>
      <c r="L63" s="41">
        <f>IF(COUNT(E63:J63)=0,"",MIN(E63:J63))</f>
        <v>0</v>
      </c>
      <c r="M63" s="41">
        <f>IF(COUNT(E63:J63)=0,"",MAX(E63:J63))</f>
        <v>0</v>
      </c>
    </row>
    <row r="64" spans="1:13">
      <c r="A64" s="21" t="s">
        <v>198</v>
      </c>
      <c r="B64" s="30" t="s">
        <v>51</v>
      </c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</row>
    <row r="65" spans="1:13" ht="14" customHeight="1">
      <c r="A65" s="21" t="s">
        <v>199</v>
      </c>
      <c r="B65" s="31" t="s">
        <v>34</v>
      </c>
      <c r="C65" s="32" t="s">
        <v>35</v>
      </c>
      <c r="D65" s="33" t="s">
        <v>200</v>
      </c>
      <c r="E65" s="34"/>
      <c r="F65" s="34"/>
      <c r="G65" s="34"/>
      <c r="H65" s="34"/>
      <c r="I65" s="34"/>
      <c r="J65" s="34"/>
      <c r="K65" s="35">
        <f>IF(COUNT(E65:J65)=0,"",AVERAGE(E65:J65))</f>
        <v>0</v>
      </c>
      <c r="L65" s="36">
        <f>IF(COUNT(E65:J65)=0,"",MIN(E65:J65))</f>
        <v>0</v>
      </c>
      <c r="M65" s="36">
        <f>IF(COUNT(E65:J65)=0,"",MAX(E65:J65))</f>
        <v>0</v>
      </c>
    </row>
    <row r="66" spans="1:13" ht="14" customHeight="1">
      <c r="A66" s="21" t="s">
        <v>201</v>
      </c>
      <c r="B66" s="31"/>
      <c r="C66" s="32"/>
      <c r="D66" s="47" t="s">
        <v>202</v>
      </c>
      <c r="E66" s="34"/>
      <c r="F66" s="34"/>
      <c r="G66" s="34"/>
      <c r="H66" s="34"/>
      <c r="I66" s="34"/>
      <c r="J66" s="34"/>
      <c r="K66" s="35">
        <f>IF(COUNT(E66:J66)=0,"",AVERAGE(E66:J66))</f>
        <v>0</v>
      </c>
      <c r="L66" s="36">
        <f>IF(COUNT(E66:J66)=0,"",MIN(E66:J66))</f>
        <v>0</v>
      </c>
      <c r="M66" s="36">
        <f>IF(COUNT(E66:J66)=0,"",MAX(E66:J66))</f>
        <v>0</v>
      </c>
    </row>
    <row r="67" spans="1:13" ht="14" customHeight="1">
      <c r="A67" s="21" t="s">
        <v>203</v>
      </c>
      <c r="B67" s="37" t="s">
        <v>38</v>
      </c>
      <c r="C67" s="38" t="s">
        <v>35</v>
      </c>
      <c r="D67" s="39" t="s">
        <v>200</v>
      </c>
      <c r="E67" s="40"/>
      <c r="F67" s="40"/>
      <c r="G67" s="40"/>
      <c r="H67" s="40"/>
      <c r="I67" s="40"/>
      <c r="J67" s="40"/>
      <c r="K67" s="35">
        <f>IF(COUNT(E67:J67)=0,"",AVERAGE(E67:J67))</f>
        <v>0</v>
      </c>
      <c r="L67" s="41">
        <f>IF(COUNT(E67:J67)=0,"",MIN(E67:J67))</f>
        <v>0</v>
      </c>
      <c r="M67" s="41">
        <f>IF(COUNT(E67:J67)=0,"",MAX(E67:J67))</f>
        <v>0</v>
      </c>
    </row>
    <row r="68" spans="1:13" ht="14" customHeight="1">
      <c r="A68" s="21" t="s">
        <v>204</v>
      </c>
      <c r="B68" s="37"/>
      <c r="C68" s="38"/>
      <c r="D68" s="48" t="s">
        <v>202</v>
      </c>
      <c r="E68" s="40"/>
      <c r="F68" s="40"/>
      <c r="G68" s="40"/>
      <c r="H68" s="40"/>
      <c r="I68" s="40"/>
      <c r="J68" s="40"/>
      <c r="K68" s="35">
        <f>IF(COUNT(E68:J68)=0,"",AVERAGE(E68:J68))</f>
        <v>0</v>
      </c>
      <c r="L68" s="41">
        <f>IF(COUNT(E68:J68)=0,"",MIN(E68:J68))</f>
        <v>0</v>
      </c>
      <c r="M68" s="41">
        <f>IF(COUNT(E68:J68)=0,"",MAX(E68:J68))</f>
        <v>0</v>
      </c>
    </row>
    <row r="69" spans="1:13" ht="14" customHeight="1">
      <c r="A69" s="21" t="s">
        <v>205</v>
      </c>
      <c r="B69" s="31" t="s">
        <v>40</v>
      </c>
      <c r="C69" s="32" t="s">
        <v>35</v>
      </c>
      <c r="D69" s="33" t="s">
        <v>200</v>
      </c>
      <c r="E69" s="34"/>
      <c r="F69" s="34"/>
      <c r="G69" s="34"/>
      <c r="H69" s="34"/>
      <c r="I69" s="34"/>
      <c r="J69" s="34"/>
      <c r="K69" s="35">
        <f>IF(COUNT(E69:J69)=0,"",AVERAGE(E69:J69))</f>
        <v>0</v>
      </c>
      <c r="L69" s="36">
        <f>IF(COUNT(E69:J69)=0,"",MIN(E69:J69))</f>
        <v>0</v>
      </c>
      <c r="M69" s="36">
        <f>IF(COUNT(E69:J69)=0,"",MAX(E69:J69))</f>
        <v>0</v>
      </c>
    </row>
    <row r="70" spans="1:13" ht="14" customHeight="1">
      <c r="A70" s="21" t="s">
        <v>206</v>
      </c>
      <c r="B70" s="31"/>
      <c r="C70" s="32"/>
      <c r="D70" s="47" t="s">
        <v>202</v>
      </c>
      <c r="E70" s="34"/>
      <c r="F70" s="34"/>
      <c r="G70" s="34"/>
      <c r="H70" s="34"/>
      <c r="I70" s="34"/>
      <c r="J70" s="34"/>
      <c r="K70" s="35">
        <f>IF(COUNT(E70:J70)=0,"",AVERAGE(E70:J70))</f>
        <v>0</v>
      </c>
      <c r="L70" s="36">
        <f>IF(COUNT(E70:J70)=0,"",MIN(E70:J70))</f>
        <v>0</v>
      </c>
      <c r="M70" s="36">
        <f>IF(COUNT(E70:J70)=0,"",MAX(E70:J70))</f>
        <v>0</v>
      </c>
    </row>
    <row r="71" spans="1:13" ht="14" customHeight="1">
      <c r="A71" s="21" t="s">
        <v>207</v>
      </c>
      <c r="B71" s="37" t="s">
        <v>41</v>
      </c>
      <c r="C71" s="38" t="s">
        <v>35</v>
      </c>
      <c r="D71" s="39" t="s">
        <v>200</v>
      </c>
      <c r="E71" s="40"/>
      <c r="F71" s="40"/>
      <c r="G71" s="40"/>
      <c r="H71" s="40"/>
      <c r="I71" s="40"/>
      <c r="J71" s="40"/>
      <c r="K71" s="35">
        <f>IF(COUNT(E71:J71)=0,"",AVERAGE(E71:J71))</f>
        <v>0</v>
      </c>
      <c r="L71" s="41">
        <f>IF(COUNT(E71:J71)=0,"",MIN(E71:J71))</f>
        <v>0</v>
      </c>
      <c r="M71" s="41">
        <f>IF(COUNT(E71:J71)=0,"",MAX(E71:J71))</f>
        <v>0</v>
      </c>
    </row>
    <row r="72" spans="1:13" ht="14" customHeight="1">
      <c r="A72" s="21" t="s">
        <v>208</v>
      </c>
      <c r="B72" s="37"/>
      <c r="C72" s="38"/>
      <c r="D72" s="48" t="s">
        <v>202</v>
      </c>
      <c r="E72" s="40"/>
      <c r="F72" s="40"/>
      <c r="G72" s="40"/>
      <c r="H72" s="40"/>
      <c r="I72" s="40"/>
      <c r="J72" s="40"/>
      <c r="K72" s="35">
        <f>IF(COUNT(E72:J72)=0,"",AVERAGE(E72:J72))</f>
        <v>0</v>
      </c>
      <c r="L72" s="41">
        <f>IF(COUNT(E72:J72)=0,"",MIN(E72:J72))</f>
        <v>0</v>
      </c>
      <c r="M72" s="41">
        <f>IF(COUNT(E72:J72)=0,"",MAX(E72:J72))</f>
        <v>0</v>
      </c>
    </row>
    <row r="73" spans="1:13" ht="14" customHeight="1">
      <c r="A73" s="21" t="s">
        <v>209</v>
      </c>
      <c r="B73" s="31" t="s">
        <v>43</v>
      </c>
      <c r="C73" s="32" t="s">
        <v>35</v>
      </c>
      <c r="D73" s="33" t="s">
        <v>200</v>
      </c>
      <c r="E73" s="34"/>
      <c r="F73" s="34"/>
      <c r="G73" s="34"/>
      <c r="H73" s="34"/>
      <c r="I73" s="34"/>
      <c r="J73" s="34"/>
      <c r="K73" s="35">
        <f>IF(COUNT(E73:J73)=0,"",AVERAGE(E73:J73))</f>
        <v>0</v>
      </c>
      <c r="L73" s="36">
        <f>IF(COUNT(E73:J73)=0,"",MIN(E73:J73))</f>
        <v>0</v>
      </c>
      <c r="M73" s="36">
        <f>IF(COUNT(E73:J73)=0,"",MAX(E73:J73))</f>
        <v>0</v>
      </c>
    </row>
    <row r="74" spans="1:13" ht="14" customHeight="1">
      <c r="A74" s="21" t="s">
        <v>210</v>
      </c>
      <c r="B74" s="31"/>
      <c r="C74" s="32"/>
      <c r="D74" s="47" t="s">
        <v>202</v>
      </c>
      <c r="E74" s="34"/>
      <c r="F74" s="34"/>
      <c r="G74" s="34"/>
      <c r="H74" s="34"/>
      <c r="I74" s="34"/>
      <c r="J74" s="34"/>
      <c r="K74" s="35">
        <f>IF(COUNT(E74:J74)=0,"",AVERAGE(E74:J74))</f>
        <v>0</v>
      </c>
      <c r="L74" s="36">
        <f>IF(COUNT(E74:J74)=0,"",MIN(E74:J74))</f>
        <v>0</v>
      </c>
      <c r="M74" s="36">
        <f>IF(COUNT(E74:J74)=0,"",MAX(E74:J74))</f>
        <v>0</v>
      </c>
    </row>
    <row r="75" spans="1:13" ht="14" customHeight="1">
      <c r="A75" s="21" t="s">
        <v>211</v>
      </c>
      <c r="B75" s="37" t="s">
        <v>56</v>
      </c>
      <c r="C75" s="38" t="s">
        <v>50</v>
      </c>
      <c r="D75" s="39" t="s">
        <v>200</v>
      </c>
      <c r="E75" s="40"/>
      <c r="F75" s="40"/>
      <c r="G75" s="40"/>
      <c r="H75" s="40"/>
      <c r="I75" s="40"/>
      <c r="J75" s="40"/>
      <c r="K75" s="35">
        <f>IF(COUNT(E75:J75)=0,"",AVERAGE(E75:J75))</f>
        <v>0</v>
      </c>
      <c r="L75" s="41">
        <f>IF(COUNT(E75:J75)=0,"",MIN(E75:J75))</f>
        <v>0</v>
      </c>
      <c r="M75" s="41">
        <f>IF(COUNT(E75:J75)=0,"",MAX(E75:J75))</f>
        <v>0</v>
      </c>
    </row>
    <row r="76" spans="1:13" ht="14" customHeight="1">
      <c r="A76" s="21" t="s">
        <v>212</v>
      </c>
      <c r="B76" s="37"/>
      <c r="C76" s="38"/>
      <c r="D76" s="48" t="s">
        <v>202</v>
      </c>
      <c r="E76" s="40"/>
      <c r="F76" s="40"/>
      <c r="G76" s="40"/>
      <c r="H76" s="40"/>
      <c r="I76" s="40"/>
      <c r="J76" s="40"/>
      <c r="K76" s="35">
        <f>IF(COUNT(E76:J76)=0,"",AVERAGE(E76:J76))</f>
        <v>0</v>
      </c>
      <c r="L76" s="41">
        <f>IF(COUNT(E76:J76)=0,"",MIN(E76:J76))</f>
        <v>0</v>
      </c>
      <c r="M76" s="41">
        <f>IF(COUNT(E76:J76)=0,"",MAX(E76:J76))</f>
        <v>0</v>
      </c>
    </row>
    <row r="77" spans="1:13" ht="14" customHeight="1">
      <c r="A77" s="21" t="s">
        <v>213</v>
      </c>
      <c r="B77" s="31" t="s">
        <v>59</v>
      </c>
      <c r="C77" s="32" t="s">
        <v>60</v>
      </c>
      <c r="D77" s="33" t="s">
        <v>200</v>
      </c>
      <c r="E77" s="49"/>
      <c r="F77" s="49"/>
      <c r="G77" s="49"/>
      <c r="H77" s="49"/>
      <c r="I77" s="49"/>
      <c r="J77" s="49"/>
      <c r="K77" s="50">
        <f>IF(COUNT(E77:J77)=0,"",AVERAGE(E77:J77))</f>
        <v>0</v>
      </c>
      <c r="L77" s="51">
        <f>IF(COUNT(E77:J77)=0,"",MIN(E77:J77))</f>
        <v>0</v>
      </c>
      <c r="M77" s="51">
        <f>IF(COUNT(E77:J77)=0,"",MAX(E77:J77))</f>
        <v>0</v>
      </c>
    </row>
    <row r="78" spans="1:13" ht="14" customHeight="1">
      <c r="A78" s="21" t="s">
        <v>214</v>
      </c>
      <c r="B78" s="31"/>
      <c r="C78" s="32"/>
      <c r="D78" s="47" t="s">
        <v>202</v>
      </c>
      <c r="E78" s="49"/>
      <c r="F78" s="49"/>
      <c r="G78" s="49"/>
      <c r="H78" s="49"/>
      <c r="I78" s="49"/>
      <c r="J78" s="49"/>
      <c r="K78" s="50">
        <f>IF(COUNT(E78:J78)=0,"",AVERAGE(E78:J78))</f>
        <v>0</v>
      </c>
      <c r="L78" s="51">
        <f>IF(COUNT(E78:J78)=0,"",MIN(E78:J78))</f>
        <v>0</v>
      </c>
      <c r="M78" s="51">
        <f>IF(COUNT(E78:J78)=0,"",MAX(E78:J78))</f>
        <v>0</v>
      </c>
    </row>
    <row r="79" spans="1:13" ht="14" customHeight="1">
      <c r="A79" s="21" t="s">
        <v>215</v>
      </c>
      <c r="B79" s="37" t="s">
        <v>63</v>
      </c>
      <c r="C79" s="38" t="s">
        <v>35</v>
      </c>
      <c r="D79" s="39" t="s">
        <v>200</v>
      </c>
      <c r="E79" s="40"/>
      <c r="F79" s="40"/>
      <c r="G79" s="40"/>
      <c r="H79" s="40"/>
      <c r="I79" s="40"/>
      <c r="J79" s="40"/>
      <c r="K79" s="35">
        <f>IF(COUNT(E79:J79)=0,"",AVERAGE(E79:J79))</f>
        <v>0</v>
      </c>
      <c r="L79" s="41">
        <f>IF(COUNT(E79:J79)=0,"",MIN(E79:J79))</f>
        <v>0</v>
      </c>
      <c r="M79" s="41">
        <f>IF(COUNT(E79:J79)=0,"",MAX(E79:J79))</f>
        <v>0</v>
      </c>
    </row>
    <row r="80" spans="1:13" ht="14" customHeight="1">
      <c r="A80" s="21" t="s">
        <v>216</v>
      </c>
      <c r="B80" s="37"/>
      <c r="C80" s="38"/>
      <c r="D80" s="48" t="s">
        <v>202</v>
      </c>
      <c r="E80" s="40"/>
      <c r="F80" s="40"/>
      <c r="G80" s="40"/>
      <c r="H80" s="40"/>
      <c r="I80" s="40"/>
      <c r="J80" s="40"/>
      <c r="K80" s="35">
        <f>IF(COUNT(E80:J80)=0,"",AVERAGE(E80:J80))</f>
        <v>0</v>
      </c>
      <c r="L80" s="41">
        <f>IF(COUNT(E80:J80)=0,"",MIN(E80:J80))</f>
        <v>0</v>
      </c>
      <c r="M80" s="41">
        <f>IF(COUNT(E80:J80)=0,"",MAX(E80:J80))</f>
        <v>0</v>
      </c>
    </row>
    <row r="81" spans="1:13" ht="14" customHeight="1">
      <c r="A81" s="21" t="s">
        <v>217</v>
      </c>
      <c r="B81" s="31" t="s">
        <v>44</v>
      </c>
      <c r="C81" s="32" t="s">
        <v>35</v>
      </c>
      <c r="D81" s="33" t="s">
        <v>200</v>
      </c>
      <c r="E81" s="45"/>
      <c r="F81" s="45"/>
      <c r="G81" s="45"/>
      <c r="H81" s="45"/>
      <c r="I81" s="45"/>
      <c r="J81" s="45"/>
      <c r="K81" s="43">
        <f>IF(COUNT(E81:J81)=0,"",AVERAGE(E81:J81))</f>
        <v>0</v>
      </c>
      <c r="L81" s="46">
        <f>IF(COUNT(E81:J81)=0,"",MIN(E81:J81))</f>
        <v>0</v>
      </c>
      <c r="M81" s="46">
        <f>IF(COUNT(E81:J81)=0,"",MAX(E81:J81))</f>
        <v>0</v>
      </c>
    </row>
    <row r="82" spans="1:13" ht="14" customHeight="1">
      <c r="A82" s="21" t="s">
        <v>218</v>
      </c>
      <c r="B82" s="31"/>
      <c r="C82" s="32"/>
      <c r="D82" s="47" t="s">
        <v>202</v>
      </c>
      <c r="E82" s="45"/>
      <c r="F82" s="45"/>
      <c r="G82" s="45"/>
      <c r="H82" s="45"/>
      <c r="I82" s="45"/>
      <c r="J82" s="45"/>
      <c r="K82" s="43">
        <f>IF(COUNT(E82:J82)=0,"",AVERAGE(E82:J82))</f>
        <v>0</v>
      </c>
      <c r="L82" s="46">
        <f>IF(COUNT(E82:J82)=0,"",MIN(E82:J82))</f>
        <v>0</v>
      </c>
      <c r="M82" s="46">
        <f>IF(COUNT(E82:J82)=0,"",MAX(E82:J82))</f>
        <v>0</v>
      </c>
    </row>
    <row r="83" spans="1:13" ht="14" customHeight="1">
      <c r="A83" s="21" t="s">
        <v>219</v>
      </c>
      <c r="B83" s="37" t="s">
        <v>45</v>
      </c>
      <c r="C83" s="38" t="s">
        <v>35</v>
      </c>
      <c r="D83" s="39" t="s">
        <v>200</v>
      </c>
      <c r="E83" s="42"/>
      <c r="F83" s="42"/>
      <c r="G83" s="42"/>
      <c r="H83" s="42"/>
      <c r="I83" s="42"/>
      <c r="J83" s="42"/>
      <c r="K83" s="43">
        <f>IF(COUNT(E83:J83)=0,"",AVERAGE(E83:J83))</f>
        <v>0</v>
      </c>
      <c r="L83" s="44">
        <f>IF(COUNT(E83:J83)=0,"",MIN(E83:J83))</f>
        <v>0</v>
      </c>
      <c r="M83" s="44">
        <f>IF(COUNT(E83:J83)=0,"",MAX(E83:J83))</f>
        <v>0</v>
      </c>
    </row>
    <row r="84" spans="1:13" ht="14" customHeight="1">
      <c r="A84" s="21" t="s">
        <v>220</v>
      </c>
      <c r="B84" s="37"/>
      <c r="C84" s="38"/>
      <c r="D84" s="48" t="s">
        <v>202</v>
      </c>
      <c r="E84" s="42"/>
      <c r="F84" s="42"/>
      <c r="G84" s="42"/>
      <c r="H84" s="42"/>
      <c r="I84" s="42"/>
      <c r="J84" s="42"/>
      <c r="K84" s="43">
        <f>IF(COUNT(E84:J84)=0,"",AVERAGE(E84:J84))</f>
        <v>0</v>
      </c>
      <c r="L84" s="44">
        <f>IF(COUNT(E84:J84)=0,"",MIN(E84:J84))</f>
        <v>0</v>
      </c>
      <c r="M84" s="44">
        <f>IF(COUNT(E84:J84)=0,"",MAX(E84:J84))</f>
        <v>0</v>
      </c>
    </row>
    <row r="85" spans="1:13" ht="14" customHeight="1">
      <c r="A85" s="21" t="s">
        <v>221</v>
      </c>
      <c r="B85" s="31" t="s">
        <v>46</v>
      </c>
      <c r="C85" s="32" t="s">
        <v>35</v>
      </c>
      <c r="D85" s="33" t="s">
        <v>200</v>
      </c>
      <c r="E85" s="45"/>
      <c r="F85" s="45"/>
      <c r="G85" s="45"/>
      <c r="H85" s="45"/>
      <c r="I85" s="45"/>
      <c r="J85" s="45"/>
      <c r="K85" s="43">
        <f>IF(COUNT(E85:J85)=0,"",AVERAGE(E85:J85))</f>
        <v>0</v>
      </c>
      <c r="L85" s="46">
        <f>IF(COUNT(E85:J85)=0,"",MIN(E85:J85))</f>
        <v>0</v>
      </c>
      <c r="M85" s="46">
        <f>IF(COUNT(E85:J85)=0,"",MAX(E85:J85))</f>
        <v>0</v>
      </c>
    </row>
    <row r="86" spans="1:13" ht="14" customHeight="1">
      <c r="A86" s="21" t="s">
        <v>222</v>
      </c>
      <c r="B86" s="31"/>
      <c r="C86" s="32"/>
      <c r="D86" s="47" t="s">
        <v>202</v>
      </c>
      <c r="E86" s="45"/>
      <c r="F86" s="45"/>
      <c r="G86" s="45"/>
      <c r="H86" s="45"/>
      <c r="I86" s="45"/>
      <c r="J86" s="45"/>
      <c r="K86" s="43">
        <f>IF(COUNT(E86:J86)=0,"",AVERAGE(E86:J86))</f>
        <v>0</v>
      </c>
      <c r="L86" s="46">
        <f>IF(COUNT(E86:J86)=0,"",MIN(E86:J86))</f>
        <v>0</v>
      </c>
      <c r="M86" s="46">
        <f>IF(COUNT(E86:J86)=0,"",MAX(E86:J86))</f>
        <v>0</v>
      </c>
    </row>
    <row r="87" spans="1:13" ht="16" customHeight="1">
      <c r="B87" s="52" t="s">
        <v>223</v>
      </c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</row>
  </sheetData>
  <sheetProtection sheet="1" objects="1" scenarios="1" formatColumns="0" formatRows="0"/>
  <mergeCells count="72">
    <mergeCell ref="D2:M2"/>
    <mergeCell ref="D3:M3"/>
    <mergeCell ref="B6:M6"/>
    <mergeCell ref="B8:M8"/>
    <mergeCell ref="B9:M9"/>
    <mergeCell ref="C10:M10"/>
    <mergeCell ref="C11:M11"/>
    <mergeCell ref="C12:M12"/>
    <mergeCell ref="C13:M13"/>
    <mergeCell ref="C14:M14"/>
    <mergeCell ref="C15:M15"/>
    <mergeCell ref="C16:M16"/>
    <mergeCell ref="C17:M17"/>
    <mergeCell ref="C18:M18"/>
    <mergeCell ref="C19:M19"/>
    <mergeCell ref="C20:M20"/>
    <mergeCell ref="C21:M21"/>
    <mergeCell ref="C22:M22"/>
    <mergeCell ref="B23:M23"/>
    <mergeCell ref="C24:M24"/>
    <mergeCell ref="C25:M25"/>
    <mergeCell ref="C26:M26"/>
    <mergeCell ref="C27:M27"/>
    <mergeCell ref="C28:M28"/>
    <mergeCell ref="B29:M29"/>
    <mergeCell ref="C30:M30"/>
    <mergeCell ref="C31:M31"/>
    <mergeCell ref="C32:M32"/>
    <mergeCell ref="C33:M33"/>
    <mergeCell ref="C34:M34"/>
    <mergeCell ref="B35:M35"/>
    <mergeCell ref="C36:M36"/>
    <mergeCell ref="C37:M37"/>
    <mergeCell ref="C38:M38"/>
    <mergeCell ref="C39:M39"/>
    <mergeCell ref="C40:M40"/>
    <mergeCell ref="C41:M41"/>
    <mergeCell ref="C42:M42"/>
    <mergeCell ref="C43:M43"/>
    <mergeCell ref="C44:M44"/>
    <mergeCell ref="C45:M45"/>
    <mergeCell ref="C46:M46"/>
    <mergeCell ref="C47:M47"/>
    <mergeCell ref="C48:M48"/>
    <mergeCell ref="B50:M50"/>
    <mergeCell ref="B51:M51"/>
    <mergeCell ref="B53:M53"/>
    <mergeCell ref="B64:M64"/>
    <mergeCell ref="B65:B66"/>
    <mergeCell ref="C65:C66"/>
    <mergeCell ref="B67:B68"/>
    <mergeCell ref="C67:C68"/>
    <mergeCell ref="B69:B70"/>
    <mergeCell ref="C69:C70"/>
    <mergeCell ref="B71:B72"/>
    <mergeCell ref="C71:C72"/>
    <mergeCell ref="B73:B74"/>
    <mergeCell ref="C73:C74"/>
    <mergeCell ref="B75:B76"/>
    <mergeCell ref="C75:C76"/>
    <mergeCell ref="B77:B78"/>
    <mergeCell ref="C77:C78"/>
    <mergeCell ref="B79:B80"/>
    <mergeCell ref="C79:C80"/>
    <mergeCell ref="B81:B82"/>
    <mergeCell ref="C81:C82"/>
    <mergeCell ref="B83:B84"/>
    <mergeCell ref="C83:C84"/>
    <mergeCell ref="B85:B86"/>
    <mergeCell ref="C85:C86"/>
    <mergeCell ref="B87:M87"/>
    <mergeCell ref="O12:O17"/>
  </mergeCells>
  <conditionalFormatting sqref="E54:K54">
    <cfRule type="expression" dxfId="1" priority="1">
      <formula>AND(ISNUMBER(E54),OR(AND(ISNUMBER('Configurações'!$K$18),E54&lt;'Configurações'!$K$18),AND(ISNUMBER('Configurações'!$L$18),E54&gt;'Configurações'!$L$18)))</formula>
    </cfRule>
  </conditionalFormatting>
  <conditionalFormatting sqref="E55:K55">
    <cfRule type="expression" dxfId="1" priority="2">
      <formula>AND(ISNUMBER(E55),OR(AND(ISNUMBER('Configurações'!$K$19),E55&lt;'Configurações'!$K$19),AND(ISNUMBER('Configurações'!$L$19),E55&gt;'Configurações'!$L$19)))</formula>
    </cfRule>
  </conditionalFormatting>
  <conditionalFormatting sqref="E56:K56">
    <cfRule type="expression" dxfId="1" priority="3">
      <formula>AND(ISNUMBER(E56),OR(AND(ISNUMBER('Configurações'!$K$20),E56&lt;'Configurações'!$K$20),AND(ISNUMBER('Configurações'!$L$20),E56&gt;'Configurações'!$L$20)))</formula>
    </cfRule>
  </conditionalFormatting>
  <conditionalFormatting sqref="E57:K57">
    <cfRule type="expression" dxfId="1" priority="4">
      <formula>AND(ISNUMBER(E57),OR(AND(ISNUMBER('Configurações'!$K$21),E57&lt;'Configurações'!$K$21),AND(ISNUMBER('Configurações'!$L$21),E57&gt;'Configurações'!$L$21)))</formula>
    </cfRule>
  </conditionalFormatting>
  <conditionalFormatting sqref="E58:K58">
    <cfRule type="expression" dxfId="1" priority="5">
      <formula>AND(ISNUMBER(E58),OR(AND(ISNUMBER('Configurações'!$K$22),E58&lt;'Configurações'!$K$22),AND(ISNUMBER('Configurações'!$L$22),E58&gt;'Configurações'!$L$22)))</formula>
    </cfRule>
  </conditionalFormatting>
  <conditionalFormatting sqref="E59:K59">
    <cfRule type="expression" dxfId="1" priority="6">
      <formula>AND(ISNUMBER(E59),OR(AND(ISNUMBER('Configurações'!$K$23),E59&lt;'Configurações'!$K$23),AND(ISNUMBER('Configurações'!$L$23),E59&gt;'Configurações'!$L$23)))</formula>
    </cfRule>
  </conditionalFormatting>
  <conditionalFormatting sqref="E60:K60">
    <cfRule type="expression" dxfId="1" priority="7">
      <formula>AND(ISNUMBER(E60),OR(AND(ISNUMBER('Configurações'!$K$24),E60&lt;'Configurações'!$K$24),AND(ISNUMBER('Configurações'!$L$24),E60&gt;'Configurações'!$L$24)))</formula>
    </cfRule>
  </conditionalFormatting>
  <conditionalFormatting sqref="E61:K61">
    <cfRule type="expression" dxfId="1" priority="8">
      <formula>AND(ISNUMBER(E61),OR(AND(ISNUMBER('Configurações'!$K$25),E61&lt;'Configurações'!$K$25),AND(ISNUMBER('Configurações'!$L$25),E61&gt;'Configurações'!$L$25)))</formula>
    </cfRule>
  </conditionalFormatting>
  <conditionalFormatting sqref="E62:K62">
    <cfRule type="expression" dxfId="1" priority="9">
      <formula>AND(ISNUMBER(E62),OR(AND(ISNUMBER('Configurações'!$K$26),E62&lt;'Configurações'!$K$26),AND(ISNUMBER('Configurações'!$L$26),E62&gt;'Configurações'!$L$26)))</formula>
    </cfRule>
  </conditionalFormatting>
  <conditionalFormatting sqref="E63:K63">
    <cfRule type="expression" dxfId="1" priority="10">
      <formula>AND(ISNUMBER(E63),OR(AND(ISNUMBER('Configurações'!$K$27),E63&lt;'Configurações'!$K$27),AND(ISNUMBER('Configurações'!$L$27),E63&gt;'Configurações'!$L$27)))</formula>
    </cfRule>
  </conditionalFormatting>
  <conditionalFormatting sqref="E65:K65">
    <cfRule type="expression" dxfId="1" priority="11">
      <formula>AND(ISNUMBER(E65),OR(AND(ISNUMBER('Configurações'!$K$28),E65&lt;'Configurações'!$K$28),AND(ISNUMBER('Configurações'!$L$28),E65&gt;'Configurações'!$L$28)))</formula>
    </cfRule>
  </conditionalFormatting>
  <conditionalFormatting sqref="E66:K66">
    <cfRule type="expression" dxfId="1" priority="12">
      <formula>AND(ISNUMBER(E66),OR(AND(ISNUMBER('Configurações'!$K$28),E66&lt;'Configurações'!$K$28),AND(ISNUMBER('Configurações'!$L$28),E66&gt;'Configurações'!$L$28)))</formula>
    </cfRule>
  </conditionalFormatting>
  <conditionalFormatting sqref="E67:K67">
    <cfRule type="expression" dxfId="1" priority="13">
      <formula>AND(ISNUMBER(E67),OR(AND(ISNUMBER('Configurações'!$K$29),E67&lt;'Configurações'!$K$29),AND(ISNUMBER('Configurações'!$L$29),E67&gt;'Configurações'!$L$29)))</formula>
    </cfRule>
  </conditionalFormatting>
  <conditionalFormatting sqref="E68:K68">
    <cfRule type="expression" dxfId="1" priority="14">
      <formula>AND(ISNUMBER(E68),OR(AND(ISNUMBER('Configurações'!$K$29),E68&lt;'Configurações'!$K$29),AND(ISNUMBER('Configurações'!$L$29),E68&gt;'Configurações'!$L$29)))</formula>
    </cfRule>
  </conditionalFormatting>
  <conditionalFormatting sqref="E69:K69">
    <cfRule type="expression" dxfId="1" priority="15">
      <formula>AND(ISNUMBER(E69),OR(AND(ISNUMBER('Configurações'!$K$30),E69&lt;'Configurações'!$K$30),AND(ISNUMBER('Configurações'!$L$30),E69&gt;'Configurações'!$L$30)))</formula>
    </cfRule>
  </conditionalFormatting>
  <conditionalFormatting sqref="E70:K70">
    <cfRule type="expression" dxfId="1" priority="16">
      <formula>AND(ISNUMBER(E70),OR(AND(ISNUMBER('Configurações'!$K$30),E70&lt;'Configurações'!$K$30),AND(ISNUMBER('Configurações'!$L$30),E70&gt;'Configurações'!$L$30)))</formula>
    </cfRule>
  </conditionalFormatting>
  <conditionalFormatting sqref="E71:K71">
    <cfRule type="expression" dxfId="1" priority="17">
      <formula>AND(ISNUMBER(E71),OR(AND(ISNUMBER('Configurações'!$K$31),E71&lt;'Configurações'!$K$31),AND(ISNUMBER('Configurações'!$L$31),E71&gt;'Configurações'!$L$31)))</formula>
    </cfRule>
  </conditionalFormatting>
  <conditionalFormatting sqref="E72:K72">
    <cfRule type="expression" dxfId="1" priority="18">
      <formula>AND(ISNUMBER(E72),OR(AND(ISNUMBER('Configurações'!$K$31),E72&lt;'Configurações'!$K$31),AND(ISNUMBER('Configurações'!$L$31),E72&gt;'Configurações'!$L$31)))</formula>
    </cfRule>
  </conditionalFormatting>
  <conditionalFormatting sqref="E73:K73">
    <cfRule type="expression" dxfId="1" priority="19">
      <formula>AND(ISNUMBER(E73),OR(AND(ISNUMBER('Configurações'!$K$32),E73&lt;'Configurações'!$K$32),AND(ISNUMBER('Configurações'!$L$32),E73&gt;'Configurações'!$L$32)))</formula>
    </cfRule>
  </conditionalFormatting>
  <conditionalFormatting sqref="E74:K74">
    <cfRule type="expression" dxfId="1" priority="20">
      <formula>AND(ISNUMBER(E74),OR(AND(ISNUMBER('Configurações'!$K$32),E74&lt;'Configurações'!$K$32),AND(ISNUMBER('Configurações'!$L$32),E74&gt;'Configurações'!$L$32)))</formula>
    </cfRule>
  </conditionalFormatting>
  <conditionalFormatting sqref="E75:K75">
    <cfRule type="expression" dxfId="1" priority="21">
      <formula>AND(ISNUMBER(E75),OR(AND(ISNUMBER('Configurações'!$K$33),E75&lt;'Configurações'!$K$33),AND(ISNUMBER('Configurações'!$L$33),E75&gt;'Configurações'!$L$33)))</formula>
    </cfRule>
  </conditionalFormatting>
  <conditionalFormatting sqref="E76:K76">
    <cfRule type="expression" dxfId="1" priority="22">
      <formula>AND(ISNUMBER(E76),OR(AND(ISNUMBER('Configurações'!$K$33),E76&lt;'Configurações'!$K$33),AND(ISNUMBER('Configurações'!$L$33),E76&gt;'Configurações'!$L$33)))</formula>
    </cfRule>
  </conditionalFormatting>
  <conditionalFormatting sqref="E77:K77">
    <cfRule type="expression" dxfId="1" priority="23">
      <formula>AND(ISNUMBER(E77),OR(AND(ISNUMBER('Configurações'!$K$34),E77&lt;'Configurações'!$K$34),AND(ISNUMBER('Configurações'!$L$34),E77&gt;'Configurações'!$L$34)))</formula>
    </cfRule>
  </conditionalFormatting>
  <conditionalFormatting sqref="E78:K78">
    <cfRule type="expression" dxfId="1" priority="24">
      <formula>AND(ISNUMBER(E78),OR(AND(ISNUMBER('Configurações'!$K$34),E78&lt;'Configurações'!$K$34),AND(ISNUMBER('Configurações'!$L$34),E78&gt;'Configurações'!$L$34)))</formula>
    </cfRule>
  </conditionalFormatting>
  <conditionalFormatting sqref="E79:K79">
    <cfRule type="expression" dxfId="1" priority="25">
      <formula>AND(ISNUMBER(E79),OR(AND(ISNUMBER('Configurações'!$K$35),E79&lt;'Configurações'!$K$35),AND(ISNUMBER('Configurações'!$L$35),E79&gt;'Configurações'!$L$35)))</formula>
    </cfRule>
  </conditionalFormatting>
  <conditionalFormatting sqref="E80:K80">
    <cfRule type="expression" dxfId="1" priority="26">
      <formula>AND(ISNUMBER(E80),OR(AND(ISNUMBER('Configurações'!$K$35),E80&lt;'Configurações'!$K$35),AND(ISNUMBER('Configurações'!$L$35),E80&gt;'Configurações'!$L$35)))</formula>
    </cfRule>
  </conditionalFormatting>
  <conditionalFormatting sqref="E81:K81">
    <cfRule type="expression" dxfId="1" priority="27">
      <formula>AND(ISNUMBER(E81),OR(AND(ISNUMBER('Configurações'!$K$36),E81&lt;'Configurações'!$K$36),AND(ISNUMBER('Configurações'!$L$36),E81&gt;'Configurações'!$L$36)))</formula>
    </cfRule>
  </conditionalFormatting>
  <conditionalFormatting sqref="E82:K82">
    <cfRule type="expression" dxfId="1" priority="28">
      <formula>AND(ISNUMBER(E82),OR(AND(ISNUMBER('Configurações'!$K$36),E82&lt;'Configurações'!$K$36),AND(ISNUMBER('Configurações'!$L$36),E82&gt;'Configurações'!$L$36)))</formula>
    </cfRule>
  </conditionalFormatting>
  <conditionalFormatting sqref="E83:K83">
    <cfRule type="expression" dxfId="1" priority="29">
      <formula>AND(ISNUMBER(E83),OR(AND(ISNUMBER('Configurações'!$K$37),E83&lt;'Configurações'!$K$37),AND(ISNUMBER('Configurações'!$L$37),E83&gt;'Configurações'!$L$37)))</formula>
    </cfRule>
  </conditionalFormatting>
  <conditionalFormatting sqref="E84:K84">
    <cfRule type="expression" dxfId="1" priority="30">
      <formula>AND(ISNUMBER(E84),OR(AND(ISNUMBER('Configurações'!$K$37),E84&lt;'Configurações'!$K$37),AND(ISNUMBER('Configurações'!$L$37),E84&gt;'Configurações'!$L$37)))</formula>
    </cfRule>
  </conditionalFormatting>
  <conditionalFormatting sqref="E85:K85">
    <cfRule type="expression" dxfId="1" priority="31">
      <formula>AND(ISNUMBER(E85),OR(AND(ISNUMBER('Configurações'!$K$38),E85&lt;'Configurações'!$K$38),AND(ISNUMBER('Configurações'!$L$38),E85&gt;'Configurações'!$L$38)))</formula>
    </cfRule>
  </conditionalFormatting>
  <conditionalFormatting sqref="E86:K86">
    <cfRule type="expression" dxfId="1" priority="32">
      <formula>AND(ISNUMBER(E86),OR(AND(ISNUMBER('Configurações'!$K$38),E86&lt;'Configurações'!$K$38),AND(ISNUMBER('Configurações'!$L$38),E86&gt;'Configurações'!$L$38)))</formula>
    </cfRule>
  </conditionalFormatting>
  <hyperlinks>
    <hyperlink ref="O10" location="'Preenchimento'!B72" display="◀ Voltar ao preenchimento"/>
  </hyperlinks>
  <printOptions horizontalCentered="1"/>
  <pageMargins left="0.35" right="0.35" top="0.45" bottom="0.4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Resultados">
    <tabColor rgb="FF61889B"/>
    <pageSetUpPr fitToPage="1"/>
  </sheetPr>
  <dimension ref="A1:U44"/>
  <sheetViews>
    <sheetView showGridLines="0" workbookViewId="0"/>
  </sheetViews>
  <sheetFormatPr defaultRowHeight="15"/>
  <cols>
    <col min="1" max="1" width="2.7109375" customWidth="1"/>
    <col min="2" max="2" width="23.7109375" customWidth="1"/>
    <col min="3" max="4" width="6.7109375" customWidth="1"/>
    <col min="5" max="16" width="7.7109375" customWidth="1"/>
    <col min="17" max="17" width="9.7109375" customWidth="1"/>
    <col min="18" max="19" width="7.7109375" customWidth="1"/>
    <col min="20" max="20" width="3.7109375" customWidth="1"/>
    <col min="21" max="21" width="28.7109375" customWidth="1"/>
  </cols>
  <sheetData>
    <row r="1" spans="1:21" ht="6" customHeight="1"/>
    <row r="2" spans="1:21" ht="26" customHeight="1">
      <c r="B2" s="1"/>
      <c r="C2" s="1"/>
      <c r="D2" s="2" t="s">
        <v>234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1" ht="20" customHeight="1">
      <c r="B3" s="1"/>
      <c r="C3" s="1"/>
      <c r="D3" s="3" t="s">
        <v>235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21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21" ht="8" customHeight="1"/>
    <row r="6" spans="1:21" ht="26" customHeight="1">
      <c r="B6" s="20" t="s">
        <v>236</v>
      </c>
      <c r="C6" s="53" t="s">
        <v>99</v>
      </c>
      <c r="D6" s="53"/>
      <c r="E6" s="54"/>
      <c r="F6" s="54"/>
      <c r="G6" s="54"/>
      <c r="H6" s="55" t="s">
        <v>100</v>
      </c>
      <c r="I6" s="54"/>
      <c r="J6" s="54"/>
      <c r="K6" s="54"/>
      <c r="L6" s="56" t="s">
        <v>237</v>
      </c>
      <c r="M6" s="56"/>
      <c r="N6" s="56"/>
      <c r="O6" s="56"/>
      <c r="P6" s="56"/>
      <c r="Q6" s="56"/>
      <c r="R6" s="56"/>
      <c r="S6" s="56"/>
    </row>
    <row r="7" spans="1:21" ht="6" customHeight="1"/>
    <row r="8" spans="1:21">
      <c r="B8" s="28" t="s">
        <v>238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</row>
    <row r="9" spans="1:21" ht="26" customHeight="1">
      <c r="B9" s="29" t="s">
        <v>174</v>
      </c>
      <c r="C9" s="29" t="s">
        <v>175</v>
      </c>
      <c r="D9" s="29" t="s">
        <v>176</v>
      </c>
      <c r="E9" s="29" t="s">
        <v>239</v>
      </c>
      <c r="F9" s="29" t="s">
        <v>239</v>
      </c>
      <c r="G9" s="29" t="s">
        <v>239</v>
      </c>
      <c r="H9" s="29" t="s">
        <v>239</v>
      </c>
      <c r="I9" s="29" t="s">
        <v>239</v>
      </c>
      <c r="J9" s="29" t="s">
        <v>239</v>
      </c>
      <c r="K9" s="29" t="s">
        <v>239</v>
      </c>
      <c r="L9" s="29" t="s">
        <v>239</v>
      </c>
      <c r="M9" s="29" t="s">
        <v>239</v>
      </c>
      <c r="N9" s="29" t="s">
        <v>239</v>
      </c>
      <c r="O9" s="29" t="s">
        <v>239</v>
      </c>
      <c r="P9" s="29" t="s">
        <v>239</v>
      </c>
      <c r="Q9" s="29" t="s">
        <v>240</v>
      </c>
      <c r="R9" s="29" t="s">
        <v>184</v>
      </c>
      <c r="S9" s="29" t="s">
        <v>185</v>
      </c>
    </row>
    <row r="10" spans="1:21">
      <c r="A10" s="21" t="s">
        <v>186</v>
      </c>
      <c r="B10" s="30" t="s">
        <v>33</v>
      </c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U10" s="10" t="s">
        <v>224</v>
      </c>
    </row>
    <row r="11" spans="1:21" ht="14" customHeight="1">
      <c r="A11" s="21" t="s">
        <v>187</v>
      </c>
      <c r="B11" s="31" t="s">
        <v>34</v>
      </c>
      <c r="C11" s="32" t="s">
        <v>35</v>
      </c>
      <c r="D11" s="33" t="s">
        <v>188</v>
      </c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5">
        <f>IF(COUNT(E11:P11)=0,"",AVERAGE(E11:P11))</f>
        <v>0</v>
      </c>
      <c r="R11" s="36">
        <f>IF(COUNT(E11:P11)=0,"",MIN(E11:P11))</f>
        <v>0</v>
      </c>
      <c r="S11" s="36">
        <f>IF(COUNT(E11:P11)=0,"",MAX(E11:P11))</f>
        <v>0</v>
      </c>
    </row>
    <row r="12" spans="1:21" ht="14" customHeight="1">
      <c r="A12" s="21" t="s">
        <v>189</v>
      </c>
      <c r="B12" s="37" t="s">
        <v>38</v>
      </c>
      <c r="C12" s="38" t="s">
        <v>35</v>
      </c>
      <c r="D12" s="39" t="s">
        <v>188</v>
      </c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35">
        <f>IF(COUNT(E12:P12)=0,"",AVERAGE(E12:P12))</f>
        <v>0</v>
      </c>
      <c r="R12" s="41">
        <f>IF(COUNT(E12:P12)=0,"",MIN(E12:P12))</f>
        <v>0</v>
      </c>
      <c r="S12" s="41">
        <f>IF(COUNT(E12:P12)=0,"",MAX(E12:P12))</f>
        <v>0</v>
      </c>
    </row>
    <row r="13" spans="1:21" ht="14" customHeight="1">
      <c r="A13" s="21" t="s">
        <v>190</v>
      </c>
      <c r="B13" s="31" t="s">
        <v>40</v>
      </c>
      <c r="C13" s="32" t="s">
        <v>35</v>
      </c>
      <c r="D13" s="33" t="s">
        <v>188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5">
        <f>IF(COUNT(E13:P13)=0,"",AVERAGE(E13:P13))</f>
        <v>0</v>
      </c>
      <c r="R13" s="36">
        <f>IF(COUNT(E13:P13)=0,"",MIN(E13:P13))</f>
        <v>0</v>
      </c>
      <c r="S13" s="36">
        <f>IF(COUNT(E13:P13)=0,"",MAX(E13:P13))</f>
        <v>0</v>
      </c>
    </row>
    <row r="14" spans="1:21" ht="14" customHeight="1">
      <c r="A14" s="21" t="s">
        <v>191</v>
      </c>
      <c r="B14" s="37" t="s">
        <v>41</v>
      </c>
      <c r="C14" s="38" t="s">
        <v>35</v>
      </c>
      <c r="D14" s="39" t="s">
        <v>188</v>
      </c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35">
        <f>IF(COUNT(E14:P14)=0,"",AVERAGE(E14:P14))</f>
        <v>0</v>
      </c>
      <c r="R14" s="41">
        <f>IF(COUNT(E14:P14)=0,"",MIN(E14:P14))</f>
        <v>0</v>
      </c>
      <c r="S14" s="41">
        <f>IF(COUNT(E14:P14)=0,"",MAX(E14:P14))</f>
        <v>0</v>
      </c>
    </row>
    <row r="15" spans="1:21" ht="14" customHeight="1">
      <c r="A15" s="21" t="s">
        <v>192</v>
      </c>
      <c r="B15" s="31" t="s">
        <v>43</v>
      </c>
      <c r="C15" s="32" t="s">
        <v>35</v>
      </c>
      <c r="D15" s="33" t="s">
        <v>188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5">
        <f>IF(COUNT(E15:P15)=0,"",AVERAGE(E15:P15))</f>
        <v>0</v>
      </c>
      <c r="R15" s="36">
        <f>IF(COUNT(E15:P15)=0,"",MIN(E15:P15))</f>
        <v>0</v>
      </c>
      <c r="S15" s="36">
        <f>IF(COUNT(E15:P15)=0,"",MAX(E15:P15))</f>
        <v>0</v>
      </c>
    </row>
    <row r="16" spans="1:21" ht="14" customHeight="1">
      <c r="A16" s="21" t="s">
        <v>193</v>
      </c>
      <c r="B16" s="37" t="s">
        <v>44</v>
      </c>
      <c r="C16" s="38" t="s">
        <v>35</v>
      </c>
      <c r="D16" s="39" t="s">
        <v>188</v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3">
        <f>IF(COUNT(E16:P16)=0,"",AVERAGE(E16:P16))</f>
        <v>0</v>
      </c>
      <c r="R16" s="44">
        <f>IF(COUNT(E16:P16)=0,"",MIN(E16:P16))</f>
        <v>0</v>
      </c>
      <c r="S16" s="44">
        <f>IF(COUNT(E16:P16)=0,"",MAX(E16:P16))</f>
        <v>0</v>
      </c>
    </row>
    <row r="17" spans="1:19" ht="14" customHeight="1">
      <c r="A17" s="21" t="s">
        <v>194</v>
      </c>
      <c r="B17" s="31" t="s">
        <v>45</v>
      </c>
      <c r="C17" s="32" t="s">
        <v>35</v>
      </c>
      <c r="D17" s="33" t="s">
        <v>188</v>
      </c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3">
        <f>IF(COUNT(E17:P17)=0,"",AVERAGE(E17:P17))</f>
        <v>0</v>
      </c>
      <c r="R17" s="46">
        <f>IF(COUNT(E17:P17)=0,"",MIN(E17:P17))</f>
        <v>0</v>
      </c>
      <c r="S17" s="46">
        <f>IF(COUNT(E17:P17)=0,"",MAX(E17:P17))</f>
        <v>0</v>
      </c>
    </row>
    <row r="18" spans="1:19" ht="14" customHeight="1">
      <c r="A18" s="21" t="s">
        <v>195</v>
      </c>
      <c r="B18" s="37" t="s">
        <v>46</v>
      </c>
      <c r="C18" s="38" t="s">
        <v>35</v>
      </c>
      <c r="D18" s="39" t="s">
        <v>188</v>
      </c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3">
        <f>IF(COUNT(E18:P18)=0,"",AVERAGE(E18:P18))</f>
        <v>0</v>
      </c>
      <c r="R18" s="44">
        <f>IF(COUNT(E18:P18)=0,"",MIN(E18:P18))</f>
        <v>0</v>
      </c>
      <c r="S18" s="44">
        <f>IF(COUNT(E18:P18)=0,"",MAX(E18:P18))</f>
        <v>0</v>
      </c>
    </row>
    <row r="19" spans="1:19" ht="14" customHeight="1">
      <c r="A19" s="21" t="s">
        <v>196</v>
      </c>
      <c r="B19" s="31" t="s">
        <v>47</v>
      </c>
      <c r="C19" s="32" t="s">
        <v>35</v>
      </c>
      <c r="D19" s="33" t="s">
        <v>188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5">
        <f>IF(COUNT(E19:P19)=0,"",AVERAGE(E19:P19))</f>
        <v>0</v>
      </c>
      <c r="R19" s="36">
        <f>IF(COUNT(E19:P19)=0,"",MIN(E19:P19))</f>
        <v>0</v>
      </c>
      <c r="S19" s="36">
        <f>IF(COUNT(E19:P19)=0,"",MAX(E19:P19))</f>
        <v>0</v>
      </c>
    </row>
    <row r="20" spans="1:19" ht="14" customHeight="1">
      <c r="A20" s="21" t="s">
        <v>197</v>
      </c>
      <c r="B20" s="37" t="s">
        <v>49</v>
      </c>
      <c r="C20" s="38" t="s">
        <v>50</v>
      </c>
      <c r="D20" s="39" t="s">
        <v>188</v>
      </c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35">
        <f>IF(COUNT(E20:P20)=0,"",AVERAGE(E20:P20))</f>
        <v>0</v>
      </c>
      <c r="R20" s="41">
        <f>IF(COUNT(E20:P20)=0,"",MIN(E20:P20))</f>
        <v>0</v>
      </c>
      <c r="S20" s="41">
        <f>IF(COUNT(E20:P20)=0,"",MAX(E20:P20))</f>
        <v>0</v>
      </c>
    </row>
    <row r="21" spans="1:19">
      <c r="A21" s="21" t="s">
        <v>198</v>
      </c>
      <c r="B21" s="30" t="s">
        <v>51</v>
      </c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</row>
    <row r="22" spans="1:19" ht="14" customHeight="1">
      <c r="A22" s="21" t="s">
        <v>199</v>
      </c>
      <c r="B22" s="31" t="s">
        <v>34</v>
      </c>
      <c r="C22" s="32" t="s">
        <v>35</v>
      </c>
      <c r="D22" s="33" t="s">
        <v>200</v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5">
        <f>IF(COUNT(E22:P22)=0,"",AVERAGE(E22:P22))</f>
        <v>0</v>
      </c>
      <c r="R22" s="36">
        <f>IF(COUNT(E22:P22)=0,"",MIN(E22:P22))</f>
        <v>0</v>
      </c>
      <c r="S22" s="36">
        <f>IF(COUNT(E22:P22)=0,"",MAX(E22:P22))</f>
        <v>0</v>
      </c>
    </row>
    <row r="23" spans="1:19" ht="14" customHeight="1">
      <c r="A23" s="21" t="s">
        <v>201</v>
      </c>
      <c r="B23" s="31"/>
      <c r="C23" s="32"/>
      <c r="D23" s="47" t="s">
        <v>202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5">
        <f>IF(COUNT(E23:P23)=0,"",AVERAGE(E23:P23))</f>
        <v>0</v>
      </c>
      <c r="R23" s="36">
        <f>IF(COUNT(E23:P23)=0,"",MIN(E23:P23))</f>
        <v>0</v>
      </c>
      <c r="S23" s="36">
        <f>IF(COUNT(E23:P23)=0,"",MAX(E23:P23))</f>
        <v>0</v>
      </c>
    </row>
    <row r="24" spans="1:19" ht="14" customHeight="1">
      <c r="A24" s="21" t="s">
        <v>203</v>
      </c>
      <c r="B24" s="37" t="s">
        <v>38</v>
      </c>
      <c r="C24" s="38" t="s">
        <v>35</v>
      </c>
      <c r="D24" s="39" t="s">
        <v>200</v>
      </c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35">
        <f>IF(COUNT(E24:P24)=0,"",AVERAGE(E24:P24))</f>
        <v>0</v>
      </c>
      <c r="R24" s="41">
        <f>IF(COUNT(E24:P24)=0,"",MIN(E24:P24))</f>
        <v>0</v>
      </c>
      <c r="S24" s="41">
        <f>IF(COUNT(E24:P24)=0,"",MAX(E24:P24))</f>
        <v>0</v>
      </c>
    </row>
    <row r="25" spans="1:19" ht="14" customHeight="1">
      <c r="A25" s="21" t="s">
        <v>204</v>
      </c>
      <c r="B25" s="37"/>
      <c r="C25" s="38"/>
      <c r="D25" s="48" t="s">
        <v>202</v>
      </c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35">
        <f>IF(COUNT(E25:P25)=0,"",AVERAGE(E25:P25))</f>
        <v>0</v>
      </c>
      <c r="R25" s="41">
        <f>IF(COUNT(E25:P25)=0,"",MIN(E25:P25))</f>
        <v>0</v>
      </c>
      <c r="S25" s="41">
        <f>IF(COUNT(E25:P25)=0,"",MAX(E25:P25))</f>
        <v>0</v>
      </c>
    </row>
    <row r="26" spans="1:19" ht="14" customHeight="1">
      <c r="A26" s="21" t="s">
        <v>205</v>
      </c>
      <c r="B26" s="31" t="s">
        <v>40</v>
      </c>
      <c r="C26" s="32" t="s">
        <v>35</v>
      </c>
      <c r="D26" s="33" t="s">
        <v>200</v>
      </c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5">
        <f>IF(COUNT(E26:P26)=0,"",AVERAGE(E26:P26))</f>
        <v>0</v>
      </c>
      <c r="R26" s="36">
        <f>IF(COUNT(E26:P26)=0,"",MIN(E26:P26))</f>
        <v>0</v>
      </c>
      <c r="S26" s="36">
        <f>IF(COUNT(E26:P26)=0,"",MAX(E26:P26))</f>
        <v>0</v>
      </c>
    </row>
    <row r="27" spans="1:19" ht="14" customHeight="1">
      <c r="A27" s="21" t="s">
        <v>206</v>
      </c>
      <c r="B27" s="31"/>
      <c r="C27" s="32"/>
      <c r="D27" s="47" t="s">
        <v>202</v>
      </c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5">
        <f>IF(COUNT(E27:P27)=0,"",AVERAGE(E27:P27))</f>
        <v>0</v>
      </c>
      <c r="R27" s="36">
        <f>IF(COUNT(E27:P27)=0,"",MIN(E27:P27))</f>
        <v>0</v>
      </c>
      <c r="S27" s="36">
        <f>IF(COUNT(E27:P27)=0,"",MAX(E27:P27))</f>
        <v>0</v>
      </c>
    </row>
    <row r="28" spans="1:19" ht="14" customHeight="1">
      <c r="A28" s="21" t="s">
        <v>207</v>
      </c>
      <c r="B28" s="37" t="s">
        <v>41</v>
      </c>
      <c r="C28" s="38" t="s">
        <v>35</v>
      </c>
      <c r="D28" s="39" t="s">
        <v>200</v>
      </c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35">
        <f>IF(COUNT(E28:P28)=0,"",AVERAGE(E28:P28))</f>
        <v>0</v>
      </c>
      <c r="R28" s="41">
        <f>IF(COUNT(E28:P28)=0,"",MIN(E28:P28))</f>
        <v>0</v>
      </c>
      <c r="S28" s="41">
        <f>IF(COUNT(E28:P28)=0,"",MAX(E28:P28))</f>
        <v>0</v>
      </c>
    </row>
    <row r="29" spans="1:19" ht="14" customHeight="1">
      <c r="A29" s="21" t="s">
        <v>208</v>
      </c>
      <c r="B29" s="37"/>
      <c r="C29" s="38"/>
      <c r="D29" s="48" t="s">
        <v>202</v>
      </c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35">
        <f>IF(COUNT(E29:P29)=0,"",AVERAGE(E29:P29))</f>
        <v>0</v>
      </c>
      <c r="R29" s="41">
        <f>IF(COUNT(E29:P29)=0,"",MIN(E29:P29))</f>
        <v>0</v>
      </c>
      <c r="S29" s="41">
        <f>IF(COUNT(E29:P29)=0,"",MAX(E29:P29))</f>
        <v>0</v>
      </c>
    </row>
    <row r="30" spans="1:19" ht="14" customHeight="1">
      <c r="A30" s="21" t="s">
        <v>209</v>
      </c>
      <c r="B30" s="31" t="s">
        <v>43</v>
      </c>
      <c r="C30" s="32" t="s">
        <v>35</v>
      </c>
      <c r="D30" s="33" t="s">
        <v>200</v>
      </c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5">
        <f>IF(COUNT(E30:P30)=0,"",AVERAGE(E30:P30))</f>
        <v>0</v>
      </c>
      <c r="R30" s="36">
        <f>IF(COUNT(E30:P30)=0,"",MIN(E30:P30))</f>
        <v>0</v>
      </c>
      <c r="S30" s="36">
        <f>IF(COUNT(E30:P30)=0,"",MAX(E30:P30))</f>
        <v>0</v>
      </c>
    </row>
    <row r="31" spans="1:19" ht="14" customHeight="1">
      <c r="A31" s="21" t="s">
        <v>210</v>
      </c>
      <c r="B31" s="31"/>
      <c r="C31" s="32"/>
      <c r="D31" s="47" t="s">
        <v>202</v>
      </c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5">
        <f>IF(COUNT(E31:P31)=0,"",AVERAGE(E31:P31))</f>
        <v>0</v>
      </c>
      <c r="R31" s="36">
        <f>IF(COUNT(E31:P31)=0,"",MIN(E31:P31))</f>
        <v>0</v>
      </c>
      <c r="S31" s="36">
        <f>IF(COUNT(E31:P31)=0,"",MAX(E31:P31))</f>
        <v>0</v>
      </c>
    </row>
    <row r="32" spans="1:19" ht="14" customHeight="1">
      <c r="A32" s="21" t="s">
        <v>211</v>
      </c>
      <c r="B32" s="37" t="s">
        <v>56</v>
      </c>
      <c r="C32" s="38" t="s">
        <v>50</v>
      </c>
      <c r="D32" s="39" t="s">
        <v>200</v>
      </c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35">
        <f>IF(COUNT(E32:P32)=0,"",AVERAGE(E32:P32))</f>
        <v>0</v>
      </c>
      <c r="R32" s="41">
        <f>IF(COUNT(E32:P32)=0,"",MIN(E32:P32))</f>
        <v>0</v>
      </c>
      <c r="S32" s="41">
        <f>IF(COUNT(E32:P32)=0,"",MAX(E32:P32))</f>
        <v>0</v>
      </c>
    </row>
    <row r="33" spans="1:19" ht="14" customHeight="1">
      <c r="A33" s="21" t="s">
        <v>212</v>
      </c>
      <c r="B33" s="37"/>
      <c r="C33" s="38"/>
      <c r="D33" s="48" t="s">
        <v>202</v>
      </c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35">
        <f>IF(COUNT(E33:P33)=0,"",AVERAGE(E33:P33))</f>
        <v>0</v>
      </c>
      <c r="R33" s="41">
        <f>IF(COUNT(E33:P33)=0,"",MIN(E33:P33))</f>
        <v>0</v>
      </c>
      <c r="S33" s="41">
        <f>IF(COUNT(E33:P33)=0,"",MAX(E33:P33))</f>
        <v>0</v>
      </c>
    </row>
    <row r="34" spans="1:19" ht="14" customHeight="1">
      <c r="A34" s="21" t="s">
        <v>213</v>
      </c>
      <c r="B34" s="31" t="s">
        <v>59</v>
      </c>
      <c r="C34" s="32" t="s">
        <v>60</v>
      </c>
      <c r="D34" s="33" t="s">
        <v>200</v>
      </c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50">
        <f>IF(COUNT(E34:P34)=0,"",AVERAGE(E34:P34))</f>
        <v>0</v>
      </c>
      <c r="R34" s="51">
        <f>IF(COUNT(E34:P34)=0,"",MIN(E34:P34))</f>
        <v>0</v>
      </c>
      <c r="S34" s="51">
        <f>IF(COUNT(E34:P34)=0,"",MAX(E34:P34))</f>
        <v>0</v>
      </c>
    </row>
    <row r="35" spans="1:19" ht="14" customHeight="1">
      <c r="A35" s="21" t="s">
        <v>214</v>
      </c>
      <c r="B35" s="31"/>
      <c r="C35" s="32"/>
      <c r="D35" s="47" t="s">
        <v>202</v>
      </c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50">
        <f>IF(COUNT(E35:P35)=0,"",AVERAGE(E35:P35))</f>
        <v>0</v>
      </c>
      <c r="R35" s="51">
        <f>IF(COUNT(E35:P35)=0,"",MIN(E35:P35))</f>
        <v>0</v>
      </c>
      <c r="S35" s="51">
        <f>IF(COUNT(E35:P35)=0,"",MAX(E35:P35))</f>
        <v>0</v>
      </c>
    </row>
    <row r="36" spans="1:19" ht="14" customHeight="1">
      <c r="A36" s="21" t="s">
        <v>215</v>
      </c>
      <c r="B36" s="37" t="s">
        <v>63</v>
      </c>
      <c r="C36" s="38" t="s">
        <v>35</v>
      </c>
      <c r="D36" s="39" t="s">
        <v>200</v>
      </c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35">
        <f>IF(COUNT(E36:P36)=0,"",AVERAGE(E36:P36))</f>
        <v>0</v>
      </c>
      <c r="R36" s="41">
        <f>IF(COUNT(E36:P36)=0,"",MIN(E36:P36))</f>
        <v>0</v>
      </c>
      <c r="S36" s="41">
        <f>IF(COUNT(E36:P36)=0,"",MAX(E36:P36))</f>
        <v>0</v>
      </c>
    </row>
    <row r="37" spans="1:19" ht="14" customHeight="1">
      <c r="A37" s="21" t="s">
        <v>216</v>
      </c>
      <c r="B37" s="37"/>
      <c r="C37" s="38"/>
      <c r="D37" s="48" t="s">
        <v>202</v>
      </c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35">
        <f>IF(COUNT(E37:P37)=0,"",AVERAGE(E37:P37))</f>
        <v>0</v>
      </c>
      <c r="R37" s="41">
        <f>IF(COUNT(E37:P37)=0,"",MIN(E37:P37))</f>
        <v>0</v>
      </c>
      <c r="S37" s="41">
        <f>IF(COUNT(E37:P37)=0,"",MAX(E37:P37))</f>
        <v>0</v>
      </c>
    </row>
    <row r="38" spans="1:19" ht="14" customHeight="1">
      <c r="A38" s="21" t="s">
        <v>217</v>
      </c>
      <c r="B38" s="31" t="s">
        <v>44</v>
      </c>
      <c r="C38" s="32" t="s">
        <v>35</v>
      </c>
      <c r="D38" s="33" t="s">
        <v>200</v>
      </c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3">
        <f>IF(COUNT(E38:P38)=0,"",AVERAGE(E38:P38))</f>
        <v>0</v>
      </c>
      <c r="R38" s="46">
        <f>IF(COUNT(E38:P38)=0,"",MIN(E38:P38))</f>
        <v>0</v>
      </c>
      <c r="S38" s="46">
        <f>IF(COUNT(E38:P38)=0,"",MAX(E38:P38))</f>
        <v>0</v>
      </c>
    </row>
    <row r="39" spans="1:19" ht="14" customHeight="1">
      <c r="A39" s="21" t="s">
        <v>218</v>
      </c>
      <c r="B39" s="31"/>
      <c r="C39" s="32"/>
      <c r="D39" s="47" t="s">
        <v>202</v>
      </c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3">
        <f>IF(COUNT(E39:P39)=0,"",AVERAGE(E39:P39))</f>
        <v>0</v>
      </c>
      <c r="R39" s="46">
        <f>IF(COUNT(E39:P39)=0,"",MIN(E39:P39))</f>
        <v>0</v>
      </c>
      <c r="S39" s="46">
        <f>IF(COUNT(E39:P39)=0,"",MAX(E39:P39))</f>
        <v>0</v>
      </c>
    </row>
    <row r="40" spans="1:19" ht="14" customHeight="1">
      <c r="A40" s="21" t="s">
        <v>219</v>
      </c>
      <c r="B40" s="37" t="s">
        <v>45</v>
      </c>
      <c r="C40" s="38" t="s">
        <v>35</v>
      </c>
      <c r="D40" s="39" t="s">
        <v>200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3">
        <f>IF(COUNT(E40:P40)=0,"",AVERAGE(E40:P40))</f>
        <v>0</v>
      </c>
      <c r="R40" s="44">
        <f>IF(COUNT(E40:P40)=0,"",MIN(E40:P40))</f>
        <v>0</v>
      </c>
      <c r="S40" s="44">
        <f>IF(COUNT(E40:P40)=0,"",MAX(E40:P40))</f>
        <v>0</v>
      </c>
    </row>
    <row r="41" spans="1:19" ht="14" customHeight="1">
      <c r="A41" s="21" t="s">
        <v>220</v>
      </c>
      <c r="B41" s="37"/>
      <c r="C41" s="38"/>
      <c r="D41" s="48" t="s">
        <v>202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3">
        <f>IF(COUNT(E41:P41)=0,"",AVERAGE(E41:P41))</f>
        <v>0</v>
      </c>
      <c r="R41" s="44">
        <f>IF(COUNT(E41:P41)=0,"",MIN(E41:P41))</f>
        <v>0</v>
      </c>
      <c r="S41" s="44">
        <f>IF(COUNT(E41:P41)=0,"",MAX(E41:P41))</f>
        <v>0</v>
      </c>
    </row>
    <row r="42" spans="1:19" ht="14" customHeight="1">
      <c r="A42" s="21" t="s">
        <v>221</v>
      </c>
      <c r="B42" s="31" t="s">
        <v>46</v>
      </c>
      <c r="C42" s="32" t="s">
        <v>35</v>
      </c>
      <c r="D42" s="33" t="s">
        <v>200</v>
      </c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3">
        <f>IF(COUNT(E42:P42)=0,"",AVERAGE(E42:P42))</f>
        <v>0</v>
      </c>
      <c r="R42" s="46">
        <f>IF(COUNT(E42:P42)=0,"",MIN(E42:P42))</f>
        <v>0</v>
      </c>
      <c r="S42" s="46">
        <f>IF(COUNT(E42:P42)=0,"",MAX(E42:P42))</f>
        <v>0</v>
      </c>
    </row>
    <row r="43" spans="1:19" ht="14" customHeight="1">
      <c r="A43" s="21" t="s">
        <v>222</v>
      </c>
      <c r="B43" s="31"/>
      <c r="C43" s="32"/>
      <c r="D43" s="47" t="s">
        <v>202</v>
      </c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3">
        <f>IF(COUNT(E43:P43)=0,"",AVERAGE(E43:P43))</f>
        <v>0</v>
      </c>
      <c r="R43" s="46">
        <f>IF(COUNT(E43:P43)=0,"",MIN(E43:P43))</f>
        <v>0</v>
      </c>
      <c r="S43" s="46">
        <f>IF(COUNT(E43:P43)=0,"",MAX(E43:P43))</f>
        <v>0</v>
      </c>
    </row>
    <row r="44" spans="1:19" ht="16" customHeight="1">
      <c r="B44" s="52" t="s">
        <v>241</v>
      </c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</row>
  </sheetData>
  <sheetProtection sheet="1" objects="1" scenarios="1" formatColumns="0" formatRows="0"/>
  <mergeCells count="32">
    <mergeCell ref="D2:S2"/>
    <mergeCell ref="D3:S3"/>
    <mergeCell ref="C6:D6"/>
    <mergeCell ref="E6:G6"/>
    <mergeCell ref="I6:K6"/>
    <mergeCell ref="L6:S6"/>
    <mergeCell ref="B8:S8"/>
    <mergeCell ref="B10:S10"/>
    <mergeCell ref="B21:S21"/>
    <mergeCell ref="B22:B23"/>
    <mergeCell ref="C22:C23"/>
    <mergeCell ref="B24:B25"/>
    <mergeCell ref="C24:C25"/>
    <mergeCell ref="B26:B27"/>
    <mergeCell ref="C26:C27"/>
    <mergeCell ref="B28:B29"/>
    <mergeCell ref="C28:C29"/>
    <mergeCell ref="B30:B31"/>
    <mergeCell ref="C30:C31"/>
    <mergeCell ref="B32:B33"/>
    <mergeCell ref="C32:C33"/>
    <mergeCell ref="B34:B35"/>
    <mergeCell ref="C34:C35"/>
    <mergeCell ref="B36:B37"/>
    <mergeCell ref="C36:C37"/>
    <mergeCell ref="B38:B39"/>
    <mergeCell ref="C38:C39"/>
    <mergeCell ref="B40:B41"/>
    <mergeCell ref="C40:C41"/>
    <mergeCell ref="B42:B43"/>
    <mergeCell ref="C42:C43"/>
    <mergeCell ref="B44:S44"/>
  </mergeCells>
  <conditionalFormatting sqref="E11:Q11">
    <cfRule type="expression" dxfId="1" priority="1">
      <formula>AND(ISNUMBER(E11),OR(AND(ISNUMBER('Configurações'!$K$18),E11&lt;'Configurações'!$K$18),AND(ISNUMBER('Configurações'!$L$18),E11&gt;'Configurações'!$L$18)))</formula>
    </cfRule>
  </conditionalFormatting>
  <conditionalFormatting sqref="E12:Q12">
    <cfRule type="expression" dxfId="1" priority="2">
      <formula>AND(ISNUMBER(E12),OR(AND(ISNUMBER('Configurações'!$K$19),E12&lt;'Configurações'!$K$19),AND(ISNUMBER('Configurações'!$L$19),E12&gt;'Configurações'!$L$19)))</formula>
    </cfRule>
  </conditionalFormatting>
  <conditionalFormatting sqref="E13:Q13">
    <cfRule type="expression" dxfId="1" priority="3">
      <formula>AND(ISNUMBER(E13),OR(AND(ISNUMBER('Configurações'!$K$20),E13&lt;'Configurações'!$K$20),AND(ISNUMBER('Configurações'!$L$20),E13&gt;'Configurações'!$L$20)))</formula>
    </cfRule>
  </conditionalFormatting>
  <conditionalFormatting sqref="E14:Q14">
    <cfRule type="expression" dxfId="1" priority="4">
      <formula>AND(ISNUMBER(E14),OR(AND(ISNUMBER('Configurações'!$K$21),E14&lt;'Configurações'!$K$21),AND(ISNUMBER('Configurações'!$L$21),E14&gt;'Configurações'!$L$21)))</formula>
    </cfRule>
  </conditionalFormatting>
  <conditionalFormatting sqref="E15:Q15">
    <cfRule type="expression" dxfId="1" priority="5">
      <formula>AND(ISNUMBER(E15),OR(AND(ISNUMBER('Configurações'!$K$22),E15&lt;'Configurações'!$K$22),AND(ISNUMBER('Configurações'!$L$22),E15&gt;'Configurações'!$L$22)))</formula>
    </cfRule>
  </conditionalFormatting>
  <conditionalFormatting sqref="E16:Q16">
    <cfRule type="expression" dxfId="1" priority="6">
      <formula>AND(ISNUMBER(E16),OR(AND(ISNUMBER('Configurações'!$K$23),E16&lt;'Configurações'!$K$23),AND(ISNUMBER('Configurações'!$L$23),E16&gt;'Configurações'!$L$23)))</formula>
    </cfRule>
  </conditionalFormatting>
  <conditionalFormatting sqref="E17:Q17">
    <cfRule type="expression" dxfId="1" priority="7">
      <formula>AND(ISNUMBER(E17),OR(AND(ISNUMBER('Configurações'!$K$24),E17&lt;'Configurações'!$K$24),AND(ISNUMBER('Configurações'!$L$24),E17&gt;'Configurações'!$L$24)))</formula>
    </cfRule>
  </conditionalFormatting>
  <conditionalFormatting sqref="E18:Q18">
    <cfRule type="expression" dxfId="1" priority="8">
      <formula>AND(ISNUMBER(E18),OR(AND(ISNUMBER('Configurações'!$K$25),E18&lt;'Configurações'!$K$25),AND(ISNUMBER('Configurações'!$L$25),E18&gt;'Configurações'!$L$25)))</formula>
    </cfRule>
  </conditionalFormatting>
  <conditionalFormatting sqref="E19:Q19">
    <cfRule type="expression" dxfId="1" priority="9">
      <formula>AND(ISNUMBER(E19),OR(AND(ISNUMBER('Configurações'!$K$26),E19&lt;'Configurações'!$K$26),AND(ISNUMBER('Configurações'!$L$26),E19&gt;'Configurações'!$L$26)))</formula>
    </cfRule>
  </conditionalFormatting>
  <conditionalFormatting sqref="E20:Q20">
    <cfRule type="expression" dxfId="1" priority="10">
      <formula>AND(ISNUMBER(E20),OR(AND(ISNUMBER('Configurações'!$K$27),E20&lt;'Configurações'!$K$27),AND(ISNUMBER('Configurações'!$L$27),E20&gt;'Configurações'!$L$27)))</formula>
    </cfRule>
  </conditionalFormatting>
  <conditionalFormatting sqref="E22:Q22">
    <cfRule type="expression" dxfId="1" priority="11">
      <formula>AND(ISNUMBER(E22),OR(AND(ISNUMBER('Configurações'!$K$28),E22&lt;'Configurações'!$K$28),AND(ISNUMBER('Configurações'!$L$28),E22&gt;'Configurações'!$L$28)))</formula>
    </cfRule>
  </conditionalFormatting>
  <conditionalFormatting sqref="E23:Q23">
    <cfRule type="expression" dxfId="1" priority="12">
      <formula>AND(ISNUMBER(E23),OR(AND(ISNUMBER('Configurações'!$K$28),E23&lt;'Configurações'!$K$28),AND(ISNUMBER('Configurações'!$L$28),E23&gt;'Configurações'!$L$28)))</formula>
    </cfRule>
  </conditionalFormatting>
  <conditionalFormatting sqref="E24:Q24">
    <cfRule type="expression" dxfId="1" priority="13">
      <formula>AND(ISNUMBER(E24),OR(AND(ISNUMBER('Configurações'!$K$29),E24&lt;'Configurações'!$K$29),AND(ISNUMBER('Configurações'!$L$29),E24&gt;'Configurações'!$L$29)))</formula>
    </cfRule>
  </conditionalFormatting>
  <conditionalFormatting sqref="E25:Q25">
    <cfRule type="expression" dxfId="1" priority="14">
      <formula>AND(ISNUMBER(E25),OR(AND(ISNUMBER('Configurações'!$K$29),E25&lt;'Configurações'!$K$29),AND(ISNUMBER('Configurações'!$L$29),E25&gt;'Configurações'!$L$29)))</formula>
    </cfRule>
  </conditionalFormatting>
  <conditionalFormatting sqref="E26:Q26">
    <cfRule type="expression" dxfId="1" priority="15">
      <formula>AND(ISNUMBER(E26),OR(AND(ISNUMBER('Configurações'!$K$30),E26&lt;'Configurações'!$K$30),AND(ISNUMBER('Configurações'!$L$30),E26&gt;'Configurações'!$L$30)))</formula>
    </cfRule>
  </conditionalFormatting>
  <conditionalFormatting sqref="E27:Q27">
    <cfRule type="expression" dxfId="1" priority="16">
      <formula>AND(ISNUMBER(E27),OR(AND(ISNUMBER('Configurações'!$K$30),E27&lt;'Configurações'!$K$30),AND(ISNUMBER('Configurações'!$L$30),E27&gt;'Configurações'!$L$30)))</formula>
    </cfRule>
  </conditionalFormatting>
  <conditionalFormatting sqref="E28:Q28">
    <cfRule type="expression" dxfId="1" priority="17">
      <formula>AND(ISNUMBER(E28),OR(AND(ISNUMBER('Configurações'!$K$31),E28&lt;'Configurações'!$K$31),AND(ISNUMBER('Configurações'!$L$31),E28&gt;'Configurações'!$L$31)))</formula>
    </cfRule>
  </conditionalFormatting>
  <conditionalFormatting sqref="E29:Q29">
    <cfRule type="expression" dxfId="1" priority="18">
      <formula>AND(ISNUMBER(E29),OR(AND(ISNUMBER('Configurações'!$K$31),E29&lt;'Configurações'!$K$31),AND(ISNUMBER('Configurações'!$L$31),E29&gt;'Configurações'!$L$31)))</formula>
    </cfRule>
  </conditionalFormatting>
  <conditionalFormatting sqref="E30:Q30">
    <cfRule type="expression" dxfId="1" priority="19">
      <formula>AND(ISNUMBER(E30),OR(AND(ISNUMBER('Configurações'!$K$32),E30&lt;'Configurações'!$K$32),AND(ISNUMBER('Configurações'!$L$32),E30&gt;'Configurações'!$L$32)))</formula>
    </cfRule>
  </conditionalFormatting>
  <conditionalFormatting sqref="E31:Q31">
    <cfRule type="expression" dxfId="1" priority="20">
      <formula>AND(ISNUMBER(E31),OR(AND(ISNUMBER('Configurações'!$K$32),E31&lt;'Configurações'!$K$32),AND(ISNUMBER('Configurações'!$L$32),E31&gt;'Configurações'!$L$32)))</formula>
    </cfRule>
  </conditionalFormatting>
  <conditionalFormatting sqref="E32:Q32">
    <cfRule type="expression" dxfId="1" priority="21">
      <formula>AND(ISNUMBER(E32),OR(AND(ISNUMBER('Configurações'!$K$33),E32&lt;'Configurações'!$K$33),AND(ISNUMBER('Configurações'!$L$33),E32&gt;'Configurações'!$L$33)))</formula>
    </cfRule>
  </conditionalFormatting>
  <conditionalFormatting sqref="E33:Q33">
    <cfRule type="expression" dxfId="1" priority="22">
      <formula>AND(ISNUMBER(E33),OR(AND(ISNUMBER('Configurações'!$K$33),E33&lt;'Configurações'!$K$33),AND(ISNUMBER('Configurações'!$L$33),E33&gt;'Configurações'!$L$33)))</formula>
    </cfRule>
  </conditionalFormatting>
  <conditionalFormatting sqref="E34:Q34">
    <cfRule type="expression" dxfId="1" priority="23">
      <formula>AND(ISNUMBER(E34),OR(AND(ISNUMBER('Configurações'!$K$34),E34&lt;'Configurações'!$K$34),AND(ISNUMBER('Configurações'!$L$34),E34&gt;'Configurações'!$L$34)))</formula>
    </cfRule>
  </conditionalFormatting>
  <conditionalFormatting sqref="E35:Q35">
    <cfRule type="expression" dxfId="1" priority="24">
      <formula>AND(ISNUMBER(E35),OR(AND(ISNUMBER('Configurações'!$K$34),E35&lt;'Configurações'!$K$34),AND(ISNUMBER('Configurações'!$L$34),E35&gt;'Configurações'!$L$34)))</formula>
    </cfRule>
  </conditionalFormatting>
  <conditionalFormatting sqref="E36:Q36">
    <cfRule type="expression" dxfId="1" priority="25">
      <formula>AND(ISNUMBER(E36),OR(AND(ISNUMBER('Configurações'!$K$35),E36&lt;'Configurações'!$K$35),AND(ISNUMBER('Configurações'!$L$35),E36&gt;'Configurações'!$L$35)))</formula>
    </cfRule>
  </conditionalFormatting>
  <conditionalFormatting sqref="E37:Q37">
    <cfRule type="expression" dxfId="1" priority="26">
      <formula>AND(ISNUMBER(E37),OR(AND(ISNUMBER('Configurações'!$K$35),E37&lt;'Configurações'!$K$35),AND(ISNUMBER('Configurações'!$L$35),E37&gt;'Configurações'!$L$35)))</formula>
    </cfRule>
  </conditionalFormatting>
  <conditionalFormatting sqref="E38:Q38">
    <cfRule type="expression" dxfId="1" priority="27">
      <formula>AND(ISNUMBER(E38),OR(AND(ISNUMBER('Configurações'!$K$36),E38&lt;'Configurações'!$K$36),AND(ISNUMBER('Configurações'!$L$36),E38&gt;'Configurações'!$L$36)))</formula>
    </cfRule>
  </conditionalFormatting>
  <conditionalFormatting sqref="E39:Q39">
    <cfRule type="expression" dxfId="1" priority="28">
      <formula>AND(ISNUMBER(E39),OR(AND(ISNUMBER('Configurações'!$K$36),E39&lt;'Configurações'!$K$36),AND(ISNUMBER('Configurações'!$L$36),E39&gt;'Configurações'!$L$36)))</formula>
    </cfRule>
  </conditionalFormatting>
  <conditionalFormatting sqref="E40:Q40">
    <cfRule type="expression" dxfId="1" priority="29">
      <formula>AND(ISNUMBER(E40),OR(AND(ISNUMBER('Configurações'!$K$37),E40&lt;'Configurações'!$K$37),AND(ISNUMBER('Configurações'!$L$37),E40&gt;'Configurações'!$L$37)))</formula>
    </cfRule>
  </conditionalFormatting>
  <conditionalFormatting sqref="E41:Q41">
    <cfRule type="expression" dxfId="1" priority="30">
      <formula>AND(ISNUMBER(E41),OR(AND(ISNUMBER('Configurações'!$K$37),E41&lt;'Configurações'!$K$37),AND(ISNUMBER('Configurações'!$L$37),E41&gt;'Configurações'!$L$37)))</formula>
    </cfRule>
  </conditionalFormatting>
  <conditionalFormatting sqref="E42:Q42">
    <cfRule type="expression" dxfId="1" priority="31">
      <formula>AND(ISNUMBER(E42),OR(AND(ISNUMBER('Configurações'!$K$38),E42&lt;'Configurações'!$K$38),AND(ISNUMBER('Configurações'!$L$38),E42&gt;'Configurações'!$L$38)))</formula>
    </cfRule>
  </conditionalFormatting>
  <conditionalFormatting sqref="E43:Q43">
    <cfRule type="expression" dxfId="1" priority="32">
      <formula>AND(ISNUMBER(E43),OR(AND(ISNUMBER('Configurações'!$K$38),E43&lt;'Configurações'!$K$38),AND(ISNUMBER('Configurações'!$L$38),E43&gt;'Configurações'!$L$38)))</formula>
    </cfRule>
  </conditionalFormatting>
  <dataValidations count="2">
    <dataValidation type="date" operator="greaterThan" allowBlank="1" showInputMessage="1" showErrorMessage="1" error="Digite data e hora: dd/mm/aaaa hh:mm" sqref="E6">
      <formula1>43831</formula1>
    </dataValidation>
    <dataValidation type="date" operator="greaterThan" allowBlank="1" showInputMessage="1" showErrorMessage="1" error="Digite data e hora: dd/mm/aaaa hh:mm" sqref="I6">
      <formula1>43831</formula1>
    </dataValidation>
  </dataValidations>
  <hyperlinks>
    <hyperlink ref="U10" location="'Preenchimento'!A1" display="◀ Voltar ao preenchimento"/>
  </hyperlinks>
  <printOptions horizontalCentered="1"/>
  <pageMargins left="0.3" right="0.3" top="0.4" bottom="0.4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AB40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8" ht="6" customHeight="1"/>
    <row r="2" spans="2:28" ht="26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8" ht="20" customHeight="1">
      <c r="B3" s="1"/>
      <c r="C3" s="1"/>
      <c r="D3" s="3" t="s">
        <v>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8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8" ht="22" customHeight="1">
      <c r="B5" s="13" t="s">
        <v>2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S5" s="57" t="s">
        <v>67</v>
      </c>
      <c r="T5" s="57"/>
      <c r="U5" s="57"/>
      <c r="V5" s="57"/>
      <c r="W5" s="57"/>
      <c r="X5" s="57"/>
      <c r="Y5" s="57"/>
      <c r="Z5" s="57"/>
      <c r="AA5" s="57"/>
      <c r="AB5" s="57"/>
    </row>
    <row r="6" spans="2:28" ht="20" customHeight="1">
      <c r="B6" s="58" t="s">
        <v>3</v>
      </c>
      <c r="C6" s="58"/>
      <c r="D6" s="59" t="s">
        <v>4</v>
      </c>
      <c r="E6" s="59"/>
      <c r="F6" s="59"/>
      <c r="G6" s="60" t="s">
        <v>5</v>
      </c>
      <c r="H6" s="60"/>
      <c r="I6" s="60"/>
      <c r="J6" s="60"/>
      <c r="S6" s="61" t="s">
        <v>68</v>
      </c>
      <c r="T6" s="61" t="s">
        <v>71</v>
      </c>
      <c r="U6" s="61" t="s">
        <v>76</v>
      </c>
      <c r="V6" s="61" t="s">
        <v>79</v>
      </c>
      <c r="W6" s="61" t="s">
        <v>82</v>
      </c>
      <c r="X6" s="61" t="s">
        <v>22</v>
      </c>
      <c r="Y6" s="61" t="s">
        <v>88</v>
      </c>
      <c r="Z6" s="61" t="s">
        <v>90</v>
      </c>
      <c r="AA6" s="61" t="s">
        <v>93</v>
      </c>
      <c r="AB6" s="61" t="s">
        <v>95</v>
      </c>
    </row>
    <row r="7" spans="2:28" ht="20" customHeight="1">
      <c r="B7" s="58" t="s">
        <v>6</v>
      </c>
      <c r="C7" s="58"/>
      <c r="D7" s="59" t="s">
        <v>7</v>
      </c>
      <c r="E7" s="59"/>
      <c r="F7" s="59"/>
      <c r="G7" s="60" t="s">
        <v>8</v>
      </c>
      <c r="H7" s="60"/>
      <c r="I7" s="60"/>
      <c r="J7" s="60"/>
      <c r="S7" s="62" t="s">
        <v>69</v>
      </c>
      <c r="T7" s="62" t="s">
        <v>72</v>
      </c>
      <c r="U7" s="62" t="s">
        <v>77</v>
      </c>
      <c r="V7" s="62" t="s">
        <v>80</v>
      </c>
      <c r="W7" s="62" t="s">
        <v>83</v>
      </c>
      <c r="X7" s="62" t="s">
        <v>36</v>
      </c>
      <c r="Y7" s="62" t="s">
        <v>4</v>
      </c>
      <c r="Z7" s="62" t="s">
        <v>91</v>
      </c>
      <c r="AA7" s="62" t="s">
        <v>37</v>
      </c>
      <c r="AB7" s="62" t="s">
        <v>96</v>
      </c>
    </row>
    <row r="8" spans="2:28" ht="20" customHeight="1">
      <c r="B8" s="58" t="s">
        <v>9</v>
      </c>
      <c r="C8" s="58"/>
      <c r="D8" s="63">
        <v>0.2916666666666667</v>
      </c>
      <c r="E8" s="63"/>
      <c r="F8" s="63"/>
      <c r="G8" s="60" t="s">
        <v>10</v>
      </c>
      <c r="H8" s="60"/>
      <c r="I8" s="60"/>
      <c r="J8" s="60"/>
      <c r="S8" s="62" t="s">
        <v>70</v>
      </c>
      <c r="T8" s="62" t="s">
        <v>73</v>
      </c>
      <c r="U8" s="62" t="s">
        <v>78</v>
      </c>
      <c r="V8" s="62" t="s">
        <v>81</v>
      </c>
      <c r="W8" s="62" t="s">
        <v>84</v>
      </c>
      <c r="X8" s="62" t="s">
        <v>86</v>
      </c>
      <c r="Y8" s="62" t="s">
        <v>89</v>
      </c>
      <c r="Z8" s="62" t="s">
        <v>92</v>
      </c>
      <c r="AA8" s="62" t="s">
        <v>94</v>
      </c>
      <c r="AB8" s="62" t="s">
        <v>14</v>
      </c>
    </row>
    <row r="9" spans="2:28" ht="20" customHeight="1">
      <c r="B9" s="58" t="s">
        <v>11</v>
      </c>
      <c r="C9" s="58"/>
      <c r="D9" s="59">
        <v>60</v>
      </c>
      <c r="E9" s="59"/>
      <c r="F9" s="59"/>
      <c r="G9" s="60" t="s">
        <v>12</v>
      </c>
      <c r="H9" s="60"/>
      <c r="I9" s="60"/>
      <c r="J9" s="60"/>
      <c r="T9" s="62" t="s">
        <v>74</v>
      </c>
      <c r="W9" s="62" t="s">
        <v>85</v>
      </c>
      <c r="X9" s="62" t="s">
        <v>87</v>
      </c>
      <c r="AB9" s="62" t="s">
        <v>97</v>
      </c>
    </row>
    <row r="10" spans="2:28" ht="20" customHeight="1">
      <c r="B10" s="58" t="s">
        <v>13</v>
      </c>
      <c r="C10" s="58"/>
      <c r="D10" s="59" t="s">
        <v>14</v>
      </c>
      <c r="E10" s="59"/>
      <c r="F10" s="59"/>
      <c r="G10" s="60" t="s">
        <v>15</v>
      </c>
      <c r="H10" s="60"/>
      <c r="I10" s="60"/>
      <c r="J10" s="60"/>
      <c r="T10" s="62" t="s">
        <v>75</v>
      </c>
    </row>
    <row r="15" spans="2:28" ht="28" customHeight="1">
      <c r="B15" s="64" t="s">
        <v>16</v>
      </c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</row>
    <row r="16" spans="2:28" ht="22" customHeight="1">
      <c r="B16" s="13" t="s">
        <v>17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</row>
    <row r="17" spans="2:16" ht="32" customHeight="1">
      <c r="B17" s="65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25</v>
      </c>
      <c r="J17" s="65" t="s">
        <v>26</v>
      </c>
      <c r="K17" s="65" t="s">
        <v>27</v>
      </c>
      <c r="L17" s="65" t="s">
        <v>28</v>
      </c>
      <c r="M17" s="65" t="s">
        <v>29</v>
      </c>
      <c r="N17" s="65" t="s">
        <v>30</v>
      </c>
      <c r="O17" s="65" t="s">
        <v>31</v>
      </c>
      <c r="P17" s="65" t="s">
        <v>32</v>
      </c>
    </row>
    <row r="18" spans="2:16">
      <c r="B18" s="66" t="s">
        <v>33</v>
      </c>
      <c r="C18" s="67" t="s">
        <v>34</v>
      </c>
      <c r="D18" s="59" t="s">
        <v>35</v>
      </c>
      <c r="E18" s="59">
        <v>2</v>
      </c>
      <c r="F18" s="59" t="s">
        <v>36</v>
      </c>
      <c r="G18" s="68"/>
      <c r="H18" s="69" t="s">
        <v>37</v>
      </c>
      <c r="I18" s="70">
        <f>IF(G18="","",G18)</f>
        <v/>
      </c>
      <c r="J18" s="69" t="s">
        <v>37</v>
      </c>
      <c r="K18" s="59"/>
      <c r="L18" s="59"/>
      <c r="M18" s="59">
        <v>0</v>
      </c>
      <c r="N18" s="59">
        <v>50000</v>
      </c>
      <c r="O18" s="59">
        <v>67.5</v>
      </c>
      <c r="P18" s="59">
        <v>67.5</v>
      </c>
    </row>
    <row r="19" spans="2:16">
      <c r="B19" s="71" t="s">
        <v>33</v>
      </c>
      <c r="C19" s="72" t="s">
        <v>38</v>
      </c>
      <c r="D19" s="59" t="s">
        <v>35</v>
      </c>
      <c r="E19" s="59">
        <v>2</v>
      </c>
      <c r="F19" s="59" t="s">
        <v>36</v>
      </c>
      <c r="G19" s="68" t="s">
        <v>39</v>
      </c>
      <c r="H19" s="69" t="s">
        <v>37</v>
      </c>
      <c r="I19" s="70" t="str">
        <f>IF(G19="","",G19)</f>
        <v>M650030010-0004-HHLQU</v>
      </c>
      <c r="J19" s="69" t="s">
        <v>37</v>
      </c>
      <c r="K19" s="59"/>
      <c r="L19" s="59"/>
      <c r="M19" s="59">
        <v>0</v>
      </c>
      <c r="N19" s="59">
        <v>50000</v>
      </c>
      <c r="O19" s="59">
        <v>1.29</v>
      </c>
      <c r="P19" s="59">
        <v>1.29</v>
      </c>
    </row>
    <row r="20" spans="2:16">
      <c r="B20" s="66" t="s">
        <v>33</v>
      </c>
      <c r="C20" s="67" t="s">
        <v>40</v>
      </c>
      <c r="D20" s="59" t="s">
        <v>35</v>
      </c>
      <c r="E20" s="59">
        <v>2</v>
      </c>
      <c r="F20" s="59" t="s">
        <v>36</v>
      </c>
      <c r="G20" s="68"/>
      <c r="H20" s="69" t="s">
        <v>37</v>
      </c>
      <c r="I20" s="70">
        <f>IF(G20="","",G20)</f>
        <v/>
      </c>
      <c r="J20" s="69" t="s">
        <v>37</v>
      </c>
      <c r="K20" s="59"/>
      <c r="L20" s="59"/>
      <c r="M20" s="59">
        <v>0</v>
      </c>
      <c r="N20" s="59">
        <v>50000</v>
      </c>
      <c r="O20" s="59">
        <v>0.4</v>
      </c>
      <c r="P20" s="59">
        <v>0.4</v>
      </c>
    </row>
    <row r="21" spans="2:16">
      <c r="B21" s="71" t="s">
        <v>33</v>
      </c>
      <c r="C21" s="72" t="s">
        <v>41</v>
      </c>
      <c r="D21" s="59" t="s">
        <v>35</v>
      </c>
      <c r="E21" s="59">
        <v>2</v>
      </c>
      <c r="F21" s="59" t="s">
        <v>36</v>
      </c>
      <c r="G21" s="68" t="s">
        <v>42</v>
      </c>
      <c r="H21" s="69" t="s">
        <v>37</v>
      </c>
      <c r="I21" s="70" t="str">
        <f>IF(G21="","",G21)</f>
        <v>M650030010-0006-HHLQU</v>
      </c>
      <c r="J21" s="69" t="s">
        <v>37</v>
      </c>
      <c r="K21" s="59"/>
      <c r="L21" s="59"/>
      <c r="M21" s="59">
        <v>0</v>
      </c>
      <c r="N21" s="59">
        <v>50000</v>
      </c>
      <c r="O21" s="59">
        <v>0.09</v>
      </c>
      <c r="P21" s="59">
        <v>0.09</v>
      </c>
    </row>
    <row r="22" spans="2:16">
      <c r="B22" s="66" t="s">
        <v>33</v>
      </c>
      <c r="C22" s="67" t="s">
        <v>43</v>
      </c>
      <c r="D22" s="59" t="s">
        <v>35</v>
      </c>
      <c r="E22" s="59">
        <v>2</v>
      </c>
      <c r="F22" s="59" t="s">
        <v>36</v>
      </c>
      <c r="G22" s="68"/>
      <c r="H22" s="69" t="s">
        <v>37</v>
      </c>
      <c r="I22" s="70">
        <f>IF(G22="","",G22)</f>
        <v/>
      </c>
      <c r="J22" s="69" t="s">
        <v>37</v>
      </c>
      <c r="K22" s="59"/>
      <c r="L22" s="59"/>
      <c r="M22" s="59">
        <v>0</v>
      </c>
      <c r="N22" s="59">
        <v>50000</v>
      </c>
      <c r="O22" s="59">
        <v>0.05</v>
      </c>
      <c r="P22" s="59">
        <v>0.05</v>
      </c>
    </row>
    <row r="23" spans="2:16">
      <c r="B23" s="71" t="s">
        <v>33</v>
      </c>
      <c r="C23" s="72" t="s">
        <v>44</v>
      </c>
      <c r="D23" s="59" t="s">
        <v>35</v>
      </c>
      <c r="E23" s="59">
        <v>3</v>
      </c>
      <c r="F23" s="59" t="s">
        <v>36</v>
      </c>
      <c r="G23" s="68"/>
      <c r="H23" s="69" t="s">
        <v>37</v>
      </c>
      <c r="I23" s="70">
        <f>IF(G23="","",G23)</f>
        <v/>
      </c>
      <c r="J23" s="69" t="s">
        <v>37</v>
      </c>
      <c r="K23" s="59"/>
      <c r="L23" s="59"/>
      <c r="M23" s="59">
        <v>0</v>
      </c>
      <c r="N23" s="59">
        <v>50000</v>
      </c>
      <c r="O23" s="59">
        <v>0.04</v>
      </c>
      <c r="P23" s="59">
        <v>0.04</v>
      </c>
    </row>
    <row r="24" spans="2:16">
      <c r="B24" s="66" t="s">
        <v>33</v>
      </c>
      <c r="C24" s="67" t="s">
        <v>45</v>
      </c>
      <c r="D24" s="59" t="s">
        <v>35</v>
      </c>
      <c r="E24" s="59">
        <v>3</v>
      </c>
      <c r="F24" s="59" t="s">
        <v>36</v>
      </c>
      <c r="G24" s="68"/>
      <c r="H24" s="69" t="s">
        <v>37</v>
      </c>
      <c r="I24" s="70">
        <f>IF(G24="","",G24)</f>
        <v/>
      </c>
      <c r="J24" s="69" t="s">
        <v>37</v>
      </c>
      <c r="K24" s="59"/>
      <c r="L24" s="59"/>
      <c r="M24" s="59">
        <v>0</v>
      </c>
      <c r="N24" s="59">
        <v>50000</v>
      </c>
      <c r="O24" s="59">
        <v>0.06</v>
      </c>
      <c r="P24" s="59">
        <v>0.06</v>
      </c>
    </row>
    <row r="25" spans="2:16">
      <c r="B25" s="71" t="s">
        <v>33</v>
      </c>
      <c r="C25" s="72" t="s">
        <v>46</v>
      </c>
      <c r="D25" s="59" t="s">
        <v>35</v>
      </c>
      <c r="E25" s="59">
        <v>3</v>
      </c>
      <c r="F25" s="59" t="s">
        <v>36</v>
      </c>
      <c r="G25" s="68"/>
      <c r="H25" s="69" t="s">
        <v>37</v>
      </c>
      <c r="I25" s="70">
        <f>IF(G25="","",G25)</f>
        <v/>
      </c>
      <c r="J25" s="69" t="s">
        <v>37</v>
      </c>
      <c r="K25" s="59"/>
      <c r="L25" s="59"/>
      <c r="M25" s="59">
        <v>0</v>
      </c>
      <c r="N25" s="59">
        <v>50000</v>
      </c>
      <c r="O25" s="59">
        <v>0.05</v>
      </c>
      <c r="P25" s="59">
        <v>0.05</v>
      </c>
    </row>
    <row r="26" spans="2:16">
      <c r="B26" s="66" t="s">
        <v>33</v>
      </c>
      <c r="C26" s="67" t="s">
        <v>47</v>
      </c>
      <c r="D26" s="59" t="s">
        <v>35</v>
      </c>
      <c r="E26" s="59">
        <v>2</v>
      </c>
      <c r="F26" s="59" t="s">
        <v>36</v>
      </c>
      <c r="G26" s="68" t="s">
        <v>48</v>
      </c>
      <c r="H26" s="69" t="s">
        <v>37</v>
      </c>
      <c r="I26" s="70" t="str">
        <f>IF(G26="","",G26)</f>
        <v>M650030010-0013-HHLQU</v>
      </c>
      <c r="J26" s="69" t="s">
        <v>37</v>
      </c>
      <c r="K26" s="59"/>
      <c r="L26" s="59"/>
      <c r="M26" s="59">
        <v>0</v>
      </c>
      <c r="N26" s="59">
        <v>50000</v>
      </c>
      <c r="O26" s="59">
        <v>3.66</v>
      </c>
      <c r="P26" s="59">
        <v>3.66</v>
      </c>
    </row>
    <row r="27" spans="2:16">
      <c r="B27" s="71" t="s">
        <v>33</v>
      </c>
      <c r="C27" s="72" t="s">
        <v>49</v>
      </c>
      <c r="D27" s="59" t="s">
        <v>50</v>
      </c>
      <c r="E27" s="59">
        <v>2</v>
      </c>
      <c r="F27" s="59" t="s">
        <v>36</v>
      </c>
      <c r="G27" s="68"/>
      <c r="H27" s="69" t="s">
        <v>37</v>
      </c>
      <c r="I27" s="70">
        <f>IF(G27="","",G27)</f>
        <v/>
      </c>
      <c r="J27" s="69" t="s">
        <v>37</v>
      </c>
      <c r="K27" s="59"/>
      <c r="L27" s="59"/>
      <c r="M27" s="59">
        <v>0</v>
      </c>
      <c r="N27" s="59">
        <v>50000</v>
      </c>
      <c r="O27" s="59">
        <v>10.5</v>
      </c>
      <c r="P27" s="59">
        <v>10.5</v>
      </c>
    </row>
    <row r="28" spans="2:16">
      <c r="B28" s="66" t="s">
        <v>51</v>
      </c>
      <c r="C28" s="67" t="s">
        <v>34</v>
      </c>
      <c r="D28" s="59" t="s">
        <v>35</v>
      </c>
      <c r="E28" s="59">
        <v>2</v>
      </c>
      <c r="F28" s="59" t="s">
        <v>36</v>
      </c>
      <c r="G28" s="68"/>
      <c r="H28" s="69" t="s">
        <v>37</v>
      </c>
      <c r="I28" s="68"/>
      <c r="J28" s="69" t="s">
        <v>37</v>
      </c>
      <c r="K28" s="59"/>
      <c r="L28" s="59"/>
      <c r="M28" s="59">
        <v>0</v>
      </c>
      <c r="N28" s="59">
        <v>50000</v>
      </c>
      <c r="O28" s="59">
        <v>65.5</v>
      </c>
      <c r="P28" s="59">
        <v>65.3</v>
      </c>
    </row>
    <row r="29" spans="2:16">
      <c r="B29" s="71" t="s">
        <v>51</v>
      </c>
      <c r="C29" s="72" t="s">
        <v>38</v>
      </c>
      <c r="D29" s="59" t="s">
        <v>35</v>
      </c>
      <c r="E29" s="59">
        <v>2</v>
      </c>
      <c r="F29" s="59" t="s">
        <v>36</v>
      </c>
      <c r="G29" s="68" t="s">
        <v>52</v>
      </c>
      <c r="H29" s="69" t="s">
        <v>37</v>
      </c>
      <c r="I29" s="68" t="s">
        <v>53</v>
      </c>
      <c r="J29" s="69" t="s">
        <v>37</v>
      </c>
      <c r="K29" s="59"/>
      <c r="L29" s="59"/>
      <c r="M29" s="59">
        <v>0</v>
      </c>
      <c r="N29" s="59">
        <v>50000</v>
      </c>
      <c r="O29" s="59">
        <v>1.82</v>
      </c>
      <c r="P29" s="59">
        <v>1.9</v>
      </c>
    </row>
    <row r="30" spans="2:16">
      <c r="B30" s="66" t="s">
        <v>51</v>
      </c>
      <c r="C30" s="67" t="s">
        <v>40</v>
      </c>
      <c r="D30" s="59" t="s">
        <v>35</v>
      </c>
      <c r="E30" s="59">
        <v>2</v>
      </c>
      <c r="F30" s="59" t="s">
        <v>36</v>
      </c>
      <c r="G30" s="68"/>
      <c r="H30" s="69" t="s">
        <v>37</v>
      </c>
      <c r="I30" s="68"/>
      <c r="J30" s="69" t="s">
        <v>37</v>
      </c>
      <c r="K30" s="59"/>
      <c r="L30" s="59"/>
      <c r="M30" s="59">
        <v>0</v>
      </c>
      <c r="N30" s="59">
        <v>50000</v>
      </c>
      <c r="O30" s="59">
        <v>0.42</v>
      </c>
      <c r="P30" s="59">
        <v>0.44</v>
      </c>
    </row>
    <row r="31" spans="2:16">
      <c r="B31" s="71" t="s">
        <v>51</v>
      </c>
      <c r="C31" s="72" t="s">
        <v>41</v>
      </c>
      <c r="D31" s="59" t="s">
        <v>35</v>
      </c>
      <c r="E31" s="59">
        <v>2</v>
      </c>
      <c r="F31" s="59" t="s">
        <v>36</v>
      </c>
      <c r="G31" s="68" t="s">
        <v>54</v>
      </c>
      <c r="H31" s="69" t="s">
        <v>37</v>
      </c>
      <c r="I31" s="68" t="s">
        <v>55</v>
      </c>
      <c r="J31" s="69" t="s">
        <v>37</v>
      </c>
      <c r="K31" s="59"/>
      <c r="L31" s="59"/>
      <c r="M31" s="59">
        <v>0</v>
      </c>
      <c r="N31" s="59">
        <v>50000</v>
      </c>
      <c r="O31" s="59">
        <v>0.82</v>
      </c>
      <c r="P31" s="59">
        <v>0.88</v>
      </c>
    </row>
    <row r="32" spans="2:16">
      <c r="B32" s="66" t="s">
        <v>51</v>
      </c>
      <c r="C32" s="67" t="s">
        <v>43</v>
      </c>
      <c r="D32" s="59" t="s">
        <v>35</v>
      </c>
      <c r="E32" s="59">
        <v>2</v>
      </c>
      <c r="F32" s="59" t="s">
        <v>36</v>
      </c>
      <c r="G32" s="68"/>
      <c r="H32" s="69" t="s">
        <v>37</v>
      </c>
      <c r="I32" s="68"/>
      <c r="J32" s="69" t="s">
        <v>37</v>
      </c>
      <c r="K32" s="59"/>
      <c r="L32" s="59"/>
      <c r="M32" s="59">
        <v>0</v>
      </c>
      <c r="N32" s="59">
        <v>50000</v>
      </c>
      <c r="O32" s="59">
        <v>0.1</v>
      </c>
      <c r="P32" s="59">
        <v>0.11</v>
      </c>
    </row>
    <row r="33" spans="2:16">
      <c r="B33" s="71" t="s">
        <v>51</v>
      </c>
      <c r="C33" s="72" t="s">
        <v>56</v>
      </c>
      <c r="D33" s="59" t="s">
        <v>50</v>
      </c>
      <c r="E33" s="59">
        <v>2</v>
      </c>
      <c r="F33" s="59" t="s">
        <v>36</v>
      </c>
      <c r="G33" s="68" t="s">
        <v>57</v>
      </c>
      <c r="H33" s="69" t="s">
        <v>37</v>
      </c>
      <c r="I33" s="68" t="s">
        <v>58</v>
      </c>
      <c r="J33" s="69" t="s">
        <v>37</v>
      </c>
      <c r="K33" s="59"/>
      <c r="L33" s="59"/>
      <c r="M33" s="59">
        <v>0</v>
      </c>
      <c r="N33" s="59">
        <v>50000</v>
      </c>
      <c r="O33" s="59">
        <v>0.45</v>
      </c>
      <c r="P33" s="59">
        <v>0.46</v>
      </c>
    </row>
    <row r="34" spans="2:16">
      <c r="B34" s="66" t="s">
        <v>51</v>
      </c>
      <c r="C34" s="67" t="s">
        <v>59</v>
      </c>
      <c r="D34" s="59" t="s">
        <v>60</v>
      </c>
      <c r="E34" s="59">
        <v>1</v>
      </c>
      <c r="F34" s="59" t="s">
        <v>36</v>
      </c>
      <c r="G34" s="68" t="s">
        <v>61</v>
      </c>
      <c r="H34" s="69" t="s">
        <v>37</v>
      </c>
      <c r="I34" s="68" t="s">
        <v>62</v>
      </c>
      <c r="J34" s="69" t="s">
        <v>37</v>
      </c>
      <c r="K34" s="59"/>
      <c r="L34" s="59"/>
      <c r="M34" s="59">
        <v>0</v>
      </c>
      <c r="N34" s="59">
        <v>50000</v>
      </c>
      <c r="O34" s="59">
        <v>12.7</v>
      </c>
      <c r="P34" s="59">
        <v>17.6</v>
      </c>
    </row>
    <row r="35" spans="2:16">
      <c r="B35" s="71" t="s">
        <v>51</v>
      </c>
      <c r="C35" s="72" t="s">
        <v>63</v>
      </c>
      <c r="D35" s="59" t="s">
        <v>35</v>
      </c>
      <c r="E35" s="59">
        <v>2</v>
      </c>
      <c r="F35" s="59" t="s">
        <v>36</v>
      </c>
      <c r="G35" s="68" t="s">
        <v>64</v>
      </c>
      <c r="H35" s="69" t="s">
        <v>37</v>
      </c>
      <c r="I35" s="68" t="s">
        <v>65</v>
      </c>
      <c r="J35" s="69" t="s">
        <v>37</v>
      </c>
      <c r="K35" s="59"/>
      <c r="L35" s="59"/>
      <c r="M35" s="59">
        <v>0</v>
      </c>
      <c r="N35" s="59">
        <v>50000</v>
      </c>
      <c r="O35" s="59">
        <v>1.07</v>
      </c>
      <c r="P35" s="59">
        <v>1.2</v>
      </c>
    </row>
    <row r="36" spans="2:16">
      <c r="B36" s="66" t="s">
        <v>51</v>
      </c>
      <c r="C36" s="67" t="s">
        <v>44</v>
      </c>
      <c r="D36" s="59" t="s">
        <v>35</v>
      </c>
      <c r="E36" s="59">
        <v>3</v>
      </c>
      <c r="F36" s="59" t="s">
        <v>36</v>
      </c>
      <c r="G36" s="68"/>
      <c r="H36" s="69" t="s">
        <v>37</v>
      </c>
      <c r="I36" s="68"/>
      <c r="J36" s="69" t="s">
        <v>37</v>
      </c>
      <c r="K36" s="59"/>
      <c r="L36" s="59"/>
      <c r="M36" s="59">
        <v>0</v>
      </c>
      <c r="N36" s="59">
        <v>50000</v>
      </c>
      <c r="O36" s="59">
        <v>0.045</v>
      </c>
      <c r="P36" s="59">
        <v>0.046</v>
      </c>
    </row>
    <row r="37" spans="2:16">
      <c r="B37" s="71" t="s">
        <v>51</v>
      </c>
      <c r="C37" s="72" t="s">
        <v>45</v>
      </c>
      <c r="D37" s="59" t="s">
        <v>35</v>
      </c>
      <c r="E37" s="59">
        <v>3</v>
      </c>
      <c r="F37" s="59" t="s">
        <v>36</v>
      </c>
      <c r="G37" s="68"/>
      <c r="H37" s="69" t="s">
        <v>37</v>
      </c>
      <c r="I37" s="68"/>
      <c r="J37" s="69" t="s">
        <v>37</v>
      </c>
      <c r="K37" s="59"/>
      <c r="L37" s="59"/>
      <c r="M37" s="59">
        <v>0</v>
      </c>
      <c r="N37" s="59">
        <v>50000</v>
      </c>
      <c r="O37" s="59">
        <v>0.07000000000000001</v>
      </c>
      <c r="P37" s="59">
        <v>0.07099999999999999</v>
      </c>
    </row>
    <row r="38" spans="2:16">
      <c r="B38" s="66" t="s">
        <v>51</v>
      </c>
      <c r="C38" s="67" t="s">
        <v>46</v>
      </c>
      <c r="D38" s="59" t="s">
        <v>35</v>
      </c>
      <c r="E38" s="59">
        <v>3</v>
      </c>
      <c r="F38" s="59" t="s">
        <v>36</v>
      </c>
      <c r="G38" s="68"/>
      <c r="H38" s="69" t="s">
        <v>37</v>
      </c>
      <c r="I38" s="68"/>
      <c r="J38" s="69" t="s">
        <v>37</v>
      </c>
      <c r="K38" s="59"/>
      <c r="L38" s="59"/>
      <c r="M38" s="59">
        <v>0</v>
      </c>
      <c r="N38" s="59">
        <v>50000</v>
      </c>
      <c r="O38" s="59">
        <v>0.055</v>
      </c>
      <c r="P38" s="59">
        <v>0.056</v>
      </c>
    </row>
    <row r="40" spans="2:16">
      <c r="C40" s="73" t="s">
        <v>66</v>
      </c>
    </row>
  </sheetData>
  <mergeCells count="21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5:P15"/>
    <mergeCell ref="B16:P16"/>
    <mergeCell ref="S5:AB5"/>
  </mergeCells>
  <conditionalFormatting sqref="G18:G38">
    <cfRule type="containsBlanks" dxfId="0" priority="1">
      <formula>LEN(TRIM(G18))=0</formula>
    </cfRule>
  </conditionalFormatting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38">
      <formula1>lstAgreg</formula1>
    </dataValidation>
    <dataValidation type="list" allowBlank="1" showInputMessage="1" showErrorMessage="1" sqref="H18:H38">
      <formula1>lstTipo</formula1>
    </dataValidation>
    <dataValidation type="list" allowBlank="1" showInputMessage="1" showErrorMessage="1" sqref="J18:J38">
      <formula1>lstTipo</formula1>
    </dataValidation>
  </dataValidations>
  <pageMargins left="0.7" right="0.7" top="0.75" bottom="0.75" header="0.3" footer="0.3"/>
  <pageSetup paperSize="9" fitToHeight="0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DadosMES"/>
  <dimension ref="A1:Q14"/>
  <sheetViews>
    <sheetView showGridLines="0" workbookViewId="0"/>
  </sheetViews>
  <sheetFormatPr defaultRowHeight="15"/>
  <cols>
    <col min="1" max="1" width="18.7109375" style="74" customWidth="1"/>
    <col min="2" max="43" width="14.7109375" customWidth="1"/>
  </cols>
  <sheetData>
    <row r="1" spans="1:17">
      <c r="A1" s="75" t="s">
        <v>98</v>
      </c>
    </row>
    <row r="3" spans="1:17">
      <c r="A3" s="76" t="s">
        <v>99</v>
      </c>
      <c r="B3" s="77"/>
    </row>
    <row r="4" spans="1:17">
      <c r="A4" s="76" t="s">
        <v>100</v>
      </c>
      <c r="B4" s="77"/>
    </row>
    <row r="6" spans="1:17">
      <c r="A6" s="78" t="s">
        <v>101</v>
      </c>
    </row>
    <row r="7" spans="1:17">
      <c r="A7" s="79" t="str">
        <f>_xll.AspenTech.PME.ProcessData.Functions.GetCalculationValues("time,attribute","M650030010-0004-HHLQU,M650030010-0004-HHLQU,M650030010-0006-HHLQU,M650030010-0006-HHLQU,M650030010-0013-HHLQU,M650030010-0013-HHLQU,M710050020-0004-HHLQU,M4710050020-0004-HHLQU,M710050020-0006-HHLQU,M4710050020-0006-HHLQU,M710050020-0018-HHLQU,M47100"&amp;"50020-0018-HHLQU,M710050020-0084-HHLQU,M4710050020-0084-HHLQU,M710050020-0493-HHLQU,M4710050020-0493-HHLQU","UBU,UBU,UBU,UBU,UBU,UBU,UBU,UBU,UBU,UBU,UBU,UBU,UBU,UBU,UBU,UBU","IP_MESVALOR,IP_MESVALOR,IP_MESVALOR,IP_MESVALOR,IP_MESVALOR,IP_MESVALOR,IP_MESVALOR,IP_MESVALOR,IP_MESVALOR,IP_MESVALOR,IP_MESVALOR,IP_MESVALOR,IP_MESVALOR,IP_MESVALOR,IP_MESVALOR,IP_MESVALOR",Dados_MES!$B$3,Dados_MES!$B$4,"2h",0,"",0,"1",0,1560,0,0,1,1,ADDRESS(ROW(Dados_MES!A7),COLUMN(Dados_MES!A7),1,,"Dados_MES"),"Dados_MES!A9",1)</f>
        <v>Success</v>
      </c>
    </row>
    <row r="8" spans="1:17" ht="45" customHeight="1">
      <c r="A8" s="80" t="s">
        <v>102</v>
      </c>
      <c r="B8" s="81" t="s">
        <v>103</v>
      </c>
      <c r="C8" s="81" t="s">
        <v>104</v>
      </c>
      <c r="D8" s="81" t="s">
        <v>105</v>
      </c>
      <c r="E8" s="81" t="s">
        <v>106</v>
      </c>
      <c r="F8" s="81" t="s">
        <v>107</v>
      </c>
      <c r="G8" s="81" t="s">
        <v>108</v>
      </c>
      <c r="H8" s="81" t="s">
        <v>109</v>
      </c>
      <c r="I8" s="81" t="s">
        <v>110</v>
      </c>
      <c r="J8" s="81" t="s">
        <v>111</v>
      </c>
      <c r="K8" s="81" t="s">
        <v>112</v>
      </c>
      <c r="L8" s="81" t="s">
        <v>113</v>
      </c>
      <c r="M8" s="81" t="s">
        <v>114</v>
      </c>
      <c r="N8" s="81" t="s">
        <v>115</v>
      </c>
      <c r="O8" s="81" t="s">
        <v>116</v>
      </c>
      <c r="P8" s="81" t="s">
        <v>117</v>
      </c>
      <c r="Q8" s="81" t="s">
        <v>118</v>
      </c>
    </row>
    <row r="9" spans="1:17">
      <c r="A9" s="82">
        <f t="array" ref="A9:Q14">_xll.AspenTech.PME.ProcessData.Functions.ShowCalculationValues(ADDRESS(ROW(Dados_MES!A7),COLUMN(Dados_MES!A7),1,,"Dados_MES"),Dados_MES!A7, 0)</f>
        <v>0</v>
      </c>
      <c r="B9" s="82">
        <v>0</v>
      </c>
      <c r="C9" s="82">
        <v>0</v>
      </c>
      <c r="D9" s="82">
        <v>0</v>
      </c>
      <c r="E9" s="82">
        <v>0</v>
      </c>
      <c r="F9" s="82">
        <v>0</v>
      </c>
      <c r="G9" s="82">
        <v>0</v>
      </c>
      <c r="H9" s="82">
        <v>0</v>
      </c>
      <c r="I9" s="82">
        <v>0</v>
      </c>
      <c r="J9" s="82">
        <v>0</v>
      </c>
      <c r="K9" s="82">
        <v>0</v>
      </c>
      <c r="L9" s="82">
        <v>0</v>
      </c>
      <c r="M9" s="82">
        <v>0</v>
      </c>
      <c r="N9" s="82">
        <v>0</v>
      </c>
      <c r="O9" s="82">
        <v>0</v>
      </c>
      <c r="P9" s="82">
        <v>0</v>
      </c>
      <c r="Q9" s="82">
        <v>0</v>
      </c>
    </row>
    <row r="10" spans="1:17">
      <c r="A10" s="82">
        <v>0</v>
      </c>
      <c r="B10" s="82">
        <v>0</v>
      </c>
      <c r="C10" s="82">
        <v>0</v>
      </c>
      <c r="D10" s="82">
        <v>0</v>
      </c>
      <c r="E10" s="82">
        <v>0</v>
      </c>
      <c r="F10" s="82">
        <v>0</v>
      </c>
      <c r="G10" s="82">
        <v>0</v>
      </c>
      <c r="H10" s="82">
        <v>0</v>
      </c>
      <c r="I10" s="82">
        <v>0</v>
      </c>
      <c r="J10" s="82">
        <v>0</v>
      </c>
      <c r="K10" s="82">
        <v>0</v>
      </c>
      <c r="L10" s="82">
        <v>0</v>
      </c>
      <c r="M10" s="82">
        <v>0</v>
      </c>
      <c r="N10" s="82">
        <v>0</v>
      </c>
      <c r="O10" s="82">
        <v>0</v>
      </c>
      <c r="P10" s="82">
        <v>0</v>
      </c>
      <c r="Q10" s="82">
        <v>0</v>
      </c>
    </row>
    <row r="11" spans="1:17">
      <c r="A11" s="82">
        <v>0</v>
      </c>
      <c r="B11" s="82">
        <v>0</v>
      </c>
      <c r="C11" s="82">
        <v>0</v>
      </c>
      <c r="D11" s="82">
        <v>0</v>
      </c>
      <c r="E11" s="82">
        <v>0</v>
      </c>
      <c r="F11" s="82">
        <v>0</v>
      </c>
      <c r="G11" s="82">
        <v>0</v>
      </c>
      <c r="H11" s="82">
        <v>0</v>
      </c>
      <c r="I11" s="82">
        <v>0</v>
      </c>
      <c r="J11" s="82">
        <v>0</v>
      </c>
      <c r="K11" s="82">
        <v>0</v>
      </c>
      <c r="L11" s="82">
        <v>0</v>
      </c>
      <c r="M11" s="82">
        <v>0</v>
      </c>
      <c r="N11" s="82">
        <v>0</v>
      </c>
      <c r="O11" s="82">
        <v>0</v>
      </c>
      <c r="P11" s="82">
        <v>0</v>
      </c>
      <c r="Q11" s="82">
        <v>0</v>
      </c>
    </row>
    <row r="12" spans="1:17">
      <c r="A12" s="82">
        <v>0</v>
      </c>
      <c r="B12" s="82">
        <v>0</v>
      </c>
      <c r="C12" s="82">
        <v>0</v>
      </c>
      <c r="D12" s="82">
        <v>0</v>
      </c>
      <c r="E12" s="82">
        <v>0</v>
      </c>
      <c r="F12" s="82">
        <v>0</v>
      </c>
      <c r="G12" s="82">
        <v>0</v>
      </c>
      <c r="H12" s="82">
        <v>0</v>
      </c>
      <c r="I12" s="82">
        <v>0</v>
      </c>
      <c r="J12" s="82">
        <v>0</v>
      </c>
      <c r="K12" s="82">
        <v>0</v>
      </c>
      <c r="L12" s="82">
        <v>0</v>
      </c>
      <c r="M12" s="82">
        <v>0</v>
      </c>
      <c r="N12" s="82">
        <v>0</v>
      </c>
      <c r="O12" s="82">
        <v>0</v>
      </c>
      <c r="P12" s="82">
        <v>0</v>
      </c>
      <c r="Q12" s="82">
        <v>0</v>
      </c>
    </row>
    <row r="13" spans="1:17">
      <c r="A13" s="82">
        <v>0</v>
      </c>
      <c r="B13" s="82">
        <v>0</v>
      </c>
      <c r="C13" s="82">
        <v>0</v>
      </c>
      <c r="D13" s="82">
        <v>0</v>
      </c>
      <c r="E13" s="82">
        <v>0</v>
      </c>
      <c r="F13" s="82">
        <v>0</v>
      </c>
      <c r="G13" s="82">
        <v>0</v>
      </c>
      <c r="H13" s="82">
        <v>0</v>
      </c>
      <c r="I13" s="82">
        <v>0</v>
      </c>
      <c r="J13" s="82">
        <v>0</v>
      </c>
      <c r="K13" s="82">
        <v>0</v>
      </c>
      <c r="L13" s="82">
        <v>0</v>
      </c>
      <c r="M13" s="82">
        <v>0</v>
      </c>
      <c r="N13" s="82">
        <v>0</v>
      </c>
      <c r="O13" s="82">
        <v>0</v>
      </c>
      <c r="P13" s="82">
        <v>0</v>
      </c>
      <c r="Q13" s="82">
        <v>0</v>
      </c>
    </row>
    <row r="14" spans="1:17">
      <c r="A14" s="82">
        <v>0</v>
      </c>
      <c r="B14" s="82">
        <v>0</v>
      </c>
      <c r="C14" s="82">
        <v>0</v>
      </c>
      <c r="D14" s="82">
        <v>0</v>
      </c>
      <c r="E14" s="82">
        <v>0</v>
      </c>
      <c r="F14" s="82">
        <v>0</v>
      </c>
      <c r="G14" s="82">
        <v>0</v>
      </c>
      <c r="H14" s="82">
        <v>0</v>
      </c>
      <c r="I14" s="82">
        <v>0</v>
      </c>
      <c r="J14" s="82">
        <v>0</v>
      </c>
      <c r="K14" s="82">
        <v>0</v>
      </c>
      <c r="L14" s="82">
        <v>0</v>
      </c>
      <c r="M14" s="82">
        <v>0</v>
      </c>
      <c r="N14" s="82">
        <v>0</v>
      </c>
      <c r="O14" s="82">
        <v>0</v>
      </c>
      <c r="P14" s="82">
        <v>0</v>
      </c>
      <c r="Q14" s="82">
        <v>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Mapa"/>
  <dimension ref="K1:Q2"/>
  <sheetViews>
    <sheetView showGridLines="0" workbookViewId="0"/>
  </sheetViews>
  <sheetFormatPr defaultRowHeight="15"/>
  <sheetData>
    <row r="1" spans="11:17">
      <c r="K1" t="s">
        <v>242</v>
      </c>
      <c r="L1" t="s">
        <v>243</v>
      </c>
      <c r="M1" t="s">
        <v>244</v>
      </c>
      <c r="N1" t="s">
        <v>245</v>
      </c>
      <c r="O1" t="s">
        <v>246</v>
      </c>
      <c r="P1" t="s">
        <v>247</v>
      </c>
      <c r="Q1" t="s">
        <v>248</v>
      </c>
    </row>
    <row r="2" spans="11:17">
      <c r="K2" t="s">
        <v>249</v>
      </c>
      <c r="L2" t="s">
        <v>250</v>
      </c>
      <c r="M2" t="s">
        <v>251</v>
      </c>
      <c r="N2" t="s">
        <v>252</v>
      </c>
      <c r="O2" t="s">
        <v>253</v>
      </c>
      <c r="P2" t="s">
        <v>254</v>
      </c>
      <c r="Q2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87</vt:i4>
      </vt:variant>
    </vt:vector>
  </HeadingPairs>
  <TitlesOfParts>
    <vt:vector size="93" baseType="lpstr">
      <vt:lpstr>Preenchimento</vt:lpstr>
      <vt:lpstr>Resumo Dia</vt:lpstr>
      <vt:lpstr>Resumo Noite</vt:lpstr>
      <vt:lpstr>Resultados gerais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dAr</vt:lpstr>
      <vt:lpstr>dArea</vt:lpstr>
      <vt:lpstr>dAReal</vt:lpstr>
      <vt:lpstr>dArStatus</vt:lpstr>
      <vt:lpstr>dAtualizado</vt:lpstr>
      <vt:lpstr>dAus</vt:lpstr>
      <vt:lpstr>dAusQuem</vt:lpstr>
      <vt:lpstr>dCadinhos</vt:lpstr>
      <vt:lpstr>dCompressor</vt:lpstr>
      <vt:lpstr>dCoque04</vt:lpstr>
      <vt:lpstr>dEquip</vt:lpstr>
      <vt:lpstr>dH2Carvao</vt:lpstr>
      <vt:lpstr>dH2Coque</vt:lpstr>
      <vt:lpstr>dHE</vt:lpstr>
      <vt:lpstr>dHEQuem</vt:lpstr>
      <vt:lpstr>dHoras</vt:lpstr>
      <vt:lpstr>dLetra</vt:lpstr>
      <vt:lpstr>dNitrogenio</vt:lpstr>
      <vt:lpstr>dObs</vt:lpstr>
      <vt:lpstr>dPadroes</vt:lpstr>
      <vt:lpstr>dPadroesQuais</vt:lpstr>
      <vt:lpstr>dProg</vt:lpstr>
      <vt:lpstr>dReal</vt:lpstr>
      <vt:lpstr>dRecebe</vt:lpstr>
      <vt:lpstr>dReforma</vt:lpstr>
      <vt:lpstr>dSol</vt:lpstr>
      <vt:lpstr>dTecnico</vt:lpstr>
      <vt:lpstr>dTroca</vt:lpstr>
      <vt:lpstr>dTrocaQuem</vt:lpstr>
      <vt:lpstr>gArea</vt:lpstr>
      <vt:lpstr>gAtualizado</vt:lpstr>
      <vt:lpstr>gFim</vt:lpstr>
      <vt:lpstr>gHoras</vt:lpstr>
      <vt:lpstr>gIni</vt:lpstr>
      <vt:lpstr>lstAgreg</vt:lpstr>
      <vt:lpstr>lstAr</vt:lpstr>
      <vt:lpstr>lstCond</vt:lpstr>
      <vt:lpstr>lstFonte</vt:lpstr>
      <vt:lpstr>lstFormatoData</vt:lpstr>
      <vt:lpstr>lstLigado</vt:lpstr>
      <vt:lpstr>lstParam</vt:lpstr>
      <vt:lpstr>lstSN</vt:lpstr>
      <vt:lpstr>lstTipo</vt:lpstr>
      <vt:lpstr>lstTurma</vt:lpstr>
      <vt:lpstr>lstTurno</vt:lpstr>
      <vt:lpstr>mesFim</vt:lpstr>
      <vt:lpstr>mesInicio</vt:lpstr>
      <vt:lpstr>nAr</vt:lpstr>
      <vt:lpstr>nArea</vt:lpstr>
      <vt:lpstr>nAReal</vt:lpstr>
      <vt:lpstr>nArStatus</vt:lpstr>
      <vt:lpstr>nAtualizado</vt:lpstr>
      <vt:lpstr>nAus</vt:lpstr>
      <vt:lpstr>nAusQuem</vt:lpstr>
      <vt:lpstr>nCadinhos</vt:lpstr>
      <vt:lpstr>nCompressor</vt:lpstr>
      <vt:lpstr>nCoque04</vt:lpstr>
      <vt:lpstr>nEquip</vt:lpstr>
      <vt:lpstr>nH2Carvao</vt:lpstr>
      <vt:lpstr>nH2Coque</vt:lpstr>
      <vt:lpstr>nHE</vt:lpstr>
      <vt:lpstr>nHEQuem</vt:lpstr>
      <vt:lpstr>nHoras</vt:lpstr>
      <vt:lpstr>nLetra</vt:lpstr>
      <vt:lpstr>nNitrogenio</vt:lpstr>
      <vt:lpstr>nObs</vt:lpstr>
      <vt:lpstr>nPadroes</vt:lpstr>
      <vt:lpstr>nPadroesQuais</vt:lpstr>
      <vt:lpstr>nProg</vt:lpstr>
      <vt:lpstr>nReal</vt:lpstr>
      <vt:lpstr>nRecebe</vt:lpstr>
      <vt:lpstr>nReforma</vt:lpstr>
      <vt:lpstr>nSol</vt:lpstr>
      <vt:lpstr>nTecnico</vt:lpstr>
      <vt:lpstr>nTroca</vt:lpstr>
      <vt:lpstr>nTrocaQuem</vt:lpstr>
      <vt:lpstr>pData</vt:lpstr>
      <vt:lpstr>Configurações!Print_Area</vt:lpstr>
      <vt:lpstr>Preenchimento!Print_Area</vt:lpstr>
      <vt:lpstr>'Resultados gerais'!Print_Area</vt:lpstr>
      <vt:lpstr>'Resumo Dia'!Print_Area</vt:lpstr>
      <vt:lpstr>'Resumo Noite'!Print_Area</vt:lpstr>
    </vt:vector>
  </TitlesOfParts>
  <Company>Samarco - Laboratório Químico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Turno - Laboratório Químico - US3/US4</dc:title>
  <dc:creator/>
  <cp:lastModifiedBy/>
  <dcterms:created xsi:type="dcterms:W3CDTF">2026-09-30T21:11:05Z</dcterms:created>
  <dcterms:modified xsi:type="dcterms:W3CDTF">2026-09-30T21:11:05Z</dcterms:modified>
</cp:coreProperties>
</file>