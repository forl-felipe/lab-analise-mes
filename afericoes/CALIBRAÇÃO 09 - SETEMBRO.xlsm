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orksheets/sheet15.xml" ContentType="application/vnd.openxmlformats-officedocument.spreadsheetml.worksheet+xml"/>
  <Override PartName="/xl/worksheets/sheet16.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516" codeName="{00000000-0000-0000-0000-000000000000}"/>
  <workbookPr codeName="EstaPasta_de_trabalho" defaultThemeVersion="124226"/>
  <mc:AlternateContent xmlns:mc="http://schemas.openxmlformats.org/markup-compatibility/2006">
    <mc:Choice Requires="x15">
      <x15ac:absPath xmlns:x15ac="http://schemas.microsoft.com/office/spreadsheetml/2010/11/ac" url="C:\Users\acorrea\Downloads\"/>
    </mc:Choice>
  </mc:AlternateContent>
  <xr:revisionPtr revIDLastSave="2381" documentId="11_DAB834592CE06F6515B403E12314C89E8D40B979" xr6:coauthVersionLast="47" xr6:coauthVersionMax="47" xr10:uidLastSave="{BD1183C9-609B-4AFA-94F5-2BBD032E5441}"/>
  <bookViews>
    <workbookView xWindow="-120" yWindow="-120" windowWidth="29040" windowHeight="15720" firstSheet="6" activeTab="8" xr2:uid="{00000000-000D-0000-FFFF-FFFF00000000}"/>
  </bookViews>
  <sheets>
    <sheet name="menu" sheetId="1" r:id="rId1"/>
    <sheet name="Plan5" sheetId="2" state="hidden" r:id="rId2"/>
    <sheet name="Tambor de Abrasão" sheetId="4" r:id="rId3"/>
    <sheet name="Gran. Fina Alpine" sheetId="3" r:id="rId4"/>
    <sheet name="Calibração Blaine" sheetId="6" r:id="rId5"/>
    <sheet name="Comparativo Fisher" sheetId="20" r:id="rId6"/>
    <sheet name="Verificação Peneiradores" sheetId="5" r:id="rId7"/>
    <sheet name="Compressão" sheetId="12" r:id="rId8"/>
    <sheet name="Granulometria" sheetId="11" r:id="rId9"/>
    <sheet name="Umidade" sheetId="7" r:id="rId10"/>
    <sheet name="Tamb Kg x Tamb 15,0Kg" sheetId="13" r:id="rId11"/>
    <sheet name="Resultados 1" sheetId="8" r:id="rId12"/>
    <sheet name="Grafico 1" sheetId="16" r:id="rId13"/>
    <sheet name="Controle" sheetId="17" r:id="rId14"/>
    <sheet name="BD_Afericoes" sheetId="21" state="hidden" r:id="rId25"/>
    <sheet name="BD_Limites" sheetId="22" state="hidden" r:id="rId26"/>
  </sheets>
  <externalReferences>
    <externalReference r:id="rId15"/>
  </externalReferences>
  <definedNames>
    <definedName name="_xlnm._FilterDatabase" localSheetId="4" hidden="1">'Calibração Blaine'!$A$5:$L$34</definedName>
    <definedName name="_xlnm.Print_Area" localSheetId="4">'Calibração Blaine'!$A$1:$N$73</definedName>
    <definedName name="_xlnm.Print_Area" localSheetId="3">'Gran. Fina Alpine'!$A$1:$H$22</definedName>
    <definedName name="Z_0121BC5C_2AA6_4F6C_871B_F5CDF1633F72_.wvu.Cols" localSheetId="6" hidden="1">'Verificação Peneiradores'!$C:$L</definedName>
    <definedName name="Z_0C0476DE_F4E6_4ADB_B504_A8D8F3A78376_.wvu.FilterData" localSheetId="4" hidden="1">'Calibração Blaine'!$A$5:$L$34</definedName>
    <definedName name="Z_16402340_B3EF_461B_8AF9_D2FFE7E6BD1B_.wvu.Cols" localSheetId="6" hidden="1">'Verificação Peneiradores'!$C:$L</definedName>
    <definedName name="Z_18148FBC_4DDD_4025_B982_F009E34B76B6_.wvu.Cols" localSheetId="6" hidden="1">'Verificação Peneiradores'!$C:$L</definedName>
    <definedName name="Z_350D256E_484A_493C_BEC1_E6E92C0ED1FB_.wvu.FilterData" localSheetId="4" hidden="1">'Calibração Blaine'!$A$5:$L$34</definedName>
    <definedName name="Z_399DAAD4_4C07_4790_93A5_5F8C87C16F8F_.wvu.FilterData" localSheetId="4" hidden="1">'Calibração Blaine'!$A$5:$L$34</definedName>
    <definedName name="Z_3BD3E38B_E288_4CCF_9EE9_3A5263D49C28_.wvu.FilterData" localSheetId="4" hidden="1">'Calibração Blaine'!$A$5:$L$34</definedName>
    <definedName name="Z_3D410819_5520_4C0F_958E_9FC09D4B42DD_.wvu.Cols" localSheetId="6" hidden="1">'Verificação Peneiradores'!$C:$L</definedName>
    <definedName name="Z_4748EC4C_81D5_43D5_94BD_A5B223346BCF_.wvu.FilterData" localSheetId="4" hidden="1">'Calibração Blaine'!$A$5:$L$34</definedName>
    <definedName name="Z_4928B0BF_3605_4228_B5EA_B9EFCB2DA176_.wvu.FilterData" localSheetId="4" hidden="1">'Calibração Blaine'!$A$5:$L$34</definedName>
    <definedName name="Z_57A1ECFE_977E_4E0D_86F8_5E397B58E2E7_.wvu.FilterData" localSheetId="4" hidden="1">'Calibração Blaine'!$A$5:$L$34</definedName>
    <definedName name="Z_5867E70C_6837_4B3A_9747_480F77CCE139_.wvu.FilterData" localSheetId="4" hidden="1">'Calibração Blaine'!$A$5:$L$34</definedName>
    <definedName name="Z_59668F56_2642_434E_822C_BDA8586DAA1D_.wvu.FilterData" localSheetId="4" hidden="1">'Calibração Blaine'!$A$5:$L$34</definedName>
    <definedName name="Z_59668F56_2642_434E_822C_BDA8586DAA1D_.wvu.Rows" localSheetId="2" hidden="1">'Tambor de Abrasão'!#REF!</definedName>
    <definedName name="Z_59F2B60C_C5F9_44B8_BC83_94BE106F57C3_.wvu.FilterData" localSheetId="4" hidden="1">'Calibração Blaine'!$A$5:$L$34</definedName>
    <definedName name="Z_5A71F0C5_ECA2_41C7_B946_CE8961547877_.wvu.FilterData" localSheetId="4" hidden="1">'Calibração Blaine'!$A$5:$L$34</definedName>
    <definedName name="Z_66B043C9_090A_44CE_8F78_F01A2E95C074_.wvu.FilterData" localSheetId="4" hidden="1">'Calibração Blaine'!$A$5:$L$34</definedName>
    <definedName name="Z_681A0256_766F_4C32_B8C6_D64468E2450A_.wvu.FilterData" localSheetId="4" hidden="1">'Calibração Blaine'!$A$5:$L$34</definedName>
    <definedName name="Z_693A9131_2702_4FE7_A7C7_E6EDDD138512_.wvu.FilterData" localSheetId="4" hidden="1">'Calibração Blaine'!$A$5:$L$34</definedName>
    <definedName name="Z_70843BDF_D655_4848_BCD4_BDFD277BBD35_.wvu.FilterData" localSheetId="4" hidden="1">'Calibração Blaine'!$A$5:$L$34</definedName>
    <definedName name="Z_713A1DD7_FA1F_4623_B0E6_A04686290522_.wvu.FilterData" localSheetId="4" hidden="1">'Calibração Blaine'!$A$5:$L$34</definedName>
    <definedName name="Z_71E28378_5869_4383_8FDC_814E20362E22_.wvu.FilterData" localSheetId="4" hidden="1">'Calibração Blaine'!$A$5:$L$34</definedName>
    <definedName name="Z_7B544619_EB2E_48B2_B24E_08491FFEDF03_.wvu.FilterData" localSheetId="4" hidden="1">'Calibração Blaine'!$A$5:$L$34</definedName>
    <definedName name="Z_875BCD04_10B9_4BB6_BBE5_9B2301DD2EC9_.wvu.FilterData" localSheetId="4" hidden="1">'Calibração Blaine'!$A$5:$L$34</definedName>
    <definedName name="Z_8C81953D_A26D_4ACF_9D7D_729107B858BE_.wvu.FilterData" localSheetId="4" hidden="1">'Calibração Blaine'!$A$5:$L$34</definedName>
    <definedName name="Z_99844124_CC26_41CC_BF01_C430840B6A11_.wvu.FilterData" localSheetId="4" hidden="1">'Calibração Blaine'!$A$5:$L$34</definedName>
    <definedName name="Z_A4E803EB_41FF_4A37_B570_C079A717F1D5_.wvu.FilterData" localSheetId="4" hidden="1">'Calibração Blaine'!$A$5:$L$34</definedName>
    <definedName name="Z_A9DC904F_863E_4EE0_A626_0795983927A7_.wvu.FilterData" localSheetId="4" hidden="1">'Calibração Blaine'!$A$5:$L$34</definedName>
    <definedName name="Z_AAFEB45B_EC48_4A57_9442_3F536E68E653_.wvu.FilterData" localSheetId="4" hidden="1">'Calibração Blaine'!$A$5:$L$34</definedName>
    <definedName name="Z_B5E2B02B_7E99_408C_BB6F_FFF2280098B7_.wvu.FilterData" localSheetId="4" hidden="1">'Calibração Blaine'!$A$5:$L$34</definedName>
    <definedName name="Z_BB76541C_9734_4AE6_BF63_6D073F753C9C_.wvu.FilterData" localSheetId="4" hidden="1">'Calibração Blaine'!$A$5:$L$34</definedName>
    <definedName name="Z_C2E74EDD_1B26_4C41_B9BB_CBF9BFB9023A_.wvu.FilterData" localSheetId="4" hidden="1">'Calibração Blaine'!$A$5:$L$34</definedName>
    <definedName name="Z_C77CCEB6_690D_489F_B3AF_2BAA99B10E03_.wvu.FilterData" localSheetId="4" hidden="1">'Calibração Blaine'!$A$5:$L$34</definedName>
    <definedName name="Z_CBDC2B44_0B12_42F6_8A83_327620A020F0_.wvu.Cols" localSheetId="6" hidden="1">'Verificação Peneiradores'!$C:$L</definedName>
    <definedName name="Z_CBDC2B44_0B12_42F6_8A83_327620A020F0_.wvu.FilterData" localSheetId="4" hidden="1">'Calibração Blaine'!$A$5:$L$34</definedName>
    <definedName name="Z_CCCF8C80_0A30_4E00_90E2_6A0478F5DFB8_.wvu.FilterData" localSheetId="4" hidden="1">'Calibração Blaine'!$A$5:$L$34</definedName>
    <definedName name="Z_E2D4B8EC_6A13_4F42_8232_617D36455480_.wvu.FilterData" localSheetId="4" hidden="1">'Calibração Blaine'!$A$5:$L$34</definedName>
    <definedName name="Z_E8ADB739_37E9_4E75_B31D_C7B374D790E1_.wvu.Cols" localSheetId="6" hidden="1">'Verificação Peneiradores'!$C:$L</definedName>
    <definedName name="Z_E8ADB739_37E9_4E75_B31D_C7B374D790E1_.wvu.FilterData" localSheetId="4" hidden="1">'Calibração Blaine'!$A$5:$L$34</definedName>
    <definedName name="Z_F237F3C3_0F47_464A_8293_D057DA35FD3F_.wvu.FilterData" localSheetId="4" hidden="1">'Calibração Blaine'!$A$5:$L$34</definedName>
    <definedName name="Z_F714CF42_7A1C_4705_AE29_392CBBABC9F9_.wvu.FilterData" localSheetId="4" hidden="1">'Calibração Blaine'!$A$5:$L$34</definedName>
  </definedNames>
  <calcPr calcId="191028" fullCalcOnLoad="1"/>
  <customWorkbookViews>
    <customWorkbookView name="Alvimar De Souza Correa - Modo de exibição pessoal" guid="{CCCF8C80-0A30-4E00-90E2-6A0478F5DFB8}" mergeInterval="0" personalView="1" maximized="1" xWindow="-8" yWindow="-8" windowWidth="1456" windowHeight="876" activeSheetId="3"/>
    <customWorkbookView name="Marcus Vinicius Souza Paulino - Modo de exibição pessoal" guid="{BB76541C-9734-4AE6-BF63-6D073F753C9C}" mergeInterval="0" personalView="1" maximized="1" windowWidth="1436" windowHeight="675" activeSheetId="6"/>
    <customWorkbookView name="Gilian Sofiatti De Jesus - Modo de exibição pessoal" guid="{B5E2B02B-7E99-408C-BB6F-FFF2280098B7}" mergeInterval="0" personalView="1" maximized="1" windowWidth="1436" windowHeight="675" activeSheetId="7"/>
    <customWorkbookView name="Ivan Neves Rodrigues - Modo de exibição pessoal" guid="{C2E74EDD-1B26-4C41-B9BB-CBF9BFB9023A}" mergeInterval="0" personalView="1" maximized="1" windowWidth="1436" windowHeight="675" activeSheetId="6"/>
    <customWorkbookView name="Alexsandro Izoton Santiago Almeida - Modo de exibição pessoal" guid="{350D256E-484A-493C-BEC1-E6E92C0ED1FB}" mergeInterval="0" personalView="1" maximized="1" windowWidth="1436" windowHeight="675" activeSheetId="1"/>
    <customWorkbookView name="Julio Cesar da Silva Marques - Modo de exibição pessoal" guid="{66B043C9-090A-44CE-8F78-F01A2E95C074}" mergeInterval="0" personalView="1" maximized="1" windowWidth="1436" windowHeight="655" activeSheetId="5"/>
    <customWorkbookView name="Adriano Ramos Moreira - Modo de exibição pessoal" guid="{71E28378-5869-4383-8FDC-814E20362E22}" mergeInterval="0" personalView="1" maximized="1" showSheetTabs="0" windowWidth="1436" windowHeight="675" activeSheetId="1"/>
    <customWorkbookView name="Rodrigo de Pinho Tonhoque - Modo de exibição pessoal" guid="{F714CF42-7A1C-4705-AE29-392CBBABC9F9}" mergeInterval="0" personalView="1" maximized="1" windowWidth="1436" windowHeight="615" activeSheetId="1"/>
    <customWorkbookView name="Bernardo Bourguignon Santorio - Modo de exibição pessoal" guid="{38FBFED3-58FC-4347-B294-953F7A53DE3D}" mergeInterval="0" personalView="1" maximized="1" windowWidth="1436" windowHeight="675" activeSheetId="5"/>
    <customWorkbookView name="Anderson da Silva Borges - Modo de exibição pessoal" guid="{693A9131-2702-4FE7-A7C7-E6EDDD138512}" mergeInterval="0" personalView="1" maximized="1" windowWidth="1436" windowHeight="701" activeSheetId="1" showFormulaBar="0"/>
    <customWorkbookView name="Cassiano de Souza - Modo de exibição pessoal" guid="{4748EC4C-81D5-43D5-94BD-A5B223346BCF}" mergeInterval="0" personalView="1" maximized="1" windowWidth="1436" windowHeight="675" activeSheetId="1"/>
    <customWorkbookView name="Gustavo Schunck de Souza - Modo de exibição pessoal" guid="{CBDC2B44-0B12-42F6-8A83-327620A020F0}" mergeInterval="0" personalView="1" maximized="1" windowWidth="1436" windowHeight="676" activeSheetId="11"/>
    <customWorkbookView name="Cleybson Soledade Ferro - Modo de exibição pessoal" guid="{713A1DD7-FA1F-4623-B0E6-A04686290522}" mergeInterval="0" personalView="1" maximized="1" windowWidth="1436" windowHeight="671" activeSheetId="11"/>
    <customWorkbookView name="Reginaldo Reis - Modo de exibição pessoal" guid="{70843BDF-D655-4848-BCD4-BDFD277BBD35}" mergeInterval="0" personalView="1" maximized="1" windowWidth="1436" windowHeight="763" activeSheetId="4"/>
    <customWorkbookView name="Ricardo Alexandre Bartorilio Lima - Modo de exibição pessoal" guid="{8C81953D-A26D-4ACF-9D7D-729107B858BE}" mergeInterval="0" personalView="1" maximized="1" windowWidth="1436" windowHeight="675" activeSheetId="1"/>
    <customWorkbookView name="Marcelo Beninca Burini - Modo de exibição pessoal" guid="{F237F3C3-0F47-464A-8293-D057DA35FD3F}" mergeInterval="0" personalView="1" maximized="1" windowWidth="1436" windowHeight="675" activeSheetId="10"/>
    <customWorkbookView name="Renato Maioli Pinheiro - Modo de exibição pessoal" guid="{5867E70C-6837-4B3A-9747-480F77CCE139}" mergeInterval="0" personalView="1" maximized="1" windowWidth="1436" windowHeight="763" activeSheetId="1"/>
    <customWorkbookView name="Marcelo Santos Seidel - Modo de exibição pessoal" guid="{59F2B60C-C5F9-44B8-BC83-94BE106F57C3}" mergeInterval="0" personalView="1" maximized="1" windowWidth="1436" windowHeight="675" activeSheetId="7"/>
    <customWorkbookView name="Humberto Jacir Rodrigues Vieira - Modo de exibição pessoal" guid="{0C0476DE-F4E6-4ADB-B504-A8D8F3A78376}" mergeInterval="0" personalView="1" maximized="1" windowWidth="1436" windowHeight="675" activeSheetId="9"/>
    <customWorkbookView name="Yuri Farias de Almeida - Modo de exibição pessoal" guid="{AAFEB45B-EC48-4A57-9442-3F536E68E653}" mergeInterval="0" personalView="1" maximized="1" windowWidth="1436" windowHeight="675" activeSheetId="8"/>
    <customWorkbookView name="Anizio Ribeiro Filho - Modo de exibição pessoal" guid="{18148FBC-4DDD-4025-B982-F009E34B76B6}" mergeInterval="0" personalView="1" maximized="1" windowWidth="1436" windowHeight="655" activeSheetId="5"/>
    <customWorkbookView name="Roldnei da Costa Candido - Modo de exibição pessoal" guid="{45058AEB-0A55-4288-B2D5-D3D1B02DD62F}" mergeInterval="0" personalView="1" maximized="1" windowWidth="1436" windowHeight="701" activeSheetId="1" showFormulaBar="0" showComments="commIndAndComment"/>
    <customWorkbookView name="Willian Fernandes Silva - Modo de exibição pessoal" guid="{0121BC5C-2AA6-4F6C-871B-F5CDF1633F72}" mergeInterval="0" personalView="1" maximized="1" windowWidth="1436" windowHeight="675" activeSheetId="5"/>
    <customWorkbookView name="Feliciano Guieiro Filho - Modo de exibição pessoal" guid="{83581ACB-5281-4BE1-9AE2-7BAA59D29A86}" mergeInterval="0" personalView="1" maximized="1" windowWidth="1436" windowHeight="675" activeSheetId="5"/>
    <customWorkbookView name="Zandonayd Ribeiro de Lima - Modo de exibição pessoal" guid="{C4E0EA46-0B96-4EC7-979B-F7138E3B8454}" mergeInterval="0" personalView="1" maximized="1" windowWidth="1436" windowHeight="631" activeSheetId="6"/>
    <customWorkbookView name="Italo Silva Martins - Modo de exibição pessoal" guid="{3D410819-5520-4C0F-958E-9FC09D4B42DD}" mergeInterval="0" personalView="1" maximized="1" windowWidth="1064" windowHeight="428" activeSheetId="3"/>
    <customWorkbookView name="Evan Charles Chagas Fonseca - Modo de exibição pessoal" guid="{16402340-B3EF-461B-8AF9-D2FFE7E6BD1B}" mergeInterval="0" personalView="1" maximized="1" windowWidth="1436" windowHeight="675" activeSheetId="4"/>
    <customWorkbookView name="Ana Paula Soares Ribeiro - Modo de exibição pessoal" guid="{EA7DCB4E-60E8-4E16-A16D-6D297CA2C1EC}" mergeInterval="0" personalView="1" maximized="1" windowWidth="1436" windowHeight="675" activeSheetId="1"/>
    <customWorkbookView name="Sergio Pereira de Souza Ramos - Modo de exibição pessoal" guid="{CB25E97E-E1F7-40D2-96CC-9C5F1ECB4FCD}" mergeInterval="0" personalView="1" maximized="1" windowWidth="1436" windowHeight="675" activeSheetId="7"/>
    <customWorkbookView name="Leodimar Margon - Modo de exibição pessoal" guid="{99844124-CC26-41CC-BF01-C430840B6A11}" mergeInterval="0" personalView="1" maximized="1" windowWidth="1436" windowHeight="675" activeSheetId="1"/>
    <customWorkbookView name="Welber Oliveira Fortunato - Modo de exibição pessoal" guid="{57A1ECFE-977E-4E0D-86F8-5E397B58E2E7}" mergeInterval="0" personalView="1" maximized="1" windowWidth="1436" windowHeight="675" activeSheetId="5"/>
    <customWorkbookView name="Mauro Carvalho de Sousa - Modo de exibição pessoal" guid="{4928B0BF-3605-4228-B5EA-B9EFCB2DA176}" mergeInterval="0" personalView="1" maximized="1" windowWidth="1436" windowHeight="635" activeSheetId="1"/>
    <customWorkbookView name="Gregorio Victor Sangali Dias - Modo de exibição pessoal" guid="{3BD3E38B-E288-4CCF-9EE9-3A5263D49C28}" mergeInterval="0" personalView="1" maximized="1" windowWidth="1436" windowHeight="675" activeSheetId="10"/>
    <customWorkbookView name="Felipe Oliveira Rodrigues - Modo de exibição pessoal" guid="{C77CCEB6-690D-489F-B3AF-2BAA99B10E03}" mergeInterval="0" personalView="1" maximized="1" windowWidth="1436" windowHeight="641" activeSheetId="10"/>
    <customWorkbookView name="Renato Guimaraes Martins - Modo de exibição pessoal" guid="{DEFA81B0-B3DE-4E04-AE8D-48B1B85AD3F3}" mergeInterval="0" personalView="1" maximized="1" windowWidth="1436" windowHeight="675" activeSheetId="6"/>
    <customWorkbookView name="Rafael Vieira Marchezi - Modo de exibição pessoal" guid="{59668F56-2642-434E-822C-BDA8586DAA1D}" mergeInterval="0" personalView="1" maximized="1" windowWidth="1436" windowHeight="675" activeSheetId="5"/>
    <customWorkbookView name="Jardel Rigoni Marinho - Modo de exibição pessoal" guid="{A9DC904F-863E-4EE0-A626-0795983927A7}" mergeInterval="0" personalView="1" maximized="1" showSheetTabs="0" windowWidth="1436" windowHeight="655" activeSheetId="6"/>
    <customWorkbookView name="Julio Cesar Da Silva Marques Filho - Modo de exibição pessoal" guid="{E8ADB739-37E9-4E75-B31D-C7B374D790E1}" mergeInterval="0" personalView="1" maximized="1" windowWidth="1436" windowHeight="675" tabRatio="862" activeSheetId="5"/>
    <customWorkbookView name="Leandro Sutil Vieira - Modo de exibição pessoal" guid="{875BCD04-10B9-4BB6-BBE5-9B2301DD2EC9}" mergeInterval="0" personalView="1" maximized="1" windowWidth="1436" windowHeight="675" activeSheetId="3"/>
    <customWorkbookView name="Leandro Ferreira Pacheco - Modo de exibição pessoal" guid="{681A0256-766F-4C32-B8C6-D64468E2450A}" mergeInterval="0" personalView="1" maximized="1" showSheetTabs="0" windowWidth="1436" windowHeight="671" activeSheetId="6"/>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11" l="1"/>
  <c r="K20" i="11"/>
  <c r="K19" i="11"/>
  <c r="K18" i="11"/>
  <c r="K17" i="11"/>
  <c r="K16" i="11"/>
  <c r="K15" i="11"/>
  <c r="K14" i="11"/>
  <c r="K13" i="11"/>
  <c r="K12" i="11"/>
  <c r="U22" i="12"/>
  <c r="U23" i="12"/>
  <c r="S22" i="12"/>
  <c r="S23" i="12"/>
  <c r="U21" i="12"/>
  <c r="S21" i="12"/>
  <c r="R22" i="12"/>
  <c r="R23" i="12"/>
  <c r="R21" i="12"/>
  <c r="Q22" i="12"/>
  <c r="Q23" i="12"/>
  <c r="Q21" i="12"/>
  <c r="U8" i="12"/>
  <c r="U9" i="12"/>
  <c r="U7" i="12"/>
  <c r="S8" i="12"/>
  <c r="S9" i="12"/>
  <c r="S7" i="12"/>
  <c r="R8" i="12"/>
  <c r="R9" i="12"/>
  <c r="R7" i="12"/>
  <c r="Q8" i="12"/>
  <c r="Q9" i="12"/>
  <c r="Q7" i="12"/>
  <c r="C14" i="13"/>
  <c r="D11" i="13"/>
  <c r="J25" i="4"/>
  <c r="J26" i="4"/>
  <c r="J6" i="4"/>
  <c r="C25" i="12"/>
  <c r="Q20" i="12"/>
  <c r="C11" i="12"/>
  <c r="E25" i="12"/>
  <c r="D25" i="12"/>
  <c r="E11" i="12"/>
  <c r="E10" i="12"/>
  <c r="D10" i="12"/>
  <c r="B19" i="7"/>
  <c r="B23" i="7"/>
  <c r="R6" i="12"/>
  <c r="U6" i="12"/>
  <c r="T7" i="12"/>
  <c r="T8" i="12"/>
  <c r="T9" i="12"/>
  <c r="T6" i="12"/>
  <c r="S6" i="12"/>
  <c r="V7" i="12"/>
  <c r="V8" i="12"/>
  <c r="V9" i="12"/>
  <c r="Q6" i="12"/>
  <c r="V6" i="12" s="1"/>
  <c r="I71" i="6"/>
  <c r="I70" i="6"/>
  <c r="I69" i="6"/>
  <c r="I68" i="6"/>
  <c r="I67" i="6"/>
  <c r="I66" i="6"/>
  <c r="C27" i="12"/>
  <c r="P25" i="12"/>
  <c r="O25" i="12"/>
  <c r="N25" i="12"/>
  <c r="M25" i="12"/>
  <c r="L25" i="12"/>
  <c r="K25" i="12"/>
  <c r="J25" i="12"/>
  <c r="I25" i="12"/>
  <c r="H25" i="12"/>
  <c r="G25" i="12"/>
  <c r="F25" i="12"/>
  <c r="P24" i="12"/>
  <c r="O24" i="12"/>
  <c r="N24" i="12"/>
  <c r="M24" i="12"/>
  <c r="L24" i="12"/>
  <c r="K24" i="12"/>
  <c r="J24" i="12"/>
  <c r="I24" i="12"/>
  <c r="H24" i="12"/>
  <c r="G24" i="12"/>
  <c r="F24" i="12"/>
  <c r="E24" i="12"/>
  <c r="D24" i="12"/>
  <c r="C24" i="12"/>
  <c r="T23" i="12"/>
  <c r="V23" i="12"/>
  <c r="T22" i="12"/>
  <c r="V22" i="12"/>
  <c r="T21" i="12"/>
  <c r="V21" i="12"/>
  <c r="U20" i="12"/>
  <c r="T20" i="12"/>
  <c r="S20" i="12"/>
  <c r="R20" i="12"/>
  <c r="P11" i="12"/>
  <c r="O11" i="12"/>
  <c r="N11" i="12"/>
  <c r="M11" i="12"/>
  <c r="L11" i="12"/>
  <c r="K11" i="12"/>
  <c r="J11" i="12"/>
  <c r="I11" i="12"/>
  <c r="H11" i="12"/>
  <c r="G11" i="12"/>
  <c r="F11" i="12"/>
  <c r="P10" i="12"/>
  <c r="O10" i="12"/>
  <c r="N10" i="12"/>
  <c r="M10" i="12"/>
  <c r="L10" i="12"/>
  <c r="K10" i="12"/>
  <c r="J10" i="12"/>
  <c r="I10" i="12"/>
  <c r="H10" i="12"/>
  <c r="G10" i="12"/>
  <c r="F10" i="12"/>
  <c r="C10" i="12"/>
  <c r="O6" i="4"/>
  <c r="E26" i="4"/>
  <c r="E27" i="4"/>
  <c r="E28" i="4"/>
  <c r="E29" i="4"/>
  <c r="E30" i="4"/>
  <c r="E31" i="4"/>
  <c r="E32" i="4"/>
  <c r="E33" i="4"/>
  <c r="E34" i="4"/>
  <c r="E25" i="4"/>
  <c r="E6" i="4"/>
  <c r="M70" i="11"/>
  <c r="J70" i="11"/>
  <c r="N69" i="11"/>
  <c r="K69" i="11"/>
  <c r="N68" i="11"/>
  <c r="K68" i="11"/>
  <c r="N67" i="11"/>
  <c r="K67" i="11"/>
  <c r="N66" i="11"/>
  <c r="K66" i="11"/>
  <c r="N65" i="11"/>
  <c r="K65" i="11"/>
  <c r="N64" i="11"/>
  <c r="K64" i="11"/>
  <c r="N63" i="11"/>
  <c r="K63" i="11"/>
  <c r="N62" i="11"/>
  <c r="K62" i="11"/>
  <c r="N61" i="11"/>
  <c r="K61" i="11"/>
  <c r="N60" i="11"/>
  <c r="K60" i="11"/>
  <c r="O32" i="13"/>
  <c r="K32" i="13"/>
  <c r="P30" i="13"/>
  <c r="L30" i="13"/>
  <c r="P29" i="13"/>
  <c r="P31" i="13" s="1"/>
  <c r="L29" i="13"/>
  <c r="L31" i="13" s="1"/>
  <c r="G32" i="13"/>
  <c r="C32" i="13"/>
  <c r="H30" i="13"/>
  <c r="D30" i="13"/>
  <c r="H29" i="13"/>
  <c r="H31" i="13" s="1"/>
  <c r="D29" i="13"/>
  <c r="D31" i="13" s="1"/>
  <c r="E13" i="4"/>
  <c r="J33" i="4"/>
  <c r="J32" i="4"/>
  <c r="G7" i="3"/>
  <c r="E8" i="3"/>
  <c r="C7" i="3"/>
  <c r="F22" i="3"/>
  <c r="D22" i="3"/>
  <c r="B22" i="3"/>
  <c r="F9" i="20"/>
  <c r="F10" i="20"/>
  <c r="F11" i="20"/>
  <c r="F12" i="20"/>
  <c r="F8" i="20"/>
  <c r="E13" i="20"/>
  <c r="D13" i="20"/>
  <c r="V20" i="12" l="1"/>
  <c r="Q11" i="12"/>
  <c r="Q10" i="12"/>
  <c r="R11" i="12"/>
  <c r="R10" i="12"/>
  <c r="S11" i="12"/>
  <c r="S10" i="12"/>
  <c r="T11" i="12"/>
  <c r="T10" i="12"/>
  <c r="U11" i="12"/>
  <c r="U10" i="12"/>
  <c r="Q25" i="12"/>
  <c r="Q24" i="12"/>
  <c r="R25" i="12"/>
  <c r="R24" i="12"/>
  <c r="S25" i="12"/>
  <c r="S24" i="12"/>
  <c r="T25" i="12"/>
  <c r="T24" i="12"/>
  <c r="U25" i="12"/>
  <c r="U24" i="12"/>
  <c r="K75" i="11"/>
  <c r="K74" i="11"/>
  <c r="K73" i="11"/>
  <c r="K72" i="11"/>
  <c r="K76" i="11" s="1"/>
  <c r="K71" i="11"/>
  <c r="N75" i="11"/>
  <c r="N74" i="11"/>
  <c r="N73" i="11"/>
  <c r="N72" i="11"/>
  <c r="N76" i="11" s="1"/>
  <c r="N71" i="11"/>
  <c r="C7" i="8"/>
  <c r="V24" i="12" l="1"/>
  <c r="V10" i="12"/>
  <c r="AC16" i="11"/>
  <c r="G13" i="3"/>
  <c r="I22" i="6"/>
  <c r="K22" i="6"/>
  <c r="M22" i="6"/>
  <c r="I23" i="6"/>
  <c r="K23" i="6"/>
  <c r="M23" i="6"/>
  <c r="I24" i="6"/>
  <c r="K24" i="6"/>
  <c r="M24" i="6"/>
  <c r="E7" i="4"/>
  <c r="I15" i="6"/>
  <c r="Q15" i="11"/>
  <c r="G21" i="3"/>
  <c r="G20" i="3"/>
  <c r="G19" i="3"/>
  <c r="G18" i="3"/>
  <c r="G17" i="3"/>
  <c r="G16" i="3"/>
  <c r="G15" i="3"/>
  <c r="G14" i="3"/>
  <c r="G12" i="3"/>
  <c r="G11" i="3"/>
  <c r="G10" i="3"/>
  <c r="G9" i="3"/>
  <c r="G8" i="3"/>
  <c r="E21" i="3"/>
  <c r="E20" i="3"/>
  <c r="E19" i="3"/>
  <c r="E18" i="3"/>
  <c r="E17" i="3"/>
  <c r="E16" i="3"/>
  <c r="E15" i="3"/>
  <c r="E14" i="3"/>
  <c r="E13" i="3"/>
  <c r="E12" i="3"/>
  <c r="E11" i="3"/>
  <c r="E10" i="3"/>
  <c r="E9" i="3"/>
  <c r="E7" i="3"/>
  <c r="C8" i="3"/>
  <c r="C9" i="3"/>
  <c r="C10" i="3"/>
  <c r="C11" i="3"/>
  <c r="C12" i="3"/>
  <c r="C13" i="3"/>
  <c r="C14" i="3"/>
  <c r="C15" i="3"/>
  <c r="C16" i="3"/>
  <c r="C17" i="3"/>
  <c r="C18" i="3"/>
  <c r="C19" i="3"/>
  <c r="C20" i="3"/>
  <c r="C21" i="3"/>
  <c r="O23" i="13" l="1"/>
  <c r="K23" i="13"/>
  <c r="G23" i="13"/>
  <c r="C23" i="13"/>
  <c r="P21" i="13"/>
  <c r="L21" i="13"/>
  <c r="H21" i="13"/>
  <c r="D21" i="13"/>
  <c r="P20" i="13"/>
  <c r="L20" i="13"/>
  <c r="H20" i="13"/>
  <c r="H22" i="13" s="1"/>
  <c r="D20" i="13"/>
  <c r="D22" i="13" s="1"/>
  <c r="T14" i="13"/>
  <c r="S14" i="13"/>
  <c r="O14" i="13"/>
  <c r="K14" i="13"/>
  <c r="G14" i="13"/>
  <c r="P12" i="13"/>
  <c r="L12" i="13"/>
  <c r="H12" i="13"/>
  <c r="D12" i="13"/>
  <c r="P11" i="13"/>
  <c r="L11" i="13"/>
  <c r="H11" i="13"/>
  <c r="S12" i="13" l="1"/>
  <c r="T12" i="13"/>
  <c r="T13" i="13"/>
  <c r="P22" i="13"/>
  <c r="S13" i="13"/>
  <c r="L22" i="13"/>
  <c r="T11" i="13"/>
  <c r="P13" i="13"/>
  <c r="S11" i="13"/>
  <c r="L13" i="13"/>
  <c r="T10" i="13"/>
  <c r="H13" i="13"/>
  <c r="D13" i="13"/>
  <c r="U14" i="13"/>
  <c r="W14" i="13" s="1"/>
  <c r="S10" i="13"/>
  <c r="C24" i="8"/>
  <c r="U12" i="13" l="1"/>
  <c r="W12" i="13" s="1"/>
  <c r="U13" i="13"/>
  <c r="W13" i="13" s="1"/>
  <c r="U11" i="13"/>
  <c r="W11" i="13" s="1"/>
  <c r="U10" i="13"/>
  <c r="W10" i="13" s="1"/>
  <c r="H6" i="7"/>
  <c r="H7" i="7"/>
  <c r="H8" i="7"/>
  <c r="H9" i="7"/>
  <c r="H10" i="7"/>
  <c r="H11" i="7"/>
  <c r="H12" i="7"/>
  <c r="H13" i="7"/>
  <c r="H14" i="7"/>
  <c r="H15" i="7"/>
  <c r="H16" i="7"/>
  <c r="H17" i="7"/>
  <c r="H18" i="7"/>
  <c r="H5" i="7"/>
  <c r="H19" i="7" s="1"/>
  <c r="D19" i="7"/>
  <c r="D26" i="7"/>
  <c r="N7" i="8" l="1"/>
  <c r="B75" i="6"/>
  <c r="B24" i="3"/>
  <c r="L72" i="6" l="1"/>
  <c r="M63" i="6"/>
  <c r="M64" i="6"/>
  <c r="I63" i="6"/>
  <c r="I64" i="6"/>
  <c r="U15" i="11" l="1"/>
  <c r="Y15" i="11"/>
  <c r="AC15" i="11"/>
  <c r="AG15" i="11"/>
  <c r="Q16" i="11"/>
  <c r="U16" i="11"/>
  <c r="Y16" i="11"/>
  <c r="AG16" i="11"/>
  <c r="F22" i="11"/>
  <c r="G12" i="11" s="1"/>
  <c r="G21" i="11"/>
  <c r="G20" i="11"/>
  <c r="G19" i="11"/>
  <c r="G18" i="11"/>
  <c r="G17" i="11"/>
  <c r="G16" i="11"/>
  <c r="G15" i="11"/>
  <c r="G14" i="11"/>
  <c r="G13" i="11"/>
  <c r="C22" i="11"/>
  <c r="D12" i="11" s="1"/>
  <c r="D21" i="11"/>
  <c r="D20" i="11"/>
  <c r="D19" i="11"/>
  <c r="D18" i="11"/>
  <c r="D17" i="11"/>
  <c r="D16" i="11"/>
  <c r="D15" i="11"/>
  <c r="D14" i="11"/>
  <c r="D13" i="11"/>
  <c r="D27" i="11" l="1"/>
  <c r="D26" i="11"/>
  <c r="D25" i="11"/>
  <c r="D24" i="11"/>
  <c r="D28" i="11" s="1"/>
  <c r="G27" i="11"/>
  <c r="G23" i="11"/>
  <c r="G25" i="11"/>
  <c r="G24" i="11"/>
  <c r="G28" i="11" s="1"/>
  <c r="G26" i="11"/>
  <c r="D23" i="11"/>
  <c r="J22" i="11"/>
  <c r="I35" i="6"/>
  <c r="I34" i="6"/>
  <c r="I33" i="6"/>
  <c r="I32" i="6"/>
  <c r="I31" i="6"/>
  <c r="I30" i="6"/>
  <c r="I29" i="6"/>
  <c r="I28" i="6"/>
  <c r="C70" i="11"/>
  <c r="F70" i="11"/>
  <c r="C46" i="11"/>
  <c r="F46" i="11"/>
  <c r="J46" i="11"/>
  <c r="M46" i="11"/>
  <c r="N43" i="11" s="1"/>
  <c r="N44" i="11"/>
  <c r="N38" i="11"/>
  <c r="N36" i="11"/>
  <c r="M22" i="11"/>
  <c r="N18" i="11" s="1"/>
  <c r="N19" i="11"/>
  <c r="N14" i="11"/>
  <c r="D45" i="11" l="1"/>
  <c r="D44" i="11"/>
  <c r="D43" i="11"/>
  <c r="D48" i="11" s="1"/>
  <c r="D42" i="11"/>
  <c r="D41" i="11"/>
  <c r="D40" i="11"/>
  <c r="D39" i="11"/>
  <c r="D38" i="11"/>
  <c r="D37" i="11"/>
  <c r="D36" i="11"/>
  <c r="D52" i="11" s="1"/>
  <c r="D51" i="11"/>
  <c r="D50" i="11"/>
  <c r="D49" i="11"/>
  <c r="D47" i="11"/>
  <c r="K45" i="11"/>
  <c r="K44" i="11"/>
  <c r="K43" i="11"/>
  <c r="K42" i="11"/>
  <c r="K41" i="11"/>
  <c r="K40" i="11"/>
  <c r="K39" i="11"/>
  <c r="K38" i="11"/>
  <c r="K37" i="11"/>
  <c r="K36" i="11"/>
  <c r="G68" i="11"/>
  <c r="G66" i="11"/>
  <c r="G65" i="11"/>
  <c r="G60" i="11"/>
  <c r="D60" i="11"/>
  <c r="D61" i="11"/>
  <c r="D62" i="11"/>
  <c r="D63" i="11"/>
  <c r="D64" i="11"/>
  <c r="D65" i="11"/>
  <c r="D66" i="11"/>
  <c r="D67" i="11"/>
  <c r="D68" i="11"/>
  <c r="D69" i="11"/>
  <c r="G36" i="11"/>
  <c r="G44" i="11"/>
  <c r="Y20" i="11"/>
  <c r="G61" i="11"/>
  <c r="G69" i="11"/>
  <c r="G62" i="11"/>
  <c r="G63" i="11"/>
  <c r="G71" i="11" s="1"/>
  <c r="AH17" i="11" s="1"/>
  <c r="G64" i="11"/>
  <c r="G67" i="11"/>
  <c r="D74" i="11"/>
  <c r="AG20" i="11" s="1"/>
  <c r="D72" i="11"/>
  <c r="D73" i="11"/>
  <c r="AG19" i="11" s="1"/>
  <c r="Y17" i="11"/>
  <c r="Y19" i="11"/>
  <c r="Y21" i="11"/>
  <c r="Y18" i="11"/>
  <c r="K50" i="11"/>
  <c r="AC20" i="11" s="1"/>
  <c r="K48" i="11"/>
  <c r="AC18" i="11" s="1"/>
  <c r="G37" i="11"/>
  <c r="G45" i="11"/>
  <c r="G38" i="11"/>
  <c r="G39" i="11"/>
  <c r="G47" i="11" s="1"/>
  <c r="Z17" i="11" s="1"/>
  <c r="G40" i="11"/>
  <c r="G41" i="11"/>
  <c r="G42" i="11"/>
  <c r="G43" i="11"/>
  <c r="G48" i="11" s="1"/>
  <c r="Z18" i="11" s="1"/>
  <c r="N37" i="11"/>
  <c r="N45" i="11"/>
  <c r="N48" i="11" s="1"/>
  <c r="AD18" i="11" s="1"/>
  <c r="N39" i="11"/>
  <c r="N47" i="11" s="1"/>
  <c r="AD17" i="11" s="1"/>
  <c r="N40" i="11"/>
  <c r="N41" i="11"/>
  <c r="N42" i="11"/>
  <c r="N20" i="11"/>
  <c r="N13" i="11"/>
  <c r="N21" i="11"/>
  <c r="N15" i="11"/>
  <c r="N23" i="11"/>
  <c r="V17" i="11" s="1"/>
  <c r="N16" i="11"/>
  <c r="N17" i="11"/>
  <c r="G72" i="11" l="1"/>
  <c r="AH18" i="11" s="1"/>
  <c r="AG18" i="11"/>
  <c r="AI18" i="11" s="1"/>
  <c r="D76" i="11"/>
  <c r="AG22" i="11" s="1"/>
  <c r="K47" i="11"/>
  <c r="AC17" i="11" s="1"/>
  <c r="K51" i="11"/>
  <c r="AC21" i="11" s="1"/>
  <c r="Y22" i="11"/>
  <c r="G49" i="11"/>
  <c r="Z19" i="11" s="1"/>
  <c r="AA19" i="11" s="1"/>
  <c r="N26" i="11"/>
  <c r="V20" i="11" s="1"/>
  <c r="AE18" i="11"/>
  <c r="AE17" i="11"/>
  <c r="AA18" i="11"/>
  <c r="AA17" i="11"/>
  <c r="G76" i="11"/>
  <c r="AH22" i="11" s="1"/>
  <c r="AI22" i="11" s="1"/>
  <c r="G75" i="11"/>
  <c r="AH21" i="11" s="1"/>
  <c r="G74" i="11"/>
  <c r="AH20" i="11" s="1"/>
  <c r="AI20" i="11" s="1"/>
  <c r="G73" i="11"/>
  <c r="AH19" i="11" s="1"/>
  <c r="AI19" i="11" s="1"/>
  <c r="D75" i="11"/>
  <c r="AG21" i="11" s="1"/>
  <c r="AI21" i="11" s="1"/>
  <c r="D71" i="11"/>
  <c r="AG17" i="11" s="1"/>
  <c r="AI17" i="11" s="1"/>
  <c r="K52" i="11"/>
  <c r="AC22" i="11" s="1"/>
  <c r="K49" i="11"/>
  <c r="AC19" i="11" s="1"/>
  <c r="G52" i="11"/>
  <c r="Z22" i="11" s="1"/>
  <c r="AA22" i="11" s="1"/>
  <c r="G51" i="11"/>
  <c r="Z21" i="11" s="1"/>
  <c r="AA21" i="11" s="1"/>
  <c r="G50" i="11"/>
  <c r="Z20" i="11" s="1"/>
  <c r="AA20" i="11" s="1"/>
  <c r="N52" i="11"/>
  <c r="AD22" i="11" s="1"/>
  <c r="N51" i="11"/>
  <c r="AD21" i="11" s="1"/>
  <c r="AE21" i="11" s="1"/>
  <c r="N49" i="11"/>
  <c r="AD19" i="11" s="1"/>
  <c r="N50" i="11"/>
  <c r="AD20" i="11" s="1"/>
  <c r="AE20" i="11" s="1"/>
  <c r="AE19" i="11" l="1"/>
  <c r="AE22" i="11"/>
  <c r="G5" i="7"/>
  <c r="M16" i="6"/>
  <c r="M6" i="6"/>
  <c r="M7" i="6"/>
  <c r="M8" i="6"/>
  <c r="M9" i="6"/>
  <c r="C22" i="8" l="1"/>
  <c r="C25" i="8"/>
  <c r="C23" i="8"/>
  <c r="J5" i="7"/>
  <c r="M65" i="6"/>
  <c r="K65" i="6"/>
  <c r="I65" i="6"/>
  <c r="M62" i="6"/>
  <c r="K62" i="6"/>
  <c r="I62" i="6"/>
  <c r="M61" i="6"/>
  <c r="K61" i="6"/>
  <c r="I61" i="6"/>
  <c r="M60" i="6"/>
  <c r="K60" i="6"/>
  <c r="I60" i="6"/>
  <c r="M59" i="6"/>
  <c r="K59" i="6"/>
  <c r="I59" i="6"/>
  <c r="M58" i="6"/>
  <c r="K58" i="6"/>
  <c r="I58" i="6"/>
  <c r="M57" i="6"/>
  <c r="K57" i="6"/>
  <c r="I57" i="6"/>
  <c r="M56" i="6"/>
  <c r="K56" i="6"/>
  <c r="I56" i="6"/>
  <c r="M55" i="6"/>
  <c r="K55" i="6"/>
  <c r="I55" i="6"/>
  <c r="M54" i="6"/>
  <c r="K54" i="6"/>
  <c r="I54" i="6"/>
  <c r="M53" i="6"/>
  <c r="K53" i="6"/>
  <c r="I53" i="6"/>
  <c r="M52" i="6"/>
  <c r="K52" i="6"/>
  <c r="I52" i="6"/>
  <c r="M51" i="6"/>
  <c r="K51" i="6"/>
  <c r="I51" i="6"/>
  <c r="M50" i="6"/>
  <c r="K50" i="6"/>
  <c r="I50" i="6"/>
  <c r="M49" i="6"/>
  <c r="K49" i="6"/>
  <c r="I49" i="6"/>
  <c r="M48" i="6"/>
  <c r="K48" i="6"/>
  <c r="I48" i="6"/>
  <c r="M47" i="6"/>
  <c r="K47" i="6"/>
  <c r="I47" i="6"/>
  <c r="M46" i="6"/>
  <c r="K46" i="6"/>
  <c r="I46" i="6"/>
  <c r="M45" i="6"/>
  <c r="K45" i="6"/>
  <c r="I45" i="6"/>
  <c r="M44" i="6"/>
  <c r="K44" i="6"/>
  <c r="I44" i="6"/>
  <c r="M43" i="6"/>
  <c r="K43" i="6"/>
  <c r="I43" i="6"/>
  <c r="M42" i="6"/>
  <c r="K42" i="6"/>
  <c r="I42" i="6"/>
  <c r="M41" i="6"/>
  <c r="K41" i="6"/>
  <c r="I41" i="6"/>
  <c r="M40" i="6"/>
  <c r="K40" i="6"/>
  <c r="I40" i="6"/>
  <c r="M39" i="6"/>
  <c r="K39" i="6"/>
  <c r="I39" i="6"/>
  <c r="M38" i="6"/>
  <c r="K38" i="6"/>
  <c r="I38" i="6"/>
  <c r="M37" i="6"/>
  <c r="K37" i="6"/>
  <c r="I37" i="6"/>
  <c r="M36" i="6"/>
  <c r="K36" i="6"/>
  <c r="I36" i="6"/>
  <c r="M35" i="6"/>
  <c r="M34" i="6"/>
  <c r="M33" i="6"/>
  <c r="M32" i="6"/>
  <c r="M31" i="6"/>
  <c r="M30" i="6"/>
  <c r="M29" i="6"/>
  <c r="M28" i="6"/>
  <c r="M27" i="6"/>
  <c r="K27" i="6"/>
  <c r="I27" i="6"/>
  <c r="M26" i="6"/>
  <c r="K26" i="6"/>
  <c r="I26" i="6"/>
  <c r="M25" i="6"/>
  <c r="K25" i="6"/>
  <c r="I25" i="6"/>
  <c r="M21" i="6"/>
  <c r="K21" i="6"/>
  <c r="I21" i="6"/>
  <c r="M20" i="6"/>
  <c r="K20" i="6"/>
  <c r="I20" i="6"/>
  <c r="M19" i="6"/>
  <c r="K19" i="6"/>
  <c r="I19" i="6"/>
  <c r="M18" i="6"/>
  <c r="K18" i="6"/>
  <c r="I18" i="6"/>
  <c r="M17" i="6"/>
  <c r="K17" i="6"/>
  <c r="I17" i="6"/>
  <c r="K16" i="6"/>
  <c r="I16" i="6"/>
  <c r="M15" i="6"/>
  <c r="K15" i="6"/>
  <c r="M14" i="6"/>
  <c r="K14" i="6"/>
  <c r="I14" i="6"/>
  <c r="M13" i="6"/>
  <c r="K13" i="6"/>
  <c r="I13" i="6"/>
  <c r="M12" i="6"/>
  <c r="K12" i="6"/>
  <c r="I12" i="6"/>
  <c r="M11" i="6"/>
  <c r="K11" i="6"/>
  <c r="I11" i="6"/>
  <c r="M10" i="6"/>
  <c r="K10" i="6"/>
  <c r="I10" i="6"/>
  <c r="K9" i="6"/>
  <c r="I9" i="6"/>
  <c r="K8" i="6"/>
  <c r="I8" i="6"/>
  <c r="K7" i="6"/>
  <c r="I7" i="6"/>
  <c r="I6" i="6"/>
  <c r="P21" i="8" l="1"/>
  <c r="J31" i="4" l="1"/>
  <c r="J30" i="4"/>
  <c r="J29" i="4"/>
  <c r="J28" i="4"/>
  <c r="J27" i="4"/>
  <c r="O14" i="4"/>
  <c r="O13" i="4"/>
  <c r="O12" i="4"/>
  <c r="O11" i="4"/>
  <c r="O10" i="4"/>
  <c r="O9" i="4"/>
  <c r="O8" i="4"/>
  <c r="O7" i="4"/>
  <c r="O16" i="4" l="1"/>
  <c r="S8" i="4" l="1"/>
  <c r="S9" i="4"/>
  <c r="S10" i="4"/>
  <c r="S11" i="4"/>
  <c r="S12" i="4"/>
  <c r="S13" i="4"/>
  <c r="S14" i="4"/>
  <c r="S7" i="4"/>
  <c r="B40" i="4"/>
  <c r="J7" i="4"/>
  <c r="U8" i="4" s="1"/>
  <c r="J8" i="4"/>
  <c r="U9" i="4" s="1"/>
  <c r="J9" i="4"/>
  <c r="U10" i="4" s="1"/>
  <c r="J10" i="4"/>
  <c r="U11" i="4" s="1"/>
  <c r="J11" i="4"/>
  <c r="U12" i="4" s="1"/>
  <c r="J12" i="4"/>
  <c r="U13" i="4" s="1"/>
  <c r="J13" i="4"/>
  <c r="U14" i="4" s="1"/>
  <c r="J14" i="4"/>
  <c r="E8" i="4"/>
  <c r="T9" i="4" s="1"/>
  <c r="E9" i="4"/>
  <c r="T10" i="4" s="1"/>
  <c r="E10" i="4"/>
  <c r="T11" i="4" s="1"/>
  <c r="E11" i="4"/>
  <c r="T12" i="4" s="1"/>
  <c r="E12" i="4"/>
  <c r="T13" i="4" s="1"/>
  <c r="T14" i="4"/>
  <c r="E14" i="4"/>
  <c r="U7" i="4"/>
  <c r="T7" i="4"/>
  <c r="V8" i="4"/>
  <c r="V9" i="4"/>
  <c r="V10" i="4"/>
  <c r="V11" i="4"/>
  <c r="V12" i="4"/>
  <c r="V13" i="4"/>
  <c r="V14" i="4"/>
  <c r="W7" i="4"/>
  <c r="W8" i="4"/>
  <c r="W9" i="4"/>
  <c r="W10" i="4"/>
  <c r="W11" i="4"/>
  <c r="W12" i="4"/>
  <c r="W13" i="4"/>
  <c r="W14" i="4"/>
  <c r="T8" i="4" l="1"/>
  <c r="B38" i="4"/>
  <c r="AB23" i="16" s="1"/>
  <c r="G40" i="4"/>
  <c r="V7" i="4"/>
  <c r="E26" i="7"/>
  <c r="G19" i="4"/>
  <c r="B19" i="4"/>
  <c r="AJ18" i="11" l="1"/>
  <c r="AJ21" i="11" l="1"/>
  <c r="J36" i="4" l="1"/>
  <c r="E36" i="4"/>
  <c r="J16" i="4"/>
  <c r="E16" i="4"/>
  <c r="C19" i="7"/>
  <c r="E19" i="7"/>
  <c r="J72" i="6"/>
  <c r="H72" i="6"/>
  <c r="G18" i="7"/>
  <c r="J18" i="7"/>
  <c r="G17" i="7"/>
  <c r="J17" i="7"/>
  <c r="G16" i="7"/>
  <c r="J16" i="7"/>
  <c r="G15" i="7"/>
  <c r="J15" i="7"/>
  <c r="G14" i="7"/>
  <c r="G13" i="7"/>
  <c r="J13" i="7"/>
  <c r="G6" i="7"/>
  <c r="G7" i="7"/>
  <c r="G8" i="7"/>
  <c r="G9" i="7"/>
  <c r="G10" i="7"/>
  <c r="G11" i="7"/>
  <c r="G12" i="7"/>
  <c r="K6" i="6"/>
  <c r="J14" i="7" l="1"/>
  <c r="N5" i="8"/>
  <c r="N8" i="8"/>
  <c r="O6" i="8" s="1"/>
  <c r="N6" i="8"/>
  <c r="N15" i="8"/>
  <c r="N14" i="8"/>
  <c r="N16" i="8"/>
  <c r="N13" i="8"/>
  <c r="C6" i="8"/>
  <c r="C5" i="8"/>
  <c r="C13" i="8"/>
  <c r="P6" i="8"/>
  <c r="Q6" i="8"/>
  <c r="O7" i="8"/>
  <c r="P7" i="8"/>
  <c r="Q7" i="8"/>
  <c r="J12" i="7"/>
  <c r="J11" i="7"/>
  <c r="J10" i="7"/>
  <c r="J9" i="7"/>
  <c r="J8" i="7"/>
  <c r="J7" i="7"/>
  <c r="G19" i="7"/>
  <c r="J6" i="7"/>
  <c r="F19" i="7"/>
  <c r="O5" i="8"/>
  <c r="O8" i="8"/>
  <c r="K24" i="11"/>
  <c r="U18" i="11" s="1"/>
  <c r="K25" i="11"/>
  <c r="U19" i="11" s="1"/>
  <c r="K28" i="11"/>
  <c r="U22" i="11" s="1"/>
  <c r="K26" i="11"/>
  <c r="U20" i="11" s="1"/>
  <c r="W20" i="11" s="1"/>
  <c r="K27" i="11"/>
  <c r="U21" i="11" s="1"/>
  <c r="K23" i="11"/>
  <c r="U17" i="11" s="1"/>
  <c r="W17" i="11" s="1"/>
  <c r="N12" i="11"/>
  <c r="N27" i="11"/>
  <c r="V21" i="11" s="1"/>
  <c r="N24" i="11"/>
  <c r="V18" i="11" s="1"/>
  <c r="N25" i="11"/>
  <c r="V19" i="11" s="1"/>
  <c r="R18" i="11"/>
  <c r="W21" i="11" l="1"/>
  <c r="W19" i="11"/>
  <c r="W18" i="11"/>
  <c r="P8" i="8"/>
  <c r="Q8" i="8"/>
  <c r="N28" i="11"/>
  <c r="V22" i="11" s="1"/>
  <c r="W22" i="11" s="1"/>
  <c r="Q5" i="8"/>
  <c r="P5" i="8"/>
  <c r="Q17" i="11"/>
  <c r="Q18" i="11"/>
  <c r="S18" i="11" s="1"/>
  <c r="Q26" i="11" s="1"/>
  <c r="Q27" i="11" s="1"/>
  <c r="Q19" i="11"/>
  <c r="R19" i="11"/>
  <c r="AF21" i="11"/>
  <c r="Q20" i="11"/>
  <c r="Q21" i="11"/>
  <c r="R17" i="11"/>
  <c r="R20" i="11"/>
  <c r="R21" i="11"/>
  <c r="R22" i="11"/>
  <c r="S21" i="11" l="1"/>
  <c r="T21" i="11" s="1"/>
  <c r="S20" i="11"/>
  <c r="S19" i="11"/>
  <c r="Q22" i="11"/>
  <c r="S22" i="11" s="1"/>
  <c r="X21" i="11"/>
  <c r="AB18" i="11"/>
  <c r="AB21" i="11"/>
  <c r="X18" i="11"/>
  <c r="S17" i="11"/>
  <c r="O21" i="8" l="1"/>
  <c r="T18" i="11"/>
  <c r="AF18" i="11"/>
  <c r="N21"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tc={CB76805A-0E65-4301-B3F4-DB8ECAA48F46}</author>
  </authors>
  <commentList>
    <comment ref="O6" authorId="0" shapeId="0" xr:uid="{CB76805A-0E65-4301-B3F4-DB8ECAA48F46}">
      <text>
        <t>[Threaded comment]
Your version of Excel allows you to read this threaded comment; however, any edits to it will get removed if the file is opened in a newer version of Excel. Learn more: https://go.microsoft.com/fwlink/?linkid=870924
Comment:
    TAMBOR SEM INVERSOR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tc={B91D7FE9-A1E8-4391-9062-299C790C79EC}</author>
  </authors>
  <commentList>
    <comment ref="I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EM MANUTENÇÃO</t>
      </text>
    </comment>
  </commentList>
</comments>
</file>

<file path=xl/sharedStrings.xml><?xml version="1.0" encoding="utf-8"?>
<sst xmlns="http://schemas.openxmlformats.org/spreadsheetml/2006/main" count="6427" uniqueCount="1209">
  <si>
    <t>LABORATÓRIO DE CONTROLE DE PRODUÇÃO</t>
  </si>
  <si>
    <t xml:space="preserve">         LABORATÓRIO DE CONTROLE DE PRODUÇÃO E EMBARQUE - 19:00 x 07:00h (toda segunda feira)</t>
  </si>
  <si>
    <t>66TA 09</t>
  </si>
  <si>
    <t>NORMA ISO 3271 - DETERMINAÇÃO DO ÍNDICE DE TAMBORAMENTO E ABRASÃO</t>
  </si>
  <si>
    <t xml:space="preserve">CALIBRAÇÃO TAMBOR DE ABRASÃO - TOLERÂNCIA 25+-1RPM  ( 434 a 470seg), (188 voltas) - </t>
  </si>
  <si>
    <t>Data</t>
  </si>
  <si>
    <t>Calibração</t>
  </si>
  <si>
    <t>Mínimo</t>
  </si>
  <si>
    <t>Máximo</t>
  </si>
  <si>
    <t>Tambor</t>
  </si>
  <si>
    <t>Minutos</t>
  </si>
  <si>
    <t>Segundos</t>
  </si>
  <si>
    <t>RPM</t>
  </si>
  <si>
    <t>Nome</t>
  </si>
  <si>
    <t>Chapa</t>
  </si>
  <si>
    <r>
      <t>66TA</t>
    </r>
    <r>
      <rPr>
        <b/>
        <sz val="11"/>
        <color theme="0"/>
        <rFont val="Calibri"/>
        <family val="2"/>
      </rPr>
      <t>08</t>
    </r>
  </si>
  <si>
    <r>
      <t>66TA</t>
    </r>
    <r>
      <rPr>
        <b/>
        <sz val="11"/>
        <color theme="0"/>
        <rFont val="Calibri"/>
        <family val="2"/>
      </rPr>
      <t>09</t>
    </r>
  </si>
  <si>
    <r>
      <t>66TA</t>
    </r>
    <r>
      <rPr>
        <b/>
        <sz val="11"/>
        <color theme="0"/>
        <rFont val="Calibri"/>
        <family val="2"/>
      </rPr>
      <t>05</t>
    </r>
  </si>
  <si>
    <r>
      <t>66TA</t>
    </r>
    <r>
      <rPr>
        <b/>
        <sz val="11"/>
        <color theme="0"/>
        <rFont val="Calibri"/>
        <family val="2"/>
      </rPr>
      <t>07</t>
    </r>
  </si>
  <si>
    <r>
      <t>66TA</t>
    </r>
    <r>
      <rPr>
        <b/>
        <sz val="11"/>
        <color indexed="8"/>
        <rFont val="Calibri"/>
        <family val="2"/>
      </rPr>
      <t>05</t>
    </r>
  </si>
  <si>
    <r>
      <t>66TA</t>
    </r>
    <r>
      <rPr>
        <b/>
        <sz val="11"/>
        <color indexed="8"/>
        <rFont val="Calibri"/>
        <family val="2"/>
      </rPr>
      <t>08</t>
    </r>
  </si>
  <si>
    <r>
      <t>66TA</t>
    </r>
    <r>
      <rPr>
        <b/>
        <sz val="11"/>
        <color indexed="8"/>
        <rFont val="Calibri"/>
        <family val="2"/>
      </rPr>
      <t>09</t>
    </r>
    <r>
      <rPr>
        <sz val="11"/>
        <color theme="1"/>
        <rFont val="Calibri"/>
        <family val="2"/>
        <scheme val="minor"/>
      </rPr>
      <t/>
    </r>
  </si>
  <si>
    <t>LEONARDO</t>
  </si>
  <si>
    <r>
      <t>66TA</t>
    </r>
    <r>
      <rPr>
        <b/>
        <sz val="11"/>
        <color indexed="8"/>
        <rFont val="Calibri"/>
        <family val="2"/>
      </rPr>
      <t>09</t>
    </r>
  </si>
  <si>
    <t>EBERT</t>
  </si>
  <si>
    <t>WESLEY</t>
  </si>
  <si>
    <t>MÉDIA</t>
  </si>
  <si>
    <t>66TA08  - 188 voltas</t>
  </si>
  <si>
    <t>66TA09 - 188 voltas</t>
  </si>
  <si>
    <t>TEMPO MIN</t>
  </si>
  <si>
    <t>TEMPO SEG</t>
  </si>
  <si>
    <t>CALIBRAÇÃO TAMBOR DE ABRASÃO - TOLERÂNCIA 25+-1RPM ( 461 a 501seg), ( 200 voltas)</t>
  </si>
  <si>
    <r>
      <t>66TA</t>
    </r>
    <r>
      <rPr>
        <b/>
        <sz val="11"/>
        <color indexed="8"/>
        <rFont val="Calibri"/>
        <family val="2"/>
      </rPr>
      <t>06</t>
    </r>
    <r>
      <rPr>
        <sz val="11"/>
        <color theme="1"/>
        <rFont val="Calibri"/>
        <family val="2"/>
        <scheme val="minor"/>
      </rPr>
      <t/>
    </r>
  </si>
  <si>
    <r>
      <t>66TA</t>
    </r>
    <r>
      <rPr>
        <b/>
        <sz val="11"/>
        <color indexed="8"/>
        <rFont val="Calibri"/>
        <family val="2"/>
      </rPr>
      <t>07 -T03</t>
    </r>
  </si>
  <si>
    <t>CONFIRMAR</t>
  </si>
  <si>
    <r>
      <t>66TA</t>
    </r>
    <r>
      <rPr>
        <b/>
        <sz val="11"/>
        <color indexed="8"/>
        <rFont val="Calibri"/>
        <family val="2"/>
      </rPr>
      <t>06</t>
    </r>
  </si>
  <si>
    <t>Total análises</t>
  </si>
  <si>
    <t>66TA09 - 200 Voltas</t>
  </si>
  <si>
    <t>66TA05  - 188 voltas</t>
  </si>
  <si>
    <t xml:space="preserve">               CALIBRAÇÃO ALPINE 19:00 x 07:00h - (seg. quarta e sábado)</t>
  </si>
  <si>
    <t>ISO 4701 - DETERMINAÇÃO DA DISTRIBUIÇÃO GRANULOMÉTRICA POR PENEIRAMENTO</t>
  </si>
  <si>
    <t>Antes de utilizar o aparelho, observar se o mesmo encontra-se em condições ideais de funcionamento: Verificar a depressão, verificar aspecto do aparelho  e as condições das peneiras ( rasgada, furada ou qualquer tipo de dano na mesma ).Caso diferença fique fora da tolerância, confirmar as análises. Persistindo comunicar ao técnico do adm ou do turno. Realizar limpeza nos horários 07:00 às 08:00 - 19:00 às 20:00h</t>
  </si>
  <si>
    <t>66AG 09</t>
  </si>
  <si>
    <t>66AG 010</t>
  </si>
  <si>
    <t>66AG 011</t>
  </si>
  <si>
    <t>Valor Nominal: 88,4</t>
  </si>
  <si>
    <t>Limite Inferior: 87,4</t>
  </si>
  <si>
    <t>Limite Superior: 89,4</t>
  </si>
  <si>
    <t>66PN 670</t>
  </si>
  <si>
    <t>Validação</t>
  </si>
  <si>
    <t>66PN 671</t>
  </si>
  <si>
    <t>Responsável</t>
  </si>
  <si>
    <t>Valor Nominal</t>
  </si>
  <si>
    <t>Limite Inferior</t>
  </si>
  <si>
    <t>Limite Superior</t>
  </si>
  <si>
    <t>Taís</t>
  </si>
  <si>
    <t>schunck</t>
  </si>
  <si>
    <t>ALESANDRO</t>
  </si>
  <si>
    <t>GABRYELL</t>
  </si>
  <si>
    <t>felipe</t>
  </si>
  <si>
    <t>RENATO</t>
  </si>
  <si>
    <t xml:space="preserve">CALIBRAÇÃO BLAINE MANUAL E STAR - INÍCIO DE TURNO </t>
  </si>
  <si>
    <t>ISO 21283 - DETERMINAÇÃO DA ÁREA DA SUPERFÍCIE ESPECÍFICA</t>
  </si>
  <si>
    <t>Antes de utilizar o aparelho, observar se o mesmo encontra-se em condições ideais de funcionamento: Verificar aspecto do aparelho, célula e grelha, data da calibração, atualização do PE, nivel de óleo, (resposta ao comando de liga e tower test, Verificar também condições da CPU e monitor para o automático). Caso diferença fique fora da tolerância, confirmar as análises. Persistindo comunicar ao técnico do adm ou do turno.</t>
  </si>
  <si>
    <t>TURNO</t>
  </si>
  <si>
    <t>LETRA</t>
  </si>
  <si>
    <t xml:space="preserve"> Blaine Manual</t>
  </si>
  <si>
    <t>Calibração Star</t>
  </si>
  <si>
    <t>Blaine Automático</t>
  </si>
  <si>
    <t>07X19</t>
  </si>
  <si>
    <t>C</t>
  </si>
  <si>
    <t>66PB08</t>
  </si>
  <si>
    <t>---</t>
  </si>
  <si>
    <t>AKEL</t>
  </si>
  <si>
    <t>19x07</t>
  </si>
  <si>
    <t>A</t>
  </si>
  <si>
    <t>07x19</t>
  </si>
  <si>
    <t>D</t>
  </si>
  <si>
    <t>TAÍS</t>
  </si>
  <si>
    <t>ZAINE</t>
  </si>
  <si>
    <t>LUIS FELIPE</t>
  </si>
  <si>
    <t>B</t>
  </si>
  <si>
    <t>FELIPE</t>
  </si>
  <si>
    <t>JAC</t>
  </si>
  <si>
    <t>FORA DE USO</t>
  </si>
  <si>
    <t>Confirmar</t>
  </si>
  <si>
    <t>[=</t>
  </si>
  <si>
    <t>fELIPE</t>
  </si>
  <si>
    <t>Total</t>
  </si>
  <si>
    <t>GERÊNCIA DE ENGENHARIA DE PROCESSO , AUTOMAÇÃO E INSTRUMENTAÇÃO</t>
  </si>
  <si>
    <t>TESTE COMPARATIVO FISHER</t>
  </si>
  <si>
    <t>DESCRIÇÃO</t>
  </si>
  <si>
    <t>66PB01</t>
  </si>
  <si>
    <t>66PB09</t>
  </si>
  <si>
    <r>
      <t>Diferença Aceitável 300cm</t>
    </r>
    <r>
      <rPr>
        <b/>
        <sz val="10"/>
        <rFont val="Calibri"/>
        <family val="2"/>
      </rPr>
      <t>²/g</t>
    </r>
  </si>
  <si>
    <t>Laboratorista</t>
  </si>
  <si>
    <t>ANÁLISES  FÍSICAS</t>
  </si>
  <si>
    <t>SUPERFÍCIE ESPECÍFICA - cm2/g</t>
  </si>
  <si>
    <t>Média</t>
  </si>
  <si>
    <t>VERIFICAÇÃO DOS PENEIRADORES - 19:00 X 07:00h - (terça, quinta e sábado)</t>
  </si>
  <si>
    <t>Circulares</t>
  </si>
  <si>
    <t xml:space="preserve">                           Peneirador 09</t>
  </si>
  <si>
    <t xml:space="preserve">                           Peneirador 05</t>
  </si>
  <si>
    <t>Peneirador 06</t>
  </si>
  <si>
    <t>Letra</t>
  </si>
  <si>
    <t>Malhas(mm)</t>
  </si>
  <si>
    <t>Tag</t>
  </si>
  <si>
    <t>PN0423</t>
  </si>
  <si>
    <t>PN0482</t>
  </si>
  <si>
    <t>PN  497</t>
  </si>
  <si>
    <t>PN 303</t>
  </si>
  <si>
    <t>PN431</t>
  </si>
  <si>
    <t>PN432</t>
  </si>
  <si>
    <t>PN430</t>
  </si>
  <si>
    <t>PN425</t>
  </si>
  <si>
    <t>PN046</t>
  </si>
  <si>
    <t>PN500</t>
  </si>
  <si>
    <t>PN434</t>
  </si>
  <si>
    <t>PN478</t>
  </si>
  <si>
    <t>PN516</t>
  </si>
  <si>
    <t>PN665</t>
  </si>
  <si>
    <t>PN666</t>
  </si>
  <si>
    <t>PN510</t>
  </si>
  <si>
    <t>PN647</t>
  </si>
  <si>
    <t>PN459</t>
  </si>
  <si>
    <t>Sem IDENT.</t>
  </si>
  <si>
    <t>PN334</t>
  </si>
  <si>
    <t>SEM PN</t>
  </si>
  <si>
    <t>PN646</t>
  </si>
  <si>
    <t>PNS/IDENT</t>
  </si>
  <si>
    <t>S/IDENT.</t>
  </si>
  <si>
    <t>PN648</t>
  </si>
  <si>
    <t>N/CONT</t>
  </si>
  <si>
    <t>Itens de Verificação</t>
  </si>
  <si>
    <t>Pen</t>
  </si>
  <si>
    <t>Condições das telas</t>
  </si>
  <si>
    <t>OK</t>
  </si>
  <si>
    <t>19,00mm</t>
  </si>
  <si>
    <t>Alexsandro</t>
  </si>
  <si>
    <t>Inclinação das telas</t>
  </si>
  <si>
    <t>16,0mm</t>
  </si>
  <si>
    <t>Anderson</t>
  </si>
  <si>
    <t>Vibração do peneirador</t>
  </si>
  <si>
    <t>14,0mm</t>
  </si>
  <si>
    <t>Cassiano</t>
  </si>
  <si>
    <t>Travamento das peneiras</t>
  </si>
  <si>
    <t xml:space="preserve">Calibração </t>
  </si>
  <si>
    <t>SEM TAG</t>
  </si>
  <si>
    <t>NÃO OK</t>
  </si>
  <si>
    <t>12,5mm</t>
  </si>
  <si>
    <t>Cleybson</t>
  </si>
  <si>
    <t>Observação</t>
  </si>
  <si>
    <t>9,0mm</t>
  </si>
  <si>
    <t>Humberto</t>
  </si>
  <si>
    <t>8,0mm</t>
  </si>
  <si>
    <t>Feliciano</t>
  </si>
  <si>
    <t>PN  614</t>
  </si>
  <si>
    <t>PN0430</t>
  </si>
  <si>
    <t>PN0425</t>
  </si>
  <si>
    <t>PN0,46</t>
  </si>
  <si>
    <t>PN0500</t>
  </si>
  <si>
    <t>PN0501</t>
  </si>
  <si>
    <t>PN650</t>
  </si>
  <si>
    <t>PN484</t>
  </si>
  <si>
    <t>PN558</t>
  </si>
  <si>
    <t>PN505</t>
  </si>
  <si>
    <t>PN631</t>
  </si>
  <si>
    <t>PN398</t>
  </si>
  <si>
    <t>PN664</t>
  </si>
  <si>
    <t>PN649</t>
  </si>
  <si>
    <t>PN479598</t>
  </si>
  <si>
    <t>PN0459</t>
  </si>
  <si>
    <t>SEM CALI</t>
  </si>
  <si>
    <t>PN 12,5 SEM CALIBRAR</t>
  </si>
  <si>
    <t>LeoNARDO</t>
  </si>
  <si>
    <r>
      <rPr>
        <b/>
        <sz val="18"/>
        <color rgb="FFFFFFFF"/>
        <rFont val="Calibri"/>
        <scheme val="minor"/>
      </rPr>
      <t xml:space="preserve">                                       Comparativo Compressão Prensas FX -16,0 +12,5mm - Diferença aceitável 20Kgf/pel  - Velocidade compressão 15 </t>
    </r>
    <r>
      <rPr>
        <b/>
        <sz val="18"/>
        <color rgb="FFFFFFFF"/>
        <rFont val="Calibri"/>
      </rPr>
      <t>±</t>
    </r>
    <r>
      <rPr>
        <b/>
        <sz val="15.65"/>
        <color rgb="FFFFFFFF"/>
        <rFont val="Calibri"/>
      </rPr>
      <t xml:space="preserve"> 2 mm/min</t>
    </r>
    <r>
      <rPr>
        <b/>
        <sz val="18"/>
        <color rgb="FFFFFFFF"/>
        <rFont val="Calibri"/>
        <scheme val="minor"/>
      </rPr>
      <t xml:space="preserve"> -  Valor nominal 355Kgf/pel                                                                                                                                                                                                                                                                                                                                                   </t>
    </r>
  </si>
  <si>
    <t xml:space="preserve">ISO 4700 - DETERMINAÇÃO DA RESISTÊNCIA A COMPRESSÃO </t>
  </si>
  <si>
    <t xml:space="preserve"> Caso diferença entre as prensas ou velocidade de compressão fiquem fora da tolerância, confirmar as análises. Persistindo, comunicar ao técnico do adm ou do turno.</t>
  </si>
  <si>
    <t>Prensa</t>
  </si>
  <si>
    <t>66PS 04 - Físico</t>
  </si>
  <si>
    <t>66PS 07 - Físico</t>
  </si>
  <si>
    <t>66PS 08 - Físico</t>
  </si>
  <si>
    <t>66PS 10 - Físico</t>
  </si>
  <si>
    <t>66PS 05 -T03</t>
  </si>
  <si>
    <t>Diferenças</t>
  </si>
  <si>
    <t>VALIDAÇÃO</t>
  </si>
  <si>
    <t>RESPONSÁVEL</t>
  </si>
  <si>
    <t>OBSERVAÇÃO</t>
  </si>
  <si>
    <t xml:space="preserve">Data                       </t>
  </si>
  <si>
    <t xml:space="preserve"> (kgf/pel)</t>
  </si>
  <si>
    <t>DP</t>
  </si>
  <si>
    <t>vel. (mm/min)</t>
  </si>
  <si>
    <t>PS04-360</t>
  </si>
  <si>
    <t>PS07-360</t>
  </si>
  <si>
    <t>PS08-360</t>
  </si>
  <si>
    <t>PS10 -345</t>
  </si>
  <si>
    <t>PS 05 - 360</t>
  </si>
  <si>
    <t>Leonardo</t>
  </si>
  <si>
    <t>DESVPAD</t>
  </si>
  <si>
    <t xml:space="preserve">* PRENSAS TESTE PRODUÇÃO E ESPECIAS TESTES TODA SEGUNDA </t>
  </si>
  <si>
    <t>CONTOLE DE EMBARQUE EM DIAS DE CARREGAMENTO</t>
  </si>
  <si>
    <t>Velocidade compressão calibrada e desejavel</t>
  </si>
  <si>
    <t>15mm/min</t>
  </si>
  <si>
    <t>13 à 17mm/min</t>
  </si>
  <si>
    <t xml:space="preserve">                                       Comparativo Compressão Prensas FX -12,5 + 10,0mm - Diferença aceitável 20Kgf/pel - Valor nominal 310Kgf/pel                                                                                                                                                                                                                                                                                                                                               </t>
  </si>
  <si>
    <t>PS04-295</t>
  </si>
  <si>
    <t>PS07-295</t>
  </si>
  <si>
    <t>PS08-295</t>
  </si>
  <si>
    <t>PS10 -310</t>
  </si>
  <si>
    <t>PS 05 - 295</t>
  </si>
  <si>
    <t>PARADA</t>
  </si>
  <si>
    <t xml:space="preserve">                                       COMPARATIVO PENEIRADORES - 19:00 x 07:00 (Toda segunda feira )                                                                                                                                                                                                                                                                                                                                               </t>
  </si>
  <si>
    <t>Realizar um comparativo por semana</t>
  </si>
  <si>
    <t xml:space="preserve">No horario que for realizar o comparativo quartear as duas amostras pra granulometria do mesmo balde retirando duas caçambas de posição invertidas pra uma amostra </t>
  </si>
  <si>
    <t>e outras duas pra outra. Uma amostra pra analisar no LTF e a outra enviar para a T03. Caso não haja embarque o laboratorista da amostragem deve realizar o teste</t>
  </si>
  <si>
    <t xml:space="preserve"> Caso diferença fique fora da tolerância, confirmar as análises. Persistindo, comunicar ao técnico do adm ou do turno.</t>
  </si>
  <si>
    <t>Equipamento</t>
  </si>
  <si>
    <t xml:space="preserve">LTF                                           66PN09  </t>
  </si>
  <si>
    <t xml:space="preserve">LCE                                66PN08 </t>
  </si>
  <si>
    <t>LCE                                66PN08</t>
  </si>
  <si>
    <t>RG</t>
  </si>
  <si>
    <t>Tolerância 0,15</t>
  </si>
  <si>
    <t>PENEIRAS</t>
  </si>
  <si>
    <t>( g )</t>
  </si>
  <si>
    <t>( % )</t>
  </si>
  <si>
    <t>-6,3mm</t>
  </si>
  <si>
    <t>Tolerância 0,30</t>
  </si>
  <si>
    <t>+19,0</t>
  </si>
  <si>
    <t>-19,0+16,0</t>
  </si>
  <si>
    <t>-16,0+14,0</t>
  </si>
  <si>
    <t>Local</t>
  </si>
  <si>
    <t>LTF</t>
  </si>
  <si>
    <t>LCE</t>
  </si>
  <si>
    <t>Diferença</t>
  </si>
  <si>
    <t>-14,0+12,5</t>
  </si>
  <si>
    <t>-12,5+9,0</t>
  </si>
  <si>
    <t>-9,0+8,0</t>
  </si>
  <si>
    <t>-16,0+12,5</t>
  </si>
  <si>
    <t>-8,0+6,3</t>
  </si>
  <si>
    <t>-6,3+5,0</t>
  </si>
  <si>
    <t>-16,0+9,0</t>
  </si>
  <si>
    <t>-5,0+0,5</t>
  </si>
  <si>
    <t>-16,0+8,0</t>
  </si>
  <si>
    <t>-0,5</t>
  </si>
  <si>
    <t xml:space="preserve">Relação </t>
  </si>
  <si>
    <t>TOTAL</t>
  </si>
  <si>
    <t>D. Médio</t>
  </si>
  <si>
    <t>Indicador</t>
  </si>
  <si>
    <t>Média Diferenças</t>
  </si>
  <si>
    <t>Tolerancia Diferenças</t>
  </si>
  <si>
    <t>Diâmetro Médio</t>
  </si>
  <si>
    <t xml:space="preserve">                                        COMPARATIVO DE UMIDADE    19:00 x 07:00h - (Terça, quinta e sábado)</t>
  </si>
  <si>
    <t>NORMA ISO 3087 - DETERMINAÇÃO DA UMIDADE DE UM LOTE</t>
  </si>
  <si>
    <t>Antes de utilizar os equipamentos, observar se estão em condições ideais de funcionamento, observar nivel de balanças, temperatura de estufa e calibração. Preparar amostra suficiente para todas as analises, manipular minimamente a mostra, realisar teste um na sequencia do outro, realizar pesagem constante para concluir teste em estufa.  Caso diferença fique fora da tolerância, confirmar as análises. Persistindo comunicar ao técnico do adm ou do turno.</t>
  </si>
  <si>
    <t>DATA</t>
  </si>
  <si>
    <t>An. Umidade 66AN 11</t>
  </si>
  <si>
    <t>An. Umidade 66AN 12</t>
  </si>
  <si>
    <t xml:space="preserve"> Estufa 100°C</t>
  </si>
  <si>
    <t>Est - 66AN 10</t>
  </si>
  <si>
    <t>Est - 66AN 11</t>
  </si>
  <si>
    <t>Dif Aceitável</t>
  </si>
  <si>
    <t xml:space="preserve">Nome </t>
  </si>
  <si>
    <t>Observação:</t>
  </si>
  <si>
    <t>ANALISADOR 66 AN 10 EM MANUTENÇÃO</t>
  </si>
  <si>
    <t>TARA</t>
  </si>
  <si>
    <t>P INICIAL</t>
  </si>
  <si>
    <t>P FINAL</t>
  </si>
  <si>
    <t>UMIDADE</t>
  </si>
  <si>
    <t>COMPARATIVO TAMBORAMENTO 5,0KG LTF X TAMBORAMENTO 15,0KG T03 - TODA SEGUNDA FEIRA - 19:0 x 07:00h</t>
  </si>
  <si>
    <t>NORMA ISO  3271 - DETERMINAÇÃO DO ÍNDICE DE TAMBORAMENTO E ABRASÃO</t>
  </si>
  <si>
    <t>No horario que for realizar o comparativo quartear as amostras no LTF do mesmo balde retirando uma amostra em torno de 6,0Kg para teste no LTF e 16,0Kg para testar na T03</t>
  </si>
  <si>
    <t>Em dias de carreganmento a preparação pode ser feita na T03 e teste iniciado por lá</t>
  </si>
  <si>
    <t>leonardo</t>
  </si>
  <si>
    <t xml:space="preserve">LTF  5,0Kg                                                           66TA 05 AMOSTRA - </t>
  </si>
  <si>
    <t xml:space="preserve">  LCE 15,0 Kg                                                                                               66TA 07 AMOSTRA -</t>
  </si>
  <si>
    <t xml:space="preserve">LTF  5,0Kg                                                         </t>
  </si>
  <si>
    <t xml:space="preserve">  LCE 15,0 Kg                                                                                    </t>
  </si>
  <si>
    <t>Dif</t>
  </si>
  <si>
    <t>Dif. Aceitável</t>
  </si>
  <si>
    <t xml:space="preserve">            TAMBORAMENTO</t>
  </si>
  <si>
    <t>-6,3+0,5</t>
  </si>
  <si>
    <t>GRANULOMETRIA FINA</t>
  </si>
  <si>
    <t>-325#</t>
  </si>
  <si>
    <t>Meta</t>
  </si>
  <si>
    <t>Lim. Inf</t>
  </si>
  <si>
    <t>Lim. Sup.</t>
  </si>
  <si>
    <t>%Umidade</t>
  </si>
  <si>
    <t>Alpine 09</t>
  </si>
  <si>
    <t>Balança 66AN 10</t>
  </si>
  <si>
    <t>Alpine 10</t>
  </si>
  <si>
    <t>Balança 66AN 11</t>
  </si>
  <si>
    <t>Alpine 11</t>
  </si>
  <si>
    <t>Balança 66AN 12</t>
  </si>
  <si>
    <t>Estufa</t>
  </si>
  <si>
    <t>SUP. ESPECÍFICA</t>
  </si>
  <si>
    <t>TAMBORAMENTO</t>
  </si>
  <si>
    <t>Sup. Específica</t>
  </si>
  <si>
    <t>RPM Médio</t>
  </si>
  <si>
    <t>Blaine 08</t>
  </si>
  <si>
    <t>Tambor 05</t>
  </si>
  <si>
    <t>Tambor 06</t>
  </si>
  <si>
    <t>Tambor 07</t>
  </si>
  <si>
    <t>Tambor 08</t>
  </si>
  <si>
    <t>COMPRESSÃO</t>
  </si>
  <si>
    <t>COMPARATIVOS PQ</t>
  </si>
  <si>
    <t>-6,3</t>
  </si>
  <si>
    <t>Tamb.</t>
  </si>
  <si>
    <t>Comp. média</t>
  </si>
  <si>
    <t>66PS 04</t>
  </si>
  <si>
    <t>Diferença Aceitável</t>
  </si>
  <si>
    <t>66PS 05</t>
  </si>
  <si>
    <t>66PS 08</t>
  </si>
  <si>
    <t>66PS 10</t>
  </si>
  <si>
    <t>Total de análises</t>
  </si>
  <si>
    <t xml:space="preserve">                  Controle de comparativos e verificações</t>
  </si>
  <si>
    <t>Manhâ</t>
  </si>
  <si>
    <t>Noite</t>
  </si>
  <si>
    <t>Segunda</t>
  </si>
  <si>
    <t>Aferição do Blaine</t>
  </si>
  <si>
    <t xml:space="preserve">Aferição do Blaine
 Aferição dos peneiradores alpine
Aferição das prensas
Comparativo de peneiramento LTFx LCE
Aferição RPM tambores LTF e LCE
Comparativo Tamboramento LTF x LCE
</t>
  </si>
  <si>
    <t>Terça</t>
  </si>
  <si>
    <t xml:space="preserve">Aferição do Blaine
 Comparativo de umidade analisadores estufa
Verificação dos peneiradores
</t>
  </si>
  <si>
    <t>Quarta</t>
  </si>
  <si>
    <t xml:space="preserve">Aferição do Blaine
 Aferição dos peneiradores alpine
Aferição RPM tambores LTF e LCE
</t>
  </si>
  <si>
    <t>Quinta</t>
  </si>
  <si>
    <t xml:space="preserve">Aferição do Blaine
 Comparativo de umidade analilisadores x estufa
Verificação dos peneiradores
</t>
  </si>
  <si>
    <t>Sexta</t>
  </si>
  <si>
    <t xml:space="preserve">Aferição do Blaine
 </t>
  </si>
  <si>
    <t>Sabado</t>
  </si>
  <si>
    <t>Aferição do Blaine
Check List amostradores</t>
  </si>
  <si>
    <t>Aferição do Blaine
 Aferição dos peneiradores alpine
Aferição RPM tambores LTF e LCE</t>
  </si>
  <si>
    <t>Domingo</t>
  </si>
  <si>
    <t>Aferição do Blaine
 Comparativo de umidade analisadores estufa
Verificação dos peneiradores</t>
  </si>
  <si>
    <t>Ensaio</t>
  </si>
  <si>
    <t>Tipo</t>
  </si>
  <si>
    <t>Parâmetro</t>
  </si>
  <si>
    <t>Unidade</t>
  </si>
  <si>
    <t>Valor</t>
  </si>
  <si>
    <t>Referência</t>
  </si>
  <si>
    <t>Lim. Inferior</t>
  </si>
  <si>
    <t>Lim. Superior</t>
  </si>
  <si>
    <t>Tolerância</t>
  </si>
  <si>
    <t>Resultado</t>
  </si>
  <si>
    <t>Origem</t>
  </si>
  <si>
    <t>Tambor de Abrasão</t>
  </si>
  <si>
    <t>66TA05</t>
  </si>
  <si>
    <t>Rotação</t>
  </si>
  <si>
    <t>rpm</t>
  </si>
  <si>
    <t>Tambor de Abrasão!E6</t>
  </si>
  <si>
    <t>Tambor de Abrasão!E7</t>
  </si>
  <si>
    <t>Tambor de Abrasão!E8</t>
  </si>
  <si>
    <t>Tambor de Abrasão!E9</t>
  </si>
  <si>
    <t>Tambor de Abrasão!E10</t>
  </si>
  <si>
    <t>Tambor de Abrasão!E11</t>
  </si>
  <si>
    <t>Tambor de Abrasão!E12</t>
  </si>
  <si>
    <t>Tambor de Abrasão!E13</t>
  </si>
  <si>
    <t>Tambor de Abrasão!E14</t>
  </si>
  <si>
    <t>66TA08</t>
  </si>
  <si>
    <t>Tambor de Abrasão!J6</t>
  </si>
  <si>
    <t>Tambor de Abrasão!J7</t>
  </si>
  <si>
    <t>Tambor de Abrasão!J8</t>
  </si>
  <si>
    <t>Tambor de Abrasão!J9</t>
  </si>
  <si>
    <t>Tambor de Abrasão!J10</t>
  </si>
  <si>
    <t>Tambor de Abrasão!J11</t>
  </si>
  <si>
    <t>Tambor de Abrasão!J12</t>
  </si>
  <si>
    <t>Tambor de Abrasão!J13</t>
  </si>
  <si>
    <t>Tambor de Abrasão!J14</t>
  </si>
  <si>
    <t>66TA09</t>
  </si>
  <si>
    <t>Tambor de Abrasão!O6</t>
  </si>
  <si>
    <t>Tambor de Abrasão!O7</t>
  </si>
  <si>
    <t>Tambor de Abrasão!O8</t>
  </si>
  <si>
    <t>Tambor de Abrasão!O9</t>
  </si>
  <si>
    <t>Tambor de Abrasão!O10</t>
  </si>
  <si>
    <t>Tambor de Abrasão!O11</t>
  </si>
  <si>
    <t>Tambor de Abrasão!O12</t>
  </si>
  <si>
    <t>Tambor de Abrasão!O13</t>
  </si>
  <si>
    <t>Tambor de Abrasão!O14</t>
  </si>
  <si>
    <t>66TA06</t>
  </si>
  <si>
    <t>Tambor de Abrasão!E25</t>
  </si>
  <si>
    <t>Tambor de Abrasão!E26</t>
  </si>
  <si>
    <t>Tambor de Abrasão!E27</t>
  </si>
  <si>
    <t>Tambor de Abrasão!E28</t>
  </si>
  <si>
    <t>Tambor de Abrasão!E29</t>
  </si>
  <si>
    <t>Tambor de Abrasão!E30</t>
  </si>
  <si>
    <t>Tambor de Abrasão!E31</t>
  </si>
  <si>
    <t>Tambor de Abrasão!E32</t>
  </si>
  <si>
    <t>Tambor de Abrasão!E33</t>
  </si>
  <si>
    <t>Tambor de Abrasão!E34</t>
  </si>
  <si>
    <t>66TA07</t>
  </si>
  <si>
    <t>Tambor de Abrasão!J25</t>
  </si>
  <si>
    <t>Tambor de Abrasão!J26</t>
  </si>
  <si>
    <t>Tambor de Abrasão!J27</t>
  </si>
  <si>
    <t>Tambor de Abrasão!J28</t>
  </si>
  <si>
    <t>Tambor de Abrasão!J29</t>
  </si>
  <si>
    <t>Tambor de Abrasão!J30</t>
  </si>
  <si>
    <t>Tambor de Abrasão!J31</t>
  </si>
  <si>
    <t>Tambor de Abrasão!J32</t>
  </si>
  <si>
    <t>Tambor de Abrasão!J33</t>
  </si>
  <si>
    <t>Tambor de Abrasão!J34</t>
  </si>
  <si>
    <t>Gran. Fina Alpine</t>
  </si>
  <si>
    <t>66AG09</t>
  </si>
  <si>
    <t>Passante (peneira 66PN670)</t>
  </si>
  <si>
    <t>%</t>
  </si>
  <si>
    <t>Gran. Fina Alpine!B7</t>
  </si>
  <si>
    <t>Gran. Fina Alpine!B8</t>
  </si>
  <si>
    <t>Gran. Fina Alpine!B9</t>
  </si>
  <si>
    <t>Gran. Fina Alpine!B10</t>
  </si>
  <si>
    <t>Gran. Fina Alpine!B11</t>
  </si>
  <si>
    <t>Gran. Fina Alpine!B12</t>
  </si>
  <si>
    <t>Gran. Fina Alpine!B13</t>
  </si>
  <si>
    <t>Gran. Fina Alpine!B14</t>
  </si>
  <si>
    <t>Gran. Fina Alpine!B15</t>
  </si>
  <si>
    <t>Gran. Fina Alpine!B16</t>
  </si>
  <si>
    <t>Gran. Fina Alpine!B17</t>
  </si>
  <si>
    <t>Gran. Fina Alpine!B18</t>
  </si>
  <si>
    <t>Gran. Fina Alpine!B19</t>
  </si>
  <si>
    <t>Gran. Fina Alpine!B20</t>
  </si>
  <si>
    <t>Gran. Fina Alpine!B21</t>
  </si>
  <si>
    <t>66AG10</t>
  </si>
  <si>
    <t>Passante (peneira 66PN671)</t>
  </si>
  <si>
    <t>Gran. Fina Alpine!D7</t>
  </si>
  <si>
    <t>Gran. Fina Alpine!D8</t>
  </si>
  <si>
    <t>Gran. Fina Alpine!D9</t>
  </si>
  <si>
    <t>Gran. Fina Alpine!D10</t>
  </si>
  <si>
    <t>Gran. Fina Alpine!D11</t>
  </si>
  <si>
    <t>Gran. Fina Alpine!D12</t>
  </si>
  <si>
    <t>Gran. Fina Alpine!D13</t>
  </si>
  <si>
    <t>Gran. Fina Alpine!D14</t>
  </si>
  <si>
    <t>Gran. Fina Alpine!D15</t>
  </si>
  <si>
    <t>Gran. Fina Alpine!D16</t>
  </si>
  <si>
    <t>Gran. Fina Alpine!D17</t>
  </si>
  <si>
    <t>Gran. Fina Alpine!D18</t>
  </si>
  <si>
    <t>Gran. Fina Alpine!D19</t>
  </si>
  <si>
    <t>Gran. Fina Alpine!D20</t>
  </si>
  <si>
    <t>Gran. Fina Alpine!D21</t>
  </si>
  <si>
    <t>66AG11</t>
  </si>
  <si>
    <t>Gran. Fina Alpine!F7</t>
  </si>
  <si>
    <t>Gran. Fina Alpine!F8</t>
  </si>
  <si>
    <t>Gran. Fina Alpine!F9</t>
  </si>
  <si>
    <t>Gran. Fina Alpine!F10</t>
  </si>
  <si>
    <t>Gran. Fina Alpine!F11</t>
  </si>
  <si>
    <t>Gran. Fina Alpine!F12</t>
  </si>
  <si>
    <t>Gran. Fina Alpine!F13</t>
  </si>
  <si>
    <t>Gran. Fina Alpine!F14</t>
  </si>
  <si>
    <t>Gran. Fina Alpine!F15</t>
  </si>
  <si>
    <t>Gran. Fina Alpine!F16</t>
  </si>
  <si>
    <t>Gran. Fina Alpine!F17</t>
  </si>
  <si>
    <t>Gran. Fina Alpine!F18</t>
  </si>
  <si>
    <t>Gran. Fina Alpine!F19</t>
  </si>
  <si>
    <t>Gran. Fina Alpine!F20</t>
  </si>
  <si>
    <t>Gran. Fina Alpine!F21</t>
  </si>
  <si>
    <t>Blaine</t>
  </si>
  <si>
    <t>Blaine Manual</t>
  </si>
  <si>
    <t>cm²/g</t>
  </si>
  <si>
    <t>Calibração Blaine!H6</t>
  </si>
  <si>
    <t>Calibração Blaine!H7</t>
  </si>
  <si>
    <t>Calibração Blaine!H8</t>
  </si>
  <si>
    <t>Calibração Blaine!H9</t>
  </si>
  <si>
    <t>Calibração Blaine!H10</t>
  </si>
  <si>
    <t>Calibração Blaine!H11</t>
  </si>
  <si>
    <t>Calibração Blaine!H12</t>
  </si>
  <si>
    <t>Calibração Blaine!H13</t>
  </si>
  <si>
    <t>Calibração Blaine!H14</t>
  </si>
  <si>
    <t>Calibração Blaine!H15</t>
  </si>
  <si>
    <t>Calibração Blaine!H16</t>
  </si>
  <si>
    <t>Calibração Blaine!H17</t>
  </si>
  <si>
    <t>Calibração Blaine!H18</t>
  </si>
  <si>
    <t>Calibração Blaine!H19</t>
  </si>
  <si>
    <t>Calibração Blaine!H20</t>
  </si>
  <si>
    <t>Calibração Blaine!H21</t>
  </si>
  <si>
    <t>Calibração Blaine!H22</t>
  </si>
  <si>
    <t>Calibração Blaine!H23</t>
  </si>
  <si>
    <t>Calibração Blaine!H24</t>
  </si>
  <si>
    <t>Calibração Blaine!H25</t>
  </si>
  <si>
    <t>Calibração Blaine!H26</t>
  </si>
  <si>
    <t>Calibração Blaine!H27</t>
  </si>
  <si>
    <t>Calibração Blaine!H28</t>
  </si>
  <si>
    <t>Calibração Blaine!H29</t>
  </si>
  <si>
    <t>Calibração Blaine!H30</t>
  </si>
  <si>
    <t>Calibração Blaine!H31</t>
  </si>
  <si>
    <t>Calibração Blaine!H32</t>
  </si>
  <si>
    <t>Calibração Blaine!H33</t>
  </si>
  <si>
    <t>Calibração Blaine!H34</t>
  </si>
  <si>
    <t>Calibração Blaine!H35</t>
  </si>
  <si>
    <t>Calibração Blaine!H36</t>
  </si>
  <si>
    <t>Calibração Blaine!H37</t>
  </si>
  <si>
    <t>Calibração Blaine!H38</t>
  </si>
  <si>
    <t>Calibração Blaine!H39</t>
  </si>
  <si>
    <t>Calibração Blaine!H40</t>
  </si>
  <si>
    <t>Calibração Blaine!H41</t>
  </si>
  <si>
    <t>Calibração Blaine!H42</t>
  </si>
  <si>
    <t>Calibração Blaine!H43</t>
  </si>
  <si>
    <t>Calibração Blaine!H44</t>
  </si>
  <si>
    <t>Calibração Blaine!H45</t>
  </si>
  <si>
    <t>Calibração Blaine!H46</t>
  </si>
  <si>
    <t>Calibração Blaine!H47</t>
  </si>
  <si>
    <t>Calibração Blaine!H48</t>
  </si>
  <si>
    <t>Calibração Blaine!H49</t>
  </si>
  <si>
    <t>Calibração Blaine!H50</t>
  </si>
  <si>
    <t>Calibração Blaine!H51</t>
  </si>
  <si>
    <t>Calibração Blaine!H52</t>
  </si>
  <si>
    <t>Calibração Blaine!H53</t>
  </si>
  <si>
    <t>Calibração Blaine!H54</t>
  </si>
  <si>
    <t>Calibração Blaine!H55</t>
  </si>
  <si>
    <t>Calibração Blaine!H56</t>
  </si>
  <si>
    <t>Calibração Blaine!H57</t>
  </si>
  <si>
    <t>Calibração Blaine!H58</t>
  </si>
  <si>
    <t>Calibração Blaine!H59</t>
  </si>
  <si>
    <t>Calibração Blaine!H60</t>
  </si>
  <si>
    <t>Calibração Blaine!H61</t>
  </si>
  <si>
    <t>Calibração Blaine!H62</t>
  </si>
  <si>
    <t>Calibração Blaine!H63</t>
  </si>
  <si>
    <t>Calibração Blaine!H64</t>
  </si>
  <si>
    <t>Calibração Blaine!H65</t>
  </si>
  <si>
    <t>Calibração Blaine!H66</t>
  </si>
  <si>
    <t>Calibração Blaine!H67</t>
  </si>
  <si>
    <t>Calibração Blaine!H68</t>
  </si>
  <si>
    <t>Calibração Blaine!H69</t>
  </si>
  <si>
    <t>Calibração Blaine!H70</t>
  </si>
  <si>
    <t>Calibração Blaine!H71</t>
  </si>
  <si>
    <t>Blaine Star</t>
  </si>
  <si>
    <t>Calibração Blaine!J6</t>
  </si>
  <si>
    <t>Calibração Blaine!J7</t>
  </si>
  <si>
    <t>Calibração Blaine!J8</t>
  </si>
  <si>
    <t>Calibração Blaine!J9</t>
  </si>
  <si>
    <t>Calibração Blaine!J10</t>
  </si>
  <si>
    <t>Calibração Blaine!J11</t>
  </si>
  <si>
    <t>Calibração Blaine!J12</t>
  </si>
  <si>
    <t>Calibração Blaine!J13</t>
  </si>
  <si>
    <t>Calibração Blaine!J14</t>
  </si>
  <si>
    <t>Calibração Blaine!J15</t>
  </si>
  <si>
    <t>Calibração Blaine!J16</t>
  </si>
  <si>
    <t>Calibração Blaine!J17</t>
  </si>
  <si>
    <t>Calibração Blaine!J18</t>
  </si>
  <si>
    <t>Calibração Blaine!J19</t>
  </si>
  <si>
    <t>Calibração Blaine!J20</t>
  </si>
  <si>
    <t>Calibração Blaine!J21</t>
  </si>
  <si>
    <t>Calibração Blaine!J22</t>
  </si>
  <si>
    <t>Calibração Blaine!J23</t>
  </si>
  <si>
    <t>Calibração Blaine!J24</t>
  </si>
  <si>
    <t>Calibração Blaine!J25</t>
  </si>
  <si>
    <t>Calibração Blaine!J26</t>
  </si>
  <si>
    <t>Calibração Blaine!J27</t>
  </si>
  <si>
    <t>Calibração Blaine!J28</t>
  </si>
  <si>
    <t>Calibração Blaine!J29</t>
  </si>
  <si>
    <t>Calibração Blaine!J30</t>
  </si>
  <si>
    <t>Calibração Blaine!J31</t>
  </si>
  <si>
    <t>Calibração Blaine!J32</t>
  </si>
  <si>
    <t>Calibração Blaine!J33</t>
  </si>
  <si>
    <t>Calibração Blaine!J34</t>
  </si>
  <si>
    <t>Calibração Blaine!J35</t>
  </si>
  <si>
    <t>Calibração Blaine!J36</t>
  </si>
  <si>
    <t>Calibração Blaine!J37</t>
  </si>
  <si>
    <t>Calibração Blaine!J38</t>
  </si>
  <si>
    <t>Calibração Blaine!J39</t>
  </si>
  <si>
    <t>Calibração Blaine!J40</t>
  </si>
  <si>
    <t>Calibração Blaine!J41</t>
  </si>
  <si>
    <t>Calibração Blaine!J42</t>
  </si>
  <si>
    <t>Calibração Blaine!J43</t>
  </si>
  <si>
    <t>Calibração Blaine!J44</t>
  </si>
  <si>
    <t>Calibração Blaine!J45</t>
  </si>
  <si>
    <t>Calibração Blaine!J46</t>
  </si>
  <si>
    <t>Calibração Blaine!J47</t>
  </si>
  <si>
    <t>Calibração Blaine!J48</t>
  </si>
  <si>
    <t>Calibração Blaine!J49</t>
  </si>
  <si>
    <t>Calibração Blaine!J50</t>
  </si>
  <si>
    <t>Calibração Blaine!J51</t>
  </si>
  <si>
    <t>Calibração Blaine!J52</t>
  </si>
  <si>
    <t>Calibração Blaine!J53</t>
  </si>
  <si>
    <t>Calibração Blaine!J54</t>
  </si>
  <si>
    <t>Calibração Blaine!J55</t>
  </si>
  <si>
    <t>Calibração Blaine!J56</t>
  </si>
  <si>
    <t>Calibração Blaine!J57</t>
  </si>
  <si>
    <t>Calibração Blaine!J58</t>
  </si>
  <si>
    <t>Calibração Blaine!J59</t>
  </si>
  <si>
    <t>Calibração Blaine!J60</t>
  </si>
  <si>
    <t>Calibração Blaine!J61</t>
  </si>
  <si>
    <t>Calibração Blaine!J62</t>
  </si>
  <si>
    <t>Calibração Blaine!J63</t>
  </si>
  <si>
    <t>Calibração Blaine!J64</t>
  </si>
  <si>
    <t>Calibração Blaine!J65</t>
  </si>
  <si>
    <t>Calibração Blaine!J66</t>
  </si>
  <si>
    <t>Calibração Blaine!J67</t>
  </si>
  <si>
    <t>Calibração Blaine!J68</t>
  </si>
  <si>
    <t>Calibração Blaine!J69</t>
  </si>
  <si>
    <t>Calibração Blaine!J70</t>
  </si>
  <si>
    <t>Calibração Blaine!J71</t>
  </si>
  <si>
    <t>Calibração Blaine!L6</t>
  </si>
  <si>
    <t>Calibração Blaine!L7</t>
  </si>
  <si>
    <t>Calibração Blaine!L8</t>
  </si>
  <si>
    <t>Calibração Blaine!L9</t>
  </si>
  <si>
    <t>Calibração Blaine!L10</t>
  </si>
  <si>
    <t>Calibração Blaine!L11</t>
  </si>
  <si>
    <t>Calibração Blaine!L12</t>
  </si>
  <si>
    <t>Calibração Blaine!L13</t>
  </si>
  <si>
    <t>Calibração Blaine!L14</t>
  </si>
  <si>
    <t>Calibração Blaine!L15</t>
  </si>
  <si>
    <t>Calibração Blaine!L16</t>
  </si>
  <si>
    <t>Calibração Blaine!L17</t>
  </si>
  <si>
    <t>Calibração Blaine!L18</t>
  </si>
  <si>
    <t>Calibração Blaine!L19</t>
  </si>
  <si>
    <t>Calibração Blaine!L20</t>
  </si>
  <si>
    <t>Calibração Blaine!L21</t>
  </si>
  <si>
    <t>Calibração Blaine!L22</t>
  </si>
  <si>
    <t>Calibração Blaine!L23</t>
  </si>
  <si>
    <t>Calibração Blaine!L24</t>
  </si>
  <si>
    <t>Calibração Blaine!L25</t>
  </si>
  <si>
    <t>Calibração Blaine!L26</t>
  </si>
  <si>
    <t>Calibração Blaine!L27</t>
  </si>
  <si>
    <t>Calibração Blaine!L28</t>
  </si>
  <si>
    <t>Calibração Blaine!L29</t>
  </si>
  <si>
    <t>Calibração Blaine!L30</t>
  </si>
  <si>
    <t>Calibração Blaine!L31</t>
  </si>
  <si>
    <t>Calibração Blaine!L32</t>
  </si>
  <si>
    <t>Calibração Blaine!L33</t>
  </si>
  <si>
    <t>Calibração Blaine!L34</t>
  </si>
  <si>
    <t>Calibração Blaine!L35</t>
  </si>
  <si>
    <t>Calibração Blaine!L36</t>
  </si>
  <si>
    <t>Calibração Blaine!L37</t>
  </si>
  <si>
    <t>Calibração Blaine!L38</t>
  </si>
  <si>
    <t>Calibração Blaine!L39</t>
  </si>
  <si>
    <t>Calibração Blaine!L40</t>
  </si>
  <si>
    <t>Calibração Blaine!L41</t>
  </si>
  <si>
    <t>Calibração Blaine!L42</t>
  </si>
  <si>
    <t>Calibração Blaine!L43</t>
  </si>
  <si>
    <t>Calibração Blaine!L44</t>
  </si>
  <si>
    <t>Calibração Blaine!L45</t>
  </si>
  <si>
    <t>Calibração Blaine!L46</t>
  </si>
  <si>
    <t>Calibração Blaine!L47</t>
  </si>
  <si>
    <t>Calibração Blaine!L48</t>
  </si>
  <si>
    <t>Calibração Blaine!L49</t>
  </si>
  <si>
    <t>Calibração Blaine!L50</t>
  </si>
  <si>
    <t>Calibração Blaine!L51</t>
  </si>
  <si>
    <t>Calibração Blaine!L52</t>
  </si>
  <si>
    <t>Calibração Blaine!L53</t>
  </si>
  <si>
    <t>Calibração Blaine!L54</t>
  </si>
  <si>
    <t>Calibração Blaine!L55</t>
  </si>
  <si>
    <t>Calibração Blaine!L56</t>
  </si>
  <si>
    <t>Calibração Blaine!L57</t>
  </si>
  <si>
    <t>Calibração Blaine!L58</t>
  </si>
  <si>
    <t>Calibração Blaine!L59</t>
  </si>
  <si>
    <t>Calibração Blaine!L60</t>
  </si>
  <si>
    <t>Calibração Blaine!L61</t>
  </si>
  <si>
    <t>Calibração Blaine!L62</t>
  </si>
  <si>
    <t>Calibração Blaine!L63</t>
  </si>
  <si>
    <t>Calibração Blaine!L64</t>
  </si>
  <si>
    <t>Calibração Blaine!L65</t>
  </si>
  <si>
    <t>Calibração Blaine!L66</t>
  </si>
  <si>
    <t>Calibração Blaine!L67</t>
  </si>
  <si>
    <t>Calibração Blaine!L68</t>
  </si>
  <si>
    <t>Calibração Blaine!L69</t>
  </si>
  <si>
    <t>Calibração Blaine!L70</t>
  </si>
  <si>
    <t>Calibração Blaine!L71</t>
  </si>
  <si>
    <t>Comparativo Fisher</t>
  </si>
  <si>
    <t>Comparativo</t>
  </si>
  <si>
    <t>66PB01 x 66PB09</t>
  </si>
  <si>
    <t>Superfície específica</t>
  </si>
  <si>
    <t>Comparativo Fisher!D8:E8</t>
  </si>
  <si>
    <t>Comparativo Fisher!D9:E9</t>
  </si>
  <si>
    <t>Comparativo Fisher!D10:E10</t>
  </si>
  <si>
    <t>Comparativo Fisher!D11:E11</t>
  </si>
  <si>
    <t>Comparativo Fisher!D12:E12</t>
  </si>
  <si>
    <t>Compressão</t>
  </si>
  <si>
    <t>66PS04</t>
  </si>
  <si>
    <t>Resistência FX -16,0 +12,5 mm</t>
  </si>
  <si>
    <t>kgf/pel</t>
  </si>
  <si>
    <t>Compressão!C6</t>
  </si>
  <si>
    <t>Verificação</t>
  </si>
  <si>
    <t>Velocidade FX -16,0 +12,5 mm</t>
  </si>
  <si>
    <t>mm/min</t>
  </si>
  <si>
    <t>Compressão!E6</t>
  </si>
  <si>
    <t>66PS07</t>
  </si>
  <si>
    <t>Compressão!F6</t>
  </si>
  <si>
    <t>Compressão!H6</t>
  </si>
  <si>
    <t>66PS08</t>
  </si>
  <si>
    <t>Compressão!I6</t>
  </si>
  <si>
    <t>Compressão!K6</t>
  </si>
  <si>
    <t>66PS10</t>
  </si>
  <si>
    <t>Compressão!L6</t>
  </si>
  <si>
    <t>66PS05</t>
  </si>
  <si>
    <t>Compressão!N6</t>
  </si>
  <si>
    <t>Compressão!P6</t>
  </si>
  <si>
    <t>Compressão!C7</t>
  </si>
  <si>
    <t>Compressão!E7</t>
  </si>
  <si>
    <t>Compressão!F7</t>
  </si>
  <si>
    <t>Compressão!H7</t>
  </si>
  <si>
    <t>Compressão!I7</t>
  </si>
  <si>
    <t>Compressão!K7</t>
  </si>
  <si>
    <t>Compressão!L7</t>
  </si>
  <si>
    <t>Compressão!N7</t>
  </si>
  <si>
    <t>Compressão!P7</t>
  </si>
  <si>
    <t>Compressão!C8</t>
  </si>
  <si>
    <t>Compressão!E8</t>
  </si>
  <si>
    <t>Compressão!F8</t>
  </si>
  <si>
    <t>Compressão!H8</t>
  </si>
  <si>
    <t>Compressão!I8</t>
  </si>
  <si>
    <t>Compressão!K8</t>
  </si>
  <si>
    <t>Compressão!L8</t>
  </si>
  <si>
    <t>Compressão!N8</t>
  </si>
  <si>
    <t>Compressão!P8</t>
  </si>
  <si>
    <t>Compressão!C9</t>
  </si>
  <si>
    <t>Compressão!E9</t>
  </si>
  <si>
    <t>Compressão!F9</t>
  </si>
  <si>
    <t>Compressão!H9</t>
  </si>
  <si>
    <t>Compressão!I9</t>
  </si>
  <si>
    <t>Compressão!K9</t>
  </si>
  <si>
    <t>Compressão!L9</t>
  </si>
  <si>
    <t>Compressão!N9</t>
  </si>
  <si>
    <t>Compressão!P9</t>
  </si>
  <si>
    <t>Resistência FX -12,5 +10,0 mm</t>
  </si>
  <si>
    <t>Compressão!C20</t>
  </si>
  <si>
    <t>Velocidade FX -12,5 +10,0 mm</t>
  </si>
  <si>
    <t>Compressão!E20</t>
  </si>
  <si>
    <t>Compressão!F20</t>
  </si>
  <si>
    <t>Compressão!H20</t>
  </si>
  <si>
    <t>Compressão!I20</t>
  </si>
  <si>
    <t>Compressão!K20</t>
  </si>
  <si>
    <t>Compressão!L20</t>
  </si>
  <si>
    <t>Compressão!N20</t>
  </si>
  <si>
    <t>Compressão!P20</t>
  </si>
  <si>
    <t>Compressão!C21</t>
  </si>
  <si>
    <t>Compressão!E21</t>
  </si>
  <si>
    <t>Compressão!F21</t>
  </si>
  <si>
    <t>Compressão!H21</t>
  </si>
  <si>
    <t>Compressão!I21</t>
  </si>
  <si>
    <t>Compressão!K21</t>
  </si>
  <si>
    <t>Compressão!L21</t>
  </si>
  <si>
    <t>Compressão!N21</t>
  </si>
  <si>
    <t>Compressão!P21</t>
  </si>
  <si>
    <t>Compressão!C22</t>
  </si>
  <si>
    <t>Compressão!E22</t>
  </si>
  <si>
    <t>Compressão!F22</t>
  </si>
  <si>
    <t>Compressão!H22</t>
  </si>
  <si>
    <t>Compressão!I22</t>
  </si>
  <si>
    <t>Compressão!K22</t>
  </si>
  <si>
    <t>Compressão!L22</t>
  </si>
  <si>
    <t>Compressão!N22</t>
  </si>
  <si>
    <t>Compressão!P22</t>
  </si>
  <si>
    <t>Compressão!C23</t>
  </si>
  <si>
    <t>Compressão!E23</t>
  </si>
  <si>
    <t>Compressão!F23</t>
  </si>
  <si>
    <t>Compressão!H23</t>
  </si>
  <si>
    <t>Compressão!I23</t>
  </si>
  <si>
    <t>Compressão!K23</t>
  </si>
  <si>
    <t>Compressão!L23</t>
  </si>
  <si>
    <t>Compressão!N23</t>
  </si>
  <si>
    <t>Compressão!P23</t>
  </si>
  <si>
    <t>Granulometria</t>
  </si>
  <si>
    <t>66PN09 (LTF) x 66PN08 (LCE)</t>
  </si>
  <si>
    <t>-6,3 mm</t>
  </si>
  <si>
    <t>Granulometria!C12:F21</t>
  </si>
  <si>
    <t>RG (Relação)</t>
  </si>
  <si>
    <t>-</t>
  </si>
  <si>
    <t>-16,0 +12,5 mm</t>
  </si>
  <si>
    <t>-16,0 +9,0 mm</t>
  </si>
  <si>
    <t>-16,0 +8,0 mm</t>
  </si>
  <si>
    <t>Granulometria!J12:M21</t>
  </si>
  <si>
    <t>Granulometria!C36:F45</t>
  </si>
  <si>
    <t>Granulometria!J36:M45</t>
  </si>
  <si>
    <t>Granulometria!C60:F69</t>
  </si>
  <si>
    <t>Granulometria!J60:M69</t>
  </si>
  <si>
    <t>Umidade</t>
  </si>
  <si>
    <t>66AN10 x Estufa</t>
  </si>
  <si>
    <t>Umidade!B5</t>
  </si>
  <si>
    <t>Umidade!B6</t>
  </si>
  <si>
    <t>Umidade!B7</t>
  </si>
  <si>
    <t>Umidade!B8</t>
  </si>
  <si>
    <t>Umidade!B9</t>
  </si>
  <si>
    <t>Umidade!B10</t>
  </si>
  <si>
    <t>Umidade!B11</t>
  </si>
  <si>
    <t>Umidade!B12</t>
  </si>
  <si>
    <t>Umidade!B13</t>
  </si>
  <si>
    <t>Umidade!B14</t>
  </si>
  <si>
    <t>Umidade!B15</t>
  </si>
  <si>
    <t>Umidade!B16</t>
  </si>
  <si>
    <t>Umidade!B17</t>
  </si>
  <si>
    <t>Umidade!B18</t>
  </si>
  <si>
    <t>66AN11 x Estufa</t>
  </si>
  <si>
    <t>Umidade!C5</t>
  </si>
  <si>
    <t>Umidade!C6</t>
  </si>
  <si>
    <t>Umidade!C7</t>
  </si>
  <si>
    <t>Umidade!C8</t>
  </si>
  <si>
    <t>Umidade!C9</t>
  </si>
  <si>
    <t>Umidade!C10</t>
  </si>
  <si>
    <t>Umidade!C11</t>
  </si>
  <si>
    <t>Umidade!C12</t>
  </si>
  <si>
    <t>Umidade!C13</t>
  </si>
  <si>
    <t>Umidade!C14</t>
  </si>
  <si>
    <t>Umidade!C15</t>
  </si>
  <si>
    <t>Umidade!C16</t>
  </si>
  <si>
    <t>Umidade!C17</t>
  </si>
  <si>
    <t>Umidade!C18</t>
  </si>
  <si>
    <t>66AN12 x Estufa</t>
  </si>
  <si>
    <t>Umidade!D5</t>
  </si>
  <si>
    <t>Umidade!D6</t>
  </si>
  <si>
    <t>Umidade!D7</t>
  </si>
  <si>
    <t>Umidade!D8</t>
  </si>
  <si>
    <t>Umidade!D9</t>
  </si>
  <si>
    <t>Umidade!D10</t>
  </si>
  <si>
    <t>Umidade!D11</t>
  </si>
  <si>
    <t>Umidade!D12</t>
  </si>
  <si>
    <t>Umidade!D13</t>
  </si>
  <si>
    <t>Umidade!D14</t>
  </si>
  <si>
    <t>Umidade!D15</t>
  </si>
  <si>
    <t>Umidade!D16</t>
  </si>
  <si>
    <t>Umidade!D17</t>
  </si>
  <si>
    <t>Umidade!D18</t>
  </si>
  <si>
    <t>Tamb 5 kg x 15 kg</t>
  </si>
  <si>
    <t>66TA05 (5 kg) x T03 (15 kg)</t>
  </si>
  <si>
    <t>+6,3 mm</t>
  </si>
  <si>
    <t>Tamb Kg x Tamb 15,0Kg!C11:G11</t>
  </si>
  <si>
    <t>Tamb Kg x Tamb 15,0Kg!K11:O11</t>
  </si>
  <si>
    <t>Tamb Kg x Tamb 15,0Kg!C20:G20</t>
  </si>
  <si>
    <t>Tamb Kg x Tamb 15,0Kg!K20:O20</t>
  </si>
  <si>
    <t>Tamb Kg x Tamb 15,0Kg!C29:G29</t>
  </si>
  <si>
    <t>Tamb Kg x Tamb 15,0Kg!K29:O29</t>
  </si>
  <si>
    <t>Verificação Peneiradores</t>
  </si>
  <si>
    <t>itens OK</t>
  </si>
  <si>
    <t>Verificação Peneiradores!B6:B10</t>
  </si>
  <si>
    <t>Verificação Peneiradores!C6:C10</t>
  </si>
  <si>
    <t>Verificação Peneiradores!D6:D10</t>
  </si>
  <si>
    <t>Verificação Peneiradores!E6:E10</t>
  </si>
  <si>
    <t>Verificação Peneiradores!F6:F10</t>
  </si>
  <si>
    <t>Verificação Peneiradores!G6:G10</t>
  </si>
  <si>
    <t>Verificação Peneiradores!H6:H10</t>
  </si>
  <si>
    <t>Verificação Peneiradores!I6:I10</t>
  </si>
  <si>
    <t>Verificação Peneiradores!J6:J10</t>
  </si>
  <si>
    <t>Verificação Peneiradores!K6:K10</t>
  </si>
  <si>
    <t>Verificação Peneiradores!L6:L10</t>
  </si>
  <si>
    <t>Verificação Peneiradores!M6:M10</t>
  </si>
  <si>
    <t>Verificação Peneiradores!N6:N10</t>
  </si>
  <si>
    <t>Verificação Peneiradores!O6:O10</t>
  </si>
  <si>
    <t>Verificação Peneiradores!P6:P10</t>
  </si>
  <si>
    <t>Verificação Peneiradores!Q6:Q10</t>
  </si>
  <si>
    <t>Verificação Peneiradores!R6:R10</t>
  </si>
  <si>
    <t>Verificação Peneiradores!S6:S10</t>
  </si>
  <si>
    <t>Verificação Peneiradores!T6:T10</t>
  </si>
  <si>
    <t>Verificação Peneiradores!U6:U10</t>
  </si>
  <si>
    <t>Verificação Peneiradores!V6:V10</t>
  </si>
  <si>
    <t>Verificação Peneiradores!W6:W10</t>
  </si>
  <si>
    <t>Verificação Peneiradores!X6:X10</t>
  </si>
  <si>
    <t>Verificação Peneiradores!Y6:Y10</t>
  </si>
  <si>
    <t>Verificação Peneiradores!Z6:Z10</t>
  </si>
  <si>
    <t>Verificação Peneiradores!AA6:AA10</t>
  </si>
  <si>
    <t>Verificação Peneiradores!AB6:AB10</t>
  </si>
  <si>
    <t>Verificação Peneiradores!B16:B20</t>
  </si>
  <si>
    <t>Verificação Peneiradores!C16:C20</t>
  </si>
  <si>
    <t>Verificação Peneiradores!D16:D20</t>
  </si>
  <si>
    <t>Verificação Peneiradores!E16:E20</t>
  </si>
  <si>
    <t>Verificação Peneiradores!F16:F20</t>
  </si>
  <si>
    <t>Verificação Peneiradores!G16:G20</t>
  </si>
  <si>
    <t>Verificação Peneiradores!H16:H20</t>
  </si>
  <si>
    <t>Verificação Peneiradores!I16:I20</t>
  </si>
  <si>
    <t>Verificação Peneiradores!J16:J20</t>
  </si>
  <si>
    <t>Verificação Peneiradores!K16:K20</t>
  </si>
  <si>
    <t>Verificação Peneiradores!L16:L20</t>
  </si>
  <si>
    <t>Verificação Peneiradores!M16:M20</t>
  </si>
  <si>
    <t>Verificação Peneiradores!N16:N20</t>
  </si>
  <si>
    <t>Verificação Peneiradores!O16:O20</t>
  </si>
  <si>
    <t>Verificação Peneiradores!P16:P20</t>
  </si>
  <si>
    <t>Verificação Peneiradores!Q16:Q20</t>
  </si>
  <si>
    <t>Verificação Peneiradores!R16:R20</t>
  </si>
  <si>
    <t>Verificação Peneiradores!S16:S20</t>
  </si>
  <si>
    <t>Verificação Peneiradores!T16:T20</t>
  </si>
  <si>
    <t>Verificação Peneiradores!U16:U20</t>
  </si>
  <si>
    <t>Verificação Peneiradores!V16:V20</t>
  </si>
  <si>
    <t>Verificação Peneiradores!W16:W20</t>
  </si>
  <si>
    <t>Verificação Peneiradores!X16:X20</t>
  </si>
  <si>
    <t>Verificação Peneiradores!Y16:Y20</t>
  </si>
  <si>
    <t>Verificação Peneiradores!Z16:Z20</t>
  </si>
  <si>
    <t>Verificação Peneiradores!AA16:AA20</t>
  </si>
  <si>
    <t>Verificação Peneiradores!AB16:AB20</t>
  </si>
  <si>
    <t>Verificação Peneiradores!B26:B30</t>
  </si>
  <si>
    <t>Verificação Peneiradores!C26:C30</t>
  </si>
  <si>
    <t>Verificação Peneiradores!D26:D30</t>
  </si>
  <si>
    <t>Verificação Peneiradores!E26:E30</t>
  </si>
  <si>
    <t>Verificação Peneiradores!F26:F30</t>
  </si>
  <si>
    <t>Verificação Peneiradores!G26:G30</t>
  </si>
  <si>
    <t>Verificação Peneiradores!H26:H30</t>
  </si>
  <si>
    <t>Verificação Peneiradores!I26:I30</t>
  </si>
  <si>
    <t>Verificação Peneiradores!J26:J30</t>
  </si>
  <si>
    <t>Verificação Peneiradores!K26:K30</t>
  </si>
  <si>
    <t>Verificação Peneiradores!L26:L30</t>
  </si>
  <si>
    <t>Verificação Peneiradores!M26:M30</t>
  </si>
  <si>
    <t>Verificação Peneiradores!N26:N30</t>
  </si>
  <si>
    <t>Verificação Peneiradores!O26:O30</t>
  </si>
  <si>
    <t>Verificação Peneiradores!P26:P30</t>
  </si>
  <si>
    <t>Verificação Peneiradores!Q26:Q30</t>
  </si>
  <si>
    <t>Verificação Peneiradores!R26:R30</t>
  </si>
  <si>
    <t>Verificação Peneiradores!S26:S30</t>
  </si>
  <si>
    <t>Verificação Peneiradores!T26:T30</t>
  </si>
  <si>
    <t>Verificação Peneiradores!U26:U30</t>
  </si>
  <si>
    <t>Verificação Peneiradores!V26:V30</t>
  </si>
  <si>
    <t>Verificação Peneiradores!W26:W30</t>
  </si>
  <si>
    <t>Verificação Peneiradores!X26:X30</t>
  </si>
  <si>
    <t>Verificação Peneiradores!Y26:Y30</t>
  </si>
  <si>
    <t>Verificação Peneiradores!Z26:Z30</t>
  </si>
  <si>
    <t>Verificação Peneiradores!AA26:AA30</t>
  </si>
  <si>
    <t>Verificação Peneiradores!AB26:AB30</t>
  </si>
  <si>
    <t>Verificação Peneiradores!B36:B40</t>
  </si>
  <si>
    <t>Verificação Peneiradores!C36:C40</t>
  </si>
  <si>
    <t>Verificação Peneiradores!D36:D40</t>
  </si>
  <si>
    <t>Verificação Peneiradores!E36:E40</t>
  </si>
  <si>
    <t>Verificação Peneiradores!F36:F40</t>
  </si>
  <si>
    <t>Verificação Peneiradores!G36:G40</t>
  </si>
  <si>
    <t>Verificação Peneiradores!H36:H40</t>
  </si>
  <si>
    <t>Verificação Peneiradores!I36:I40</t>
  </si>
  <si>
    <t>Verificação Peneiradores!J36:J40</t>
  </si>
  <si>
    <t>Verificação Peneiradores!K36:K40</t>
  </si>
  <si>
    <t>Verificação Peneiradores!L36:L40</t>
  </si>
  <si>
    <t>Verificação Peneiradores!M36:M40</t>
  </si>
  <si>
    <t>Verificação Peneiradores!N36:N40</t>
  </si>
  <si>
    <t>Verificação Peneiradores!O36:O40</t>
  </si>
  <si>
    <t>Verificação Peneiradores!P36:P40</t>
  </si>
  <si>
    <t>Verificação Peneiradores!Q36:Q40</t>
  </si>
  <si>
    <t>Verificação Peneiradores!R36:R40</t>
  </si>
  <si>
    <t>Verificação Peneiradores!S36:S40</t>
  </si>
  <si>
    <t>Verificação Peneiradores!T36:T40</t>
  </si>
  <si>
    <t>Verificação Peneiradores!U36:U40</t>
  </si>
  <si>
    <t>Verificação Peneiradores!V36:V40</t>
  </si>
  <si>
    <t>Verificação Peneiradores!W36:W40</t>
  </si>
  <si>
    <t>Verificação Peneiradores!X36:X40</t>
  </si>
  <si>
    <t>Verificação Peneiradores!Y36:Y40</t>
  </si>
  <si>
    <t>Verificação Peneiradores!Z36:Z40</t>
  </si>
  <si>
    <t>Verificação Peneiradores!AA36:AA40</t>
  </si>
  <si>
    <t>Verificação Peneiradores!AB36:AB40</t>
  </si>
  <si>
    <t>Verificação Peneiradores!B46:B50</t>
  </si>
  <si>
    <t>Verificação Peneiradores!C46:C50</t>
  </si>
  <si>
    <t>Verificação Peneiradores!D46:D50</t>
  </si>
  <si>
    <t>Verificação Peneiradores!E46:E50</t>
  </si>
  <si>
    <t>Verificação Peneiradores!F46:F50</t>
  </si>
  <si>
    <t>Verificação Peneiradores!G46:G50</t>
  </si>
  <si>
    <t>Verificação Peneiradores!H46:H50</t>
  </si>
  <si>
    <t>Verificação Peneiradores!I46:I50</t>
  </si>
  <si>
    <t>Verificação Peneiradores!J46:J50</t>
  </si>
  <si>
    <t>Verificação Peneiradores!K46:K50</t>
  </si>
  <si>
    <t>Verificação Peneiradores!L46:L50</t>
  </si>
  <si>
    <t>Verificação Peneiradores!M46:M50</t>
  </si>
  <si>
    <t>Verificação Peneiradores!N46:N50</t>
  </si>
  <si>
    <t>Verificação Peneiradores!O46:O50</t>
  </si>
  <si>
    <t>Verificação Peneiradores!P46:P50</t>
  </si>
  <si>
    <t>Verificação Peneiradores!Q46:Q50</t>
  </si>
  <si>
    <t>Verificação Peneiradores!R46:R50</t>
  </si>
  <si>
    <t>Verificação Peneiradores!S46:S50</t>
  </si>
  <si>
    <t>Verificação Peneiradores!T46:T50</t>
  </si>
  <si>
    <t>Verificação Peneiradores!U46:U50</t>
  </si>
  <si>
    <t>Verificação Peneiradores!V46:V50</t>
  </si>
  <si>
    <t>Verificação Peneiradores!W46:W50</t>
  </si>
  <si>
    <t>Verificação Peneiradores!X46:X50</t>
  </si>
  <si>
    <t>Verificação Peneiradores!Y46:Y50</t>
  </si>
  <si>
    <t>Verificação Peneiradores!Z46:Z50</t>
  </si>
  <si>
    <t>Verificação Peneiradores!AA46:AA50</t>
  </si>
  <si>
    <t>Verificação Peneiradores!AB46:AB50</t>
  </si>
  <si>
    <t>Verificação Peneiradores!B56:B60</t>
  </si>
  <si>
    <t>Verificação Peneiradores!C56:C60</t>
  </si>
  <si>
    <t>Verificação Peneiradores!D56:D60</t>
  </si>
  <si>
    <t>Verificação Peneiradores!E56:E60</t>
  </si>
  <si>
    <t>Verificação Peneiradores!F56:F60</t>
  </si>
  <si>
    <t>Verificação Peneiradores!G56:G60</t>
  </si>
  <si>
    <t>Verificação Peneiradores!H56:H60</t>
  </si>
  <si>
    <t>Verificação Peneiradores!I56:I60</t>
  </si>
  <si>
    <t>Verificação Peneiradores!J56:J60</t>
  </si>
  <si>
    <t>Verificação Peneiradores!K56:K60</t>
  </si>
  <si>
    <t>Verificação Peneiradores!L56:L60</t>
  </si>
  <si>
    <t>Verificação Peneiradores!M56:M60</t>
  </si>
  <si>
    <t>Verificação Peneiradores!N56:N60</t>
  </si>
  <si>
    <t>Verificação Peneiradores!O56:O60</t>
  </si>
  <si>
    <t>Verificação Peneiradores!P56:P60</t>
  </si>
  <si>
    <t>Verificação Peneiradores!Q56:Q60</t>
  </si>
  <si>
    <t>Verificação Peneiradores!R56:R60</t>
  </si>
  <si>
    <t>Verificação Peneiradores!S56:S60</t>
  </si>
  <si>
    <t>Verificação Peneiradores!T56:T60</t>
  </si>
  <si>
    <t>Verificação Peneiradores!U56:U60</t>
  </si>
  <si>
    <t>Verificação Peneiradores!V56:V60</t>
  </si>
  <si>
    <t>Verificação Peneiradores!W56:W60</t>
  </si>
  <si>
    <t>Verificação Peneiradores!X56:X60</t>
  </si>
  <si>
    <t>Verificação Peneiradores!Y56:Y60</t>
  </si>
  <si>
    <t>Verificação Peneiradores!Z56:Z60</t>
  </si>
  <si>
    <t>Verificação Peneiradores!AA56:AA60</t>
  </si>
  <si>
    <t>Verificação Peneiradores!AB56:AB60</t>
  </si>
  <si>
    <t>Verificação Peneiradores!B66:B70</t>
  </si>
  <si>
    <t>Verificação Peneiradores!C66:C70</t>
  </si>
  <si>
    <t>Verificação Peneiradores!D66:D70</t>
  </si>
  <si>
    <t>Verificação Peneiradores!E66:E70</t>
  </si>
  <si>
    <t>Verificação Peneiradores!F66:F70</t>
  </si>
  <si>
    <t>Verificação Peneiradores!G66:G70</t>
  </si>
  <si>
    <t>Verificação Peneiradores!H66:H70</t>
  </si>
  <si>
    <t>Verificação Peneiradores!I66:I70</t>
  </si>
  <si>
    <t>Verificação Peneiradores!J66:J70</t>
  </si>
  <si>
    <t>Verificação Peneiradores!K66:K70</t>
  </si>
  <si>
    <t>Verificação Peneiradores!L66:L70</t>
  </si>
  <si>
    <t>Verificação Peneiradores!M66:M70</t>
  </si>
  <si>
    <t>Verificação Peneiradores!N66:N70</t>
  </si>
  <si>
    <t>Verificação Peneiradores!O66:O70</t>
  </si>
  <si>
    <t>Verificação Peneiradores!P66:P70</t>
  </si>
  <si>
    <t>Verificação Peneiradores!Q66:Q70</t>
  </si>
  <si>
    <t>Verificação Peneiradores!R66:R70</t>
  </si>
  <si>
    <t>Verificação Peneiradores!S66:S70</t>
  </si>
  <si>
    <t>Verificação Peneiradores!T66:T70</t>
  </si>
  <si>
    <t>Verificação Peneiradores!U66:U70</t>
  </si>
  <si>
    <t>Verificação Peneiradores!V66:V70</t>
  </si>
  <si>
    <t>Verificação Peneiradores!W66:W70</t>
  </si>
  <si>
    <t>Verificação Peneiradores!X66:X70</t>
  </si>
  <si>
    <t>Verificação Peneiradores!Y66:Y70</t>
  </si>
  <si>
    <t>Verificação Peneiradores!Z66:Z70</t>
  </si>
  <si>
    <t>Verificação Peneiradores!AA66:AA70</t>
  </si>
  <si>
    <t>Verificação Peneiradores!AB66:AB70</t>
  </si>
  <si>
    <t>Verificação Peneiradores!B76:B80</t>
  </si>
  <si>
    <t>Verificação Peneiradores!C76:C80</t>
  </si>
  <si>
    <t>Verificação Peneiradores!D76:D80</t>
  </si>
  <si>
    <t>Verificação Peneiradores!E76:E80</t>
  </si>
  <si>
    <t>Verificação Peneiradores!F76:F80</t>
  </si>
  <si>
    <t>Verificação Peneiradores!G76:G80</t>
  </si>
  <si>
    <t>Verificação Peneiradores!H76:H80</t>
  </si>
  <si>
    <t>Verificação Peneiradores!I76:I80</t>
  </si>
  <si>
    <t>Verificação Peneiradores!J76:J80</t>
  </si>
  <si>
    <t>Verificação Peneiradores!K76:K80</t>
  </si>
  <si>
    <t>Verificação Peneiradores!L76:L80</t>
  </si>
  <si>
    <t>Verificação Peneiradores!M76:M80</t>
  </si>
  <si>
    <t>Verificação Peneiradores!N76:N80</t>
  </si>
  <si>
    <t>Verificação Peneiradores!O76:O80</t>
  </si>
  <si>
    <t>Verificação Peneiradores!P76:P80</t>
  </si>
  <si>
    <t>Verificação Peneiradores!Q76:Q80</t>
  </si>
  <si>
    <t>Verificação Peneiradores!R76:R80</t>
  </si>
  <si>
    <t>Verificação Peneiradores!S76:S80</t>
  </si>
  <si>
    <t>Verificação Peneiradores!T76:T80</t>
  </si>
  <si>
    <t>Verificação Peneiradores!U76:U80</t>
  </si>
  <si>
    <t>Verificação Peneiradores!V76:V80</t>
  </si>
  <si>
    <t>Verificação Peneiradores!W76:W80</t>
  </si>
  <si>
    <t>Verificação Peneiradores!X76:X80</t>
  </si>
  <si>
    <t>Verificação Peneiradores!Y76:Y80</t>
  </si>
  <si>
    <t>Verificação Peneiradores!Z76:Z80</t>
  </si>
  <si>
    <t>Verificação Peneiradores!AA76:AA80</t>
  </si>
  <si>
    <t>Verificação Peneiradores!AB76:AB80</t>
  </si>
  <si>
    <t>Verificação Peneiradores!B86:B90</t>
  </si>
  <si>
    <t>Verificação Peneiradores!C86:C90</t>
  </si>
  <si>
    <t>Verificação Peneiradores!D86:D90</t>
  </si>
  <si>
    <t>Verificação Peneiradores!E86:E90</t>
  </si>
  <si>
    <t>Verificação Peneiradores!F86:F90</t>
  </si>
  <si>
    <t>Verificação Peneiradores!G86:G90</t>
  </si>
  <si>
    <t>Verificação Peneiradores!H86:H90</t>
  </si>
  <si>
    <t>Verificação Peneiradores!I86:I90</t>
  </si>
  <si>
    <t>Verificação Peneiradores!J86:J90</t>
  </si>
  <si>
    <t>Verificação Peneiradores!K86:K90</t>
  </si>
  <si>
    <t>Verificação Peneiradores!L86:L90</t>
  </si>
  <si>
    <t>Verificação Peneiradores!M86:M90</t>
  </si>
  <si>
    <t>Verificação Peneiradores!N86:N90</t>
  </si>
  <si>
    <t>Verificação Peneiradores!O86:O90</t>
  </si>
  <si>
    <t>Verificação Peneiradores!P86:P90</t>
  </si>
  <si>
    <t>Verificação Peneiradores!Q86:Q90</t>
  </si>
  <si>
    <t>Verificação Peneiradores!R86:R90</t>
  </si>
  <si>
    <t>Verificação Peneiradores!S86:S90</t>
  </si>
  <si>
    <t>Verificação Peneiradores!T86:T90</t>
  </si>
  <si>
    <t>Verificação Peneiradores!U86:U90</t>
  </si>
  <si>
    <t>Verificação Peneiradores!V86:V90</t>
  </si>
  <si>
    <t>Verificação Peneiradores!W86:W90</t>
  </si>
  <si>
    <t>Verificação Peneiradores!X86:X90</t>
  </si>
  <si>
    <t>Verificação Peneiradores!Y86:Y90</t>
  </si>
  <si>
    <t>Verificação Peneiradores!Z86:Z90</t>
  </si>
  <si>
    <t>Verificação Peneiradores!AA86:AA90</t>
  </si>
  <si>
    <t>Verificação Peneiradores!AB86:AB90</t>
  </si>
  <si>
    <t>Verificação Peneiradores!B96:B100</t>
  </si>
  <si>
    <t>Verificação Peneiradores!C96:C100</t>
  </si>
  <si>
    <t>Verificação Peneiradores!D96:D100</t>
  </si>
  <si>
    <t>Verificação Peneiradores!E96:E100</t>
  </si>
  <si>
    <t>Verificação Peneiradores!F96:F100</t>
  </si>
  <si>
    <t>Verificação Peneiradores!G96:G100</t>
  </si>
  <si>
    <t>Verificação Peneiradores!H96:H100</t>
  </si>
  <si>
    <t>Verificação Peneiradores!I96:I100</t>
  </si>
  <si>
    <t>Verificação Peneiradores!J96:J100</t>
  </si>
  <si>
    <t>Verificação Peneiradores!K96:K100</t>
  </si>
  <si>
    <t>Verificação Peneiradores!L96:L100</t>
  </si>
  <si>
    <t>Verificação Peneiradores!M96:M100</t>
  </si>
  <si>
    <t>Verificação Peneiradores!N96:N100</t>
  </si>
  <si>
    <t>Verificação Peneiradores!O96:O100</t>
  </si>
  <si>
    <t>Verificação Peneiradores!P96:P100</t>
  </si>
  <si>
    <t>Verificação Peneiradores!Q96:Q100</t>
  </si>
  <si>
    <t>Verificação Peneiradores!R96:R100</t>
  </si>
  <si>
    <t>Verificação Peneiradores!S96:S100</t>
  </si>
  <si>
    <t>Verificação Peneiradores!T96:T100</t>
  </si>
  <si>
    <t>Verificação Peneiradores!U96:U100</t>
  </si>
  <si>
    <t>Verificação Peneiradores!V96:V100</t>
  </si>
  <si>
    <t>Verificação Peneiradores!W96:W100</t>
  </si>
  <si>
    <t>Verificação Peneiradores!X96:X100</t>
  </si>
  <si>
    <t>Verificação Peneiradores!Y96:Y100</t>
  </si>
  <si>
    <t>Verificação Peneiradores!Z96:Z100</t>
  </si>
  <si>
    <t>Verificação Peneiradores!AA96:AA100</t>
  </si>
  <si>
    <t>Verificação Peneiradores!AB96:AB100</t>
  </si>
  <si>
    <t>Verificação Peneiradores!B106:B110</t>
  </si>
  <si>
    <t>Verificação Peneiradores!C106:C110</t>
  </si>
  <si>
    <t>Verificação Peneiradores!D106:D110</t>
  </si>
  <si>
    <t>Verificação Peneiradores!E106:E110</t>
  </si>
  <si>
    <t>Verificação Peneiradores!F106:F110</t>
  </si>
  <si>
    <t>Verificação Peneiradores!G106:G110</t>
  </si>
  <si>
    <t>Verificação Peneiradores!H106:H110</t>
  </si>
  <si>
    <t>Verificação Peneiradores!I106:I110</t>
  </si>
  <si>
    <t>Verificação Peneiradores!J106:J110</t>
  </si>
  <si>
    <t>Verificação Peneiradores!K106:K110</t>
  </si>
  <si>
    <t>Verificação Peneiradores!L106:L110</t>
  </si>
  <si>
    <t>Verificação Peneiradores!M106:M110</t>
  </si>
  <si>
    <t>Verificação Peneiradores!N106:N110</t>
  </si>
  <si>
    <t>Verificação Peneiradores!O106:O110</t>
  </si>
  <si>
    <t>Verificação Peneiradores!P106:P110</t>
  </si>
  <si>
    <t>Verificação Peneiradores!Q106:Q110</t>
  </si>
  <si>
    <t>Verificação Peneiradores!R106:R110</t>
  </si>
  <si>
    <t>Verificação Peneiradores!S106:S110</t>
  </si>
  <si>
    <t>Verificação Peneiradores!T106:T110</t>
  </si>
  <si>
    <t>Verificação Peneiradores!U106:U110</t>
  </si>
  <si>
    <t>Verificação Peneiradores!V106:V110</t>
  </si>
  <si>
    <t>Verificação Peneiradores!W106:W110</t>
  </si>
  <si>
    <t>Verificação Peneiradores!X106:X110</t>
  </si>
  <si>
    <t>Verificação Peneiradores!Y106:Y110</t>
  </si>
  <si>
    <t>Verificação Peneiradores!Z106:Z110</t>
  </si>
  <si>
    <t>Verificação Peneiradores!AA106:AA110</t>
  </si>
  <si>
    <t>Verificação Peneiradores!AB106:AB110</t>
  </si>
  <si>
    <t>Verificação Peneiradores!B116:B120</t>
  </si>
  <si>
    <t>Verificação Peneiradores!C116:C120</t>
  </si>
  <si>
    <t>Verificação Peneiradores!D116:D120</t>
  </si>
  <si>
    <t>Verificação Peneiradores!E116:E120</t>
  </si>
  <si>
    <t>Verificação Peneiradores!F116:F120</t>
  </si>
  <si>
    <t>Verificação Peneiradores!G116:G120</t>
  </si>
  <si>
    <t>Verificação Peneiradores!H116:H120</t>
  </si>
  <si>
    <t>Verificação Peneiradores!I116:I120</t>
  </si>
  <si>
    <t>Verificação Peneiradores!J116:J120</t>
  </si>
  <si>
    <t>Verificação Peneiradores!K116:K120</t>
  </si>
  <si>
    <t>Verificação Peneiradores!L116:L120</t>
  </si>
  <si>
    <t>Verificação Peneiradores!M116:M120</t>
  </si>
  <si>
    <t>Verificação Peneiradores!N116:N120</t>
  </si>
  <si>
    <t>Verificação Peneiradores!O116:O120</t>
  </si>
  <si>
    <t>Verificação Peneiradores!P116:P120</t>
  </si>
  <si>
    <t>Verificação Peneiradores!Q116:Q120</t>
  </si>
  <si>
    <t>Verificação Peneiradores!R116:R120</t>
  </si>
  <si>
    <t>Verificação Peneiradores!S116:S120</t>
  </si>
  <si>
    <t>Verificação Peneiradores!T116:T120</t>
  </si>
  <si>
    <t>Verificação Peneiradores!U116:U120</t>
  </si>
  <si>
    <t>Verificação Peneiradores!V116:V120</t>
  </si>
  <si>
    <t>Verificação Peneiradores!W116:W120</t>
  </si>
  <si>
    <t>Verificação Peneiradores!X116:X120</t>
  </si>
  <si>
    <t>Verificação Peneiradores!Y116:Y120</t>
  </si>
  <si>
    <t>Verificação Peneiradores!Z116:Z120</t>
  </si>
  <si>
    <t>Verificação Peneiradores!AA116:AA120</t>
  </si>
  <si>
    <t>Verificação Peneiradores!AB116:AB120</t>
  </si>
  <si>
    <t>Verificação Peneiradores!B126:B130</t>
  </si>
  <si>
    <t>Verificação Peneiradores!C126:C130</t>
  </si>
  <si>
    <t>Verificação Peneiradores!D126:D130</t>
  </si>
  <si>
    <t>Verificação Peneiradores!E126:E130</t>
  </si>
  <si>
    <t>Verificação Peneiradores!F126:F130</t>
  </si>
  <si>
    <t>Verificação Peneiradores!G126:G130</t>
  </si>
  <si>
    <t>Verificação Peneiradores!H126:H130</t>
  </si>
  <si>
    <t>Verificação Peneiradores!I126:I130</t>
  </si>
  <si>
    <t>Verificação Peneiradores!J126:J130</t>
  </si>
  <si>
    <t>Verificação Peneiradores!K126:K130</t>
  </si>
  <si>
    <t>Verificação Peneiradores!L126:L130</t>
  </si>
  <si>
    <t>Verificação Peneiradores!M126:M130</t>
  </si>
  <si>
    <t>Verificação Peneiradores!N126:N130</t>
  </si>
  <si>
    <t>Verificação Peneiradores!O126:O130</t>
  </si>
  <si>
    <t>Verificação Peneiradores!P126:P130</t>
  </si>
  <si>
    <t>Verificação Peneiradores!Q126:Q130</t>
  </si>
  <si>
    <t>Verificação Peneiradores!R126:R130</t>
  </si>
  <si>
    <t>Verificação Peneiradores!S126:S130</t>
  </si>
  <si>
    <t>Verificação Peneiradores!T126:T130</t>
  </si>
  <si>
    <t>Verificação Peneiradores!U126:U130</t>
  </si>
  <si>
    <t>Verificação Peneiradores!V126:V130</t>
  </si>
  <si>
    <t>Verificação Peneiradores!W126:W130</t>
  </si>
  <si>
    <t>Verificação Peneiradores!X126:X130</t>
  </si>
  <si>
    <t>Verificação Peneiradores!Y126:Y130</t>
  </si>
  <si>
    <t>Verificação Peneiradores!Z126:Z130</t>
  </si>
  <si>
    <t>Verificação Peneiradores!AA126:AA130</t>
  </si>
  <si>
    <t>Verificação Peneiradores!AB126:AB130</t>
  </si>
  <si>
    <t>Chave</t>
  </si>
  <si>
    <t>Nominal</t>
  </si>
  <si>
    <t>Fonte</t>
  </si>
  <si>
    <t>TAMB</t>
  </si>
  <si>
    <t>Aba Tambor de Abrasão, A4/A23: 25 ± 1 rpm (limites X7/Z7)</t>
  </si>
  <si>
    <t>ALP</t>
  </si>
  <si>
    <t>Passante</t>
  </si>
  <si>
    <t>Aba Gran. Fina Alpine, linha 5 e colunas I:K</t>
  </si>
  <si>
    <t>BLAM</t>
  </si>
  <si>
    <t>Aba Calibração Blaine, colunas E:G e fórmula I6</t>
  </si>
  <si>
    <t>BLAS</t>
  </si>
  <si>
    <t>Aba Calibração Blaine, fórmula K6</t>
  </si>
  <si>
    <t>BLAA</t>
  </si>
  <si>
    <t>Aba Calibração Blaine, fórmula M6</t>
  </si>
  <si>
    <t>FIS</t>
  </si>
  <si>
    <t>Aba Comparativo Fisher, F6: diferença aceitável 300 cm²/g</t>
  </si>
  <si>
    <t>COM16</t>
  </si>
  <si>
    <t>FX -16,0 +12,5 mm</t>
  </si>
  <si>
    <t>Aba Compressão, B1: nominal 355 kgf/pel, diferença aceitável 20</t>
  </si>
  <si>
    <t>COM12</t>
  </si>
  <si>
    <t>FX -12,5 +10,0 mm</t>
  </si>
  <si>
    <t>Aba Compressão, B16: nominal 310 kgf/pel, diferença aceitável 20</t>
  </si>
  <si>
    <t>VEL</t>
  </si>
  <si>
    <t>Velocidade</t>
  </si>
  <si>
    <t>Aba Compressão, B1: velocidade 15 ± 2 mm/min</t>
  </si>
  <si>
    <t>G63</t>
  </si>
  <si>
    <t>Aba Granulometria, R11: tolerância 0,30</t>
  </si>
  <si>
    <t>GRG</t>
  </si>
  <si>
    <t>Aba Granulometria, R10: tolerância 0,15</t>
  </si>
  <si>
    <t>UMI</t>
  </si>
  <si>
    <t>Aba Umidade, coluna I: diferença aceitável 0,05</t>
  </si>
  <si>
    <t>T515</t>
  </si>
  <si>
    <t>Aba Tamb Kg x Tamb 15,0Kg, V10: diferença aceitável 0,5</t>
  </si>
  <si>
    <t>COMO FUNCIONA</t>
  </si>
  <si>
    <t>Esta aba e a BD_Afericoes são geradas para o Power BI. Os operadores continuam preenchendo as abas de sempre; nada aqui precisa ser digitado.</t>
  </si>
  <si>
    <t>BD_Afericoes (tabela tbl_Afericoes): 1 linha por equipamento x ensaio x data, com fórmulas que apontam para as células das abas de preenchimento (coluna Origem).</t>
  </si>
  <si>
    <t>Resultado é recalculado aqui de forma padronizada: Calibração = valor dentro de Lim. Inferior/Superior; Comparativo = |Diferença| &lt;= Tolerância; Peneiradores = nenhum item 'NÃO OK'.</t>
  </si>
  <si>
    <t>Para mudar um limite ou tolerância, altere SOMENTE as colunas Nominal / Lim. Inferior / Lim. Superior / Tolerância desta tabela (tbl_Limites). As fórmulas da BD_Afericoes leem daqui.</t>
  </si>
  <si>
    <t>Granulometria e Tamb 5x15 são recalculados a partir das massas (g) digitadas, e não das colunas de % das abas, para não herdar fórmulas quebradas.</t>
  </si>
  <si>
    <t>Não inserir/excluir linhas ou colunas nas abas dos operadores: as fórmulas apontam para posições fixas. Para um novo mês, copie este arquivo (Salvar como) e limpe só os valores digitados.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</si>
</sst>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
    <numFmt numFmtId="165" formatCode="0.0"/>
    <numFmt numFmtId="166" formatCode="d/m;@"/>
    <numFmt numFmtId="167" formatCode="[$-416]d\-mmm;@"/>
    <numFmt numFmtId="168" formatCode="dd/mm/yyyy"/>
  </numFmts>
  <fonts count="105">
    <font>
      <sz val="11"/>
      <color theme="1"/>
      <name val="Calibri"/>
      <family val="2"/>
      <scheme val="minor"/>
    </font>
    <font>
      <b/>
      <sz val="11"/>
      <name val="Arial"/>
      <family val="2"/>
    </font>
    <font>
      <sz val="11"/>
      <name val="Arial"/>
      <family val="2"/>
    </font>
    <font>
      <b/>
      <sz val="11"/>
      <color indexed="8"/>
      <name val="Calibri"/>
      <family val="2"/>
    </font>
    <font>
      <b/>
      <sz val="14"/>
      <name val="Arial"/>
      <family val="2"/>
    </font>
    <font>
      <sz val="14"/>
      <name val="Arial"/>
      <family val="2"/>
    </font>
    <font>
      <sz val="10"/>
      <name val="Arial"/>
      <family val="2"/>
    </font>
    <font>
      <b/>
      <sz val="14"/>
      <color indexed="10"/>
      <name val="Arial"/>
      <family val="2"/>
    </font>
    <font>
      <b/>
      <sz val="11"/>
      <color indexed="9"/>
      <name val="Arial"/>
      <family val="2"/>
    </font>
    <font>
      <b/>
      <sz val="11"/>
      <color indexed="8"/>
      <name val="Arial"/>
      <family val="2"/>
    </font>
    <font>
      <b/>
      <sz val="10"/>
      <name val="Arial"/>
      <family val="2"/>
    </font>
    <font>
      <sz val="11"/>
      <color theme="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1"/>
      <color theme="1" tint="4.9989318521683403E-2"/>
      <name val="Calibri"/>
      <family val="2"/>
      <scheme val="minor"/>
    </font>
    <font>
      <b/>
      <sz val="11"/>
      <color rgb="FFFF0000"/>
      <name val="Calibri"/>
      <family val="2"/>
    </font>
    <font>
      <sz val="11"/>
      <name val="Calibri"/>
      <family val="2"/>
      <scheme val="minor"/>
    </font>
    <font>
      <b/>
      <sz val="11"/>
      <color rgb="FFFF0000"/>
      <name val="Calibri"/>
      <family val="2"/>
      <scheme val="minor"/>
    </font>
    <font>
      <b/>
      <sz val="14"/>
      <color rgb="FFFF0000"/>
      <name val="Arial"/>
      <family val="2"/>
    </font>
    <font>
      <b/>
      <sz val="11"/>
      <name val="Calibri"/>
      <family val="2"/>
      <scheme val="minor"/>
    </font>
    <font>
      <b/>
      <sz val="12"/>
      <color theme="1"/>
      <name val="Calibri"/>
      <family val="2"/>
      <scheme val="minor"/>
    </font>
    <font>
      <sz val="14"/>
      <color theme="0"/>
      <name val="Arial"/>
      <family val="2"/>
    </font>
    <font>
      <sz val="14"/>
      <color theme="1"/>
      <name val="Calibri"/>
      <family val="2"/>
      <scheme val="minor"/>
    </font>
    <font>
      <b/>
      <sz val="14"/>
      <color rgb="FFFF0000"/>
      <name val="Calibri"/>
      <family val="2"/>
      <scheme val="minor"/>
    </font>
    <font>
      <sz val="11"/>
      <color theme="0" tint="-0.14999847407452621"/>
      <name val="Calibri"/>
      <family val="2"/>
      <scheme val="minor"/>
    </font>
    <font>
      <b/>
      <sz val="10"/>
      <color theme="1"/>
      <name val="Calibri"/>
      <family val="2"/>
      <scheme val="minor"/>
    </font>
    <font>
      <b/>
      <sz val="11"/>
      <color rgb="FF000000"/>
      <name val="Calibri"/>
      <family val="2"/>
    </font>
    <font>
      <sz val="11"/>
      <color rgb="FF000000"/>
      <name val="Calibri"/>
      <family val="2"/>
      <scheme val="minor"/>
    </font>
    <font>
      <b/>
      <sz val="12"/>
      <color rgb="FFFFFFFF"/>
      <name val="Arial"/>
      <family val="2"/>
    </font>
    <font>
      <b/>
      <sz val="12"/>
      <name val="Calibri"/>
      <family val="2"/>
      <scheme val="minor"/>
    </font>
    <font>
      <b/>
      <sz val="12"/>
      <color rgb="FFFF0000"/>
      <name val="Calibri"/>
      <family val="2"/>
      <scheme val="minor"/>
    </font>
    <font>
      <b/>
      <sz val="22"/>
      <color theme="0"/>
      <name val="Arial"/>
      <family val="2"/>
    </font>
    <font>
      <b/>
      <sz val="18"/>
      <color theme="0"/>
      <name val="Calibri"/>
      <family val="2"/>
      <scheme val="minor"/>
    </font>
    <font>
      <b/>
      <sz val="14"/>
      <color theme="0"/>
      <name val="Calibri"/>
      <family val="2"/>
      <scheme val="minor"/>
    </font>
    <font>
      <b/>
      <sz val="14"/>
      <color rgb="FF000099"/>
      <name val="Calibri"/>
      <family val="2"/>
      <scheme val="minor"/>
    </font>
    <font>
      <b/>
      <sz val="16"/>
      <color rgb="FFFFFFFF"/>
      <name val="Calibri"/>
      <family val="2"/>
      <scheme val="minor"/>
    </font>
    <font>
      <b/>
      <sz val="16"/>
      <color theme="1"/>
      <name val="Calibri"/>
      <family val="2"/>
    </font>
    <font>
      <b/>
      <sz val="10"/>
      <color indexed="8"/>
      <name val="Calibri"/>
      <family val="2"/>
    </font>
    <font>
      <b/>
      <sz val="12"/>
      <color rgb="FF000000"/>
      <name val="Calibri"/>
      <family val="2"/>
    </font>
    <font>
      <b/>
      <sz val="12"/>
      <name val="Arial"/>
      <family val="2"/>
    </font>
    <font>
      <b/>
      <sz val="9"/>
      <name val="Arial"/>
      <family val="2"/>
    </font>
    <font>
      <b/>
      <sz val="9"/>
      <color indexed="9"/>
      <name val="Arial"/>
      <family val="2"/>
    </font>
    <font>
      <b/>
      <sz val="10"/>
      <color indexed="9"/>
      <name val="Arial"/>
      <family val="2"/>
    </font>
    <font>
      <sz val="10"/>
      <color theme="0"/>
      <name val="Arial"/>
      <family val="2"/>
    </font>
    <font>
      <b/>
      <i/>
      <sz val="10"/>
      <name val="Arial"/>
      <family val="2"/>
    </font>
    <font>
      <b/>
      <sz val="11"/>
      <color rgb="FF375623"/>
      <name val="Calibri"/>
      <family val="2"/>
      <scheme val="minor"/>
    </font>
    <font>
      <b/>
      <i/>
      <sz val="10"/>
      <color indexed="10"/>
      <name val="Arial"/>
      <family val="2"/>
    </font>
    <font>
      <sz val="10"/>
      <color indexed="8"/>
      <name val="Arial"/>
      <family val="2"/>
    </font>
    <font>
      <b/>
      <i/>
      <sz val="10"/>
      <color indexed="8"/>
      <name val="Arial"/>
      <family val="2"/>
    </font>
    <font>
      <b/>
      <sz val="12"/>
      <color theme="0"/>
      <name val="Arial"/>
      <family val="2"/>
    </font>
    <font>
      <b/>
      <sz val="11"/>
      <color rgb="FF000000"/>
      <name val="Calibri"/>
      <family val="2"/>
      <scheme val="minor"/>
    </font>
    <font>
      <b/>
      <sz val="11"/>
      <color rgb="FF002060"/>
      <name val="Calibri"/>
      <family val="2"/>
      <scheme val="minor"/>
    </font>
    <font>
      <b/>
      <sz val="10"/>
      <color rgb="FFFF0000"/>
      <name val="Calibri"/>
      <family val="2"/>
      <scheme val="minor"/>
    </font>
    <font>
      <sz val="14"/>
      <color rgb="FF000000"/>
      <name val="Calibri"/>
      <family val="2"/>
      <scheme val="minor"/>
    </font>
    <font>
      <b/>
      <sz val="14"/>
      <color rgb="FF000000"/>
      <name val="Calibri"/>
      <family val="2"/>
      <scheme val="minor"/>
    </font>
    <font>
      <b/>
      <sz val="13"/>
      <color rgb="FF000099"/>
      <name val="Calibri"/>
      <family val="2"/>
      <scheme val="minor"/>
    </font>
    <font>
      <b/>
      <sz val="11"/>
      <color rgb="FF000099"/>
      <name val="Calibri"/>
      <family val="2"/>
      <scheme val="minor"/>
    </font>
    <font>
      <b/>
      <sz val="11"/>
      <color theme="0"/>
      <name val="Calibri"/>
      <family val="2"/>
    </font>
    <font>
      <b/>
      <sz val="11"/>
      <color rgb="FFFFFFFF"/>
      <name val="Calibri"/>
      <family val="2"/>
      <scheme val="minor"/>
    </font>
    <font>
      <sz val="11"/>
      <color rgb="FFFFFFFF"/>
      <name val="Calibri"/>
      <family val="2"/>
      <scheme val="minor"/>
    </font>
    <font>
      <b/>
      <sz val="11"/>
      <color rgb="FF3366FF"/>
      <name val="Calibri"/>
      <family val="2"/>
      <scheme val="minor"/>
    </font>
    <font>
      <b/>
      <i/>
      <sz val="10"/>
      <color rgb="FF000099"/>
      <name val="Arial"/>
      <family val="2"/>
    </font>
    <font>
      <b/>
      <sz val="10"/>
      <color rgb="FF000099"/>
      <name val="Arial"/>
      <family val="2"/>
    </font>
    <font>
      <sz val="11"/>
      <color rgb="FF444444"/>
      <name val="Calibri"/>
      <family val="2"/>
      <charset val="1"/>
    </font>
    <font>
      <b/>
      <sz val="14"/>
      <color rgb="FFFFFFFF"/>
      <name val="Calibri"/>
      <family val="2"/>
    </font>
    <font>
      <b/>
      <sz val="14"/>
      <color rgb="FFFF0000"/>
      <name val="Calibri"/>
      <family val="2"/>
    </font>
    <font>
      <b/>
      <sz val="14"/>
      <color rgb="FF002060"/>
      <name val="Calibri"/>
      <family val="2"/>
    </font>
    <font>
      <b/>
      <sz val="8"/>
      <color rgb="FFFFFFFF"/>
      <name val="Arial"/>
      <family val="2"/>
    </font>
    <font>
      <b/>
      <sz val="11"/>
      <color rgb="FF0D0D0D"/>
      <name val="Calibri"/>
      <family val="2"/>
    </font>
    <font>
      <sz val="11"/>
      <color rgb="FF000000"/>
      <name val="Calibri"/>
      <family val="2"/>
    </font>
    <font>
      <sz val="12"/>
      <name val="Arial"/>
      <family val="2"/>
    </font>
    <font>
      <sz val="14"/>
      <color rgb="FFFF0000"/>
      <name val="Calibri"/>
      <family val="2"/>
    </font>
    <font>
      <b/>
      <sz val="11"/>
      <color rgb="FF9C0006"/>
      <name val="Calibri"/>
      <family val="2"/>
      <scheme val="minor"/>
    </font>
    <font>
      <b/>
      <sz val="18"/>
      <color theme="1"/>
      <name val="Calibri"/>
      <family val="2"/>
      <scheme val="minor"/>
    </font>
    <font>
      <b/>
      <sz val="18"/>
      <color rgb="FFFFFFFF"/>
      <name val="Calibri"/>
      <family val="2"/>
      <scheme val="minor"/>
    </font>
    <font>
      <b/>
      <sz val="14"/>
      <color rgb="FFFFFFFF"/>
      <name val="Calibri"/>
      <family val="2"/>
      <scheme val="minor"/>
    </font>
    <font>
      <sz val="12"/>
      <color theme="1"/>
      <name val="Calibri"/>
      <family val="2"/>
      <scheme val="minor"/>
    </font>
    <font>
      <b/>
      <sz val="14"/>
      <color theme="0"/>
      <name val="Calibri"/>
      <family val="2"/>
    </font>
    <font>
      <sz val="11"/>
      <color theme="1"/>
      <name val="Calibri"/>
      <family val="2"/>
    </font>
    <font>
      <b/>
      <sz val="12"/>
      <color theme="0"/>
      <name val="Calibri"/>
      <family val="2"/>
      <scheme val="minor"/>
    </font>
    <font>
      <b/>
      <sz val="16"/>
      <name val="Calibri"/>
      <family val="2"/>
      <scheme val="minor"/>
    </font>
    <font>
      <b/>
      <sz val="16"/>
      <color theme="1"/>
      <name val="Calibri"/>
      <family val="2"/>
      <scheme val="minor"/>
    </font>
    <font>
      <b/>
      <sz val="18"/>
      <color rgb="FFFFFFFF"/>
      <name val="Calibri"/>
      <scheme val="minor"/>
    </font>
    <font>
      <b/>
      <sz val="18"/>
      <color rgb="FFFFFFFF"/>
      <name val="Calibri"/>
    </font>
    <font>
      <b/>
      <sz val="15.65"/>
      <color rgb="FFFFFFFF"/>
      <name val="Calibri"/>
    </font>
    <font>
      <b/>
      <sz val="24"/>
      <color rgb="FFFF0000"/>
      <name val="Calibri"/>
      <family val="2"/>
      <scheme val="minor"/>
    </font>
    <font>
      <sz val="14"/>
      <color rgb="FFFF0000"/>
      <name val="Calibri"/>
      <family val="2"/>
      <scheme val="minor"/>
    </font>
    <font>
      <sz val="14"/>
      <color rgb="FFFF0000"/>
      <name val="Arial"/>
      <family val="2"/>
    </font>
    <font>
      <b/>
      <sz val="10"/>
      <name val="Calibri"/>
      <family val="2"/>
      <scheme val="minor"/>
    </font>
    <font>
      <sz val="10"/>
      <name val="Calibri"/>
      <family val="2"/>
      <scheme val="minor"/>
    </font>
    <font>
      <b/>
      <sz val="14"/>
      <name val="Calibri"/>
      <family val="2"/>
      <scheme val="minor"/>
    </font>
    <font>
      <b/>
      <sz val="10"/>
      <color indexed="8"/>
      <name val="Calibri"/>
      <family val="2"/>
      <scheme val="minor"/>
    </font>
    <font>
      <sz val="10"/>
      <color indexed="8"/>
      <name val="Calibri"/>
      <family val="2"/>
      <scheme val="minor"/>
    </font>
    <font>
      <b/>
      <sz val="10"/>
      <color theme="3" tint="-0.499984740745262"/>
      <name val="Calibri"/>
      <family val="2"/>
      <scheme val="minor"/>
    </font>
    <font>
      <sz val="12"/>
      <name val="Calibri"/>
      <family val="2"/>
      <scheme val="minor"/>
    </font>
    <font>
      <b/>
      <sz val="10"/>
      <name val="Calibri"/>
      <family val="2"/>
    </font>
    <font>
      <sz val="14"/>
      <color theme="0"/>
      <name val="Calibri"/>
      <family val="2"/>
      <scheme val="minor"/>
    </font>
    <font>
      <b/>
      <sz val="10"/>
      <color rgb="FFFF0000"/>
      <name val="Arial"/>
      <family val="2"/>
    </font>
    <font>
      <b/>
      <sz val="14"/>
      <color rgb="FFFFFFFF"/>
      <name val="Calibri"/>
      <scheme val="minor"/>
    </font>
    <font>
      <b/>
      <sz val="14"/>
      <color theme="0"/>
      <name val="Aptos"/>
      <family val="2"/>
      <charset val="1"/>
    </font>
    <font>
      <b/>
      <sz val="8"/>
      <name val="Arial"/>
      <family val="2"/>
    </font>
    <font>
      <b/>
      <sz val="11"/>
      <color rgb="FFFF0000"/>
      <name val="Arial"/>
      <family val="2"/>
    </font>
    <font>
      <b/>
      <sz val="11"/>
      <color theme="1"/>
      <name val="Calibri"/>
      <family val="2"/>
      <scheme val="minor"/>
    </font>
  </fonts>
  <fills count="46">
    <fill>
      <patternFill patternType="none"/>
    </fill>
    <fill>
      <patternFill patternType="gray125"/>
    </fill>
    <fill>
      <patternFill patternType="solid">
        <fgColor indexed="18"/>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FF0000"/>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rgb="FF366092"/>
        <bgColor rgb="FF000000"/>
      </patternFill>
    </fill>
    <fill>
      <patternFill patternType="solid">
        <fgColor rgb="FFB8CCE4"/>
        <bgColor rgb="FF000000"/>
      </patternFill>
    </fill>
    <fill>
      <patternFill patternType="solid">
        <fgColor rgb="FF00B050"/>
        <bgColor indexed="64"/>
      </patternFill>
    </fill>
    <fill>
      <patternFill patternType="solid">
        <fgColor theme="4" tint="-0.249977111117893"/>
        <bgColor indexed="64"/>
      </patternFill>
    </fill>
    <fill>
      <patternFill patternType="solid">
        <fgColor rgb="FF244062"/>
        <bgColor rgb="FF000000"/>
      </patternFill>
    </fill>
    <fill>
      <patternFill patternType="solid">
        <fgColor rgb="FFDDEBF7"/>
        <bgColor indexed="64"/>
      </patternFill>
    </fill>
    <fill>
      <patternFill patternType="solid">
        <fgColor theme="8" tint="0.79998168889431442"/>
        <bgColor indexed="64"/>
      </patternFill>
    </fill>
    <fill>
      <patternFill patternType="solid">
        <fgColor rgb="FFBDD7EE"/>
        <bgColor indexed="64"/>
      </patternFill>
    </fill>
    <fill>
      <patternFill patternType="solid">
        <fgColor theme="3"/>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000099"/>
        <bgColor indexed="64"/>
      </patternFill>
    </fill>
    <fill>
      <patternFill patternType="solid">
        <fgColor rgb="FF00B0F0"/>
        <bgColor indexed="64"/>
      </patternFill>
    </fill>
    <fill>
      <patternFill patternType="solid">
        <fgColor rgb="FF3366FF"/>
        <bgColor rgb="FF000000"/>
      </patternFill>
    </fill>
    <fill>
      <patternFill patternType="solid">
        <fgColor rgb="FF305496"/>
        <bgColor rgb="FF000000"/>
      </patternFill>
    </fill>
    <fill>
      <patternFill patternType="solid">
        <fgColor rgb="FFFFFFFF"/>
        <bgColor rgb="FF000000"/>
      </patternFill>
    </fill>
    <fill>
      <patternFill patternType="solid">
        <fgColor rgb="FF9BC2E6"/>
        <bgColor rgb="FF000000"/>
      </patternFill>
    </fill>
    <fill>
      <patternFill patternType="solid">
        <fgColor rgb="FF00FFFF"/>
        <bgColor rgb="FF000000"/>
      </patternFill>
    </fill>
    <fill>
      <patternFill patternType="solid">
        <fgColor rgb="FF33CCCC"/>
        <bgColor rgb="FF000000"/>
      </patternFill>
    </fill>
    <fill>
      <patternFill patternType="solid">
        <fgColor rgb="FFCCFFCC"/>
        <bgColor rgb="FF000000"/>
      </patternFill>
    </fill>
    <fill>
      <patternFill patternType="solid">
        <fgColor theme="3" tint="0.39997558519241921"/>
        <bgColor rgb="FF000000"/>
      </patternFill>
    </fill>
    <fill>
      <patternFill patternType="solid">
        <fgColor theme="4" tint="0.39997558519241921"/>
        <bgColor rgb="FF000000"/>
      </patternFill>
    </fill>
    <fill>
      <patternFill patternType="solid">
        <fgColor theme="8" tint="0.39997558519241921"/>
        <bgColor indexed="64"/>
      </patternFill>
    </fill>
    <fill>
      <patternFill patternType="solid">
        <fgColor theme="8" tint="0.39997558519241921"/>
        <bgColor rgb="FF000000"/>
      </patternFill>
    </fill>
    <fill>
      <patternFill patternType="solid">
        <fgColor rgb="FF0070C0"/>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rgb="FF3366FF"/>
        <bgColor indexed="64"/>
      </patternFill>
    </fill>
  </fills>
  <borders count="17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top/>
      <bottom/>
      <diagonal/>
    </border>
    <border>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thin">
        <color indexed="64"/>
      </right>
      <top style="medium">
        <color rgb="FF000000"/>
      </top>
      <bottom style="thin">
        <color indexed="64"/>
      </bottom>
      <diagonal/>
    </border>
    <border>
      <left style="medium">
        <color indexed="64"/>
      </left>
      <right style="medium">
        <color rgb="FF000000"/>
      </right>
      <top style="medium">
        <color indexed="64"/>
      </top>
      <bottom style="medium">
        <color rgb="FF000000"/>
      </bottom>
      <diagonal/>
    </border>
    <border>
      <left/>
      <right style="medium">
        <color rgb="FF000000"/>
      </right>
      <top style="medium">
        <color indexed="64"/>
      </top>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indexed="64"/>
      </top>
      <bottom style="thin">
        <color indexed="64"/>
      </bottom>
      <diagonal/>
    </border>
    <border>
      <left/>
      <right style="medium">
        <color rgb="FF000000"/>
      </right>
      <top style="medium">
        <color rgb="FF000000"/>
      </top>
      <bottom/>
      <diagonal/>
    </border>
    <border>
      <left/>
      <right style="medium">
        <color rgb="FF000000"/>
      </right>
      <top/>
      <bottom/>
      <diagonal/>
    </border>
    <border>
      <left style="medium">
        <color rgb="FF000000"/>
      </left>
      <right style="medium">
        <color rgb="FF000000"/>
      </right>
      <top style="medium">
        <color indexed="64"/>
      </top>
      <bottom/>
      <diagonal/>
    </border>
    <border>
      <left style="medium">
        <color rgb="FF000000"/>
      </left>
      <right style="thin">
        <color indexed="64"/>
      </right>
      <top style="medium">
        <color indexed="64"/>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indexed="64"/>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diagonal/>
    </border>
    <border>
      <left style="medium">
        <color rgb="FF000000"/>
      </left>
      <right/>
      <top/>
      <bottom/>
      <diagonal/>
    </border>
    <border>
      <left/>
      <right/>
      <top/>
      <bottom style="medium">
        <color rgb="FF000000"/>
      </bottom>
      <diagonal/>
    </border>
    <border>
      <left/>
      <right style="thin">
        <color rgb="FF000000"/>
      </right>
      <top style="thin">
        <color rgb="FF000000"/>
      </top>
      <bottom style="thin">
        <color rgb="FF000000"/>
      </bottom>
      <diagonal/>
    </border>
    <border>
      <left style="medium">
        <color indexed="64"/>
      </left>
      <right/>
      <top style="thin">
        <color indexed="64"/>
      </top>
      <bottom style="medium">
        <color indexed="64"/>
      </bottom>
      <diagonal/>
    </border>
    <border>
      <left style="thin">
        <color rgb="FF000000"/>
      </left>
      <right style="thin">
        <color rgb="FF000000"/>
      </right>
      <top/>
      <bottom/>
      <diagonal/>
    </border>
    <border>
      <left style="medium">
        <color indexed="64"/>
      </left>
      <right style="medium">
        <color rgb="FF000000"/>
      </right>
      <top style="medium">
        <color rgb="FF000000"/>
      </top>
      <bottom/>
      <diagonal/>
    </border>
    <border>
      <left style="thin">
        <color rgb="FF000000"/>
      </left>
      <right/>
      <top/>
      <bottom/>
      <diagonal/>
    </border>
    <border>
      <left/>
      <right/>
      <top style="medium">
        <color rgb="FF000000"/>
      </top>
      <bottom style="medium">
        <color indexed="64"/>
      </bottom>
      <diagonal/>
    </border>
    <border>
      <left style="medium">
        <color rgb="FF000000"/>
      </left>
      <right/>
      <top style="medium">
        <color indexed="64"/>
      </top>
      <bottom style="thin">
        <color indexed="64"/>
      </bottom>
      <diagonal/>
    </border>
    <border>
      <left style="medium">
        <color rgb="FF000000"/>
      </left>
      <right/>
      <top style="medium">
        <color indexed="64"/>
      </top>
      <bottom/>
      <diagonal/>
    </border>
    <border>
      <left style="medium">
        <color rgb="FF000000"/>
      </left>
      <right/>
      <top style="medium">
        <color rgb="FF000000"/>
      </top>
      <bottom style="medium">
        <color indexed="64"/>
      </bottom>
      <diagonal/>
    </border>
    <border>
      <left style="medium">
        <color rgb="FF000000"/>
      </left>
      <right style="medium">
        <color indexed="64"/>
      </right>
      <top style="medium">
        <color indexed="64"/>
      </top>
      <bottom style="medium">
        <color indexed="64"/>
      </bottom>
      <diagonal/>
    </border>
    <border>
      <left style="medium">
        <color indexed="64"/>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rgb="FF000000"/>
      </bottom>
      <diagonal/>
    </border>
    <border>
      <left/>
      <right/>
      <top style="thin">
        <color rgb="FF000000"/>
      </top>
      <bottom style="thin">
        <color rgb="FF000000"/>
      </bottom>
      <diagonal/>
    </border>
    <border>
      <left/>
      <right style="medium">
        <color indexed="64"/>
      </right>
      <top style="medium">
        <color rgb="FF000000"/>
      </top>
      <bottom/>
      <diagonal/>
    </border>
    <border>
      <left style="medium">
        <color rgb="FF000000"/>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rgb="FF000000"/>
      </top>
      <bottom/>
      <diagonal/>
    </border>
    <border>
      <left style="medium">
        <color rgb="FF000000"/>
      </left>
      <right style="medium">
        <color indexed="64"/>
      </right>
      <top style="medium">
        <color rgb="FF000000"/>
      </top>
      <bottom/>
      <diagonal/>
    </border>
    <border>
      <left style="medium">
        <color rgb="FF000000"/>
      </left>
      <right style="thin">
        <color indexed="64"/>
      </right>
      <top style="medium">
        <color indexed="64"/>
      </top>
      <bottom style="thin">
        <color indexed="64"/>
      </bottom>
      <diagonal/>
    </border>
    <border>
      <left style="thin">
        <color indexed="64"/>
      </left>
      <right/>
      <top style="medium">
        <color indexed="64"/>
      </top>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medium">
        <color rgb="FF000000"/>
      </left>
      <right style="thin">
        <color indexed="64"/>
      </right>
      <top/>
      <bottom style="medium">
        <color rgb="FF000000"/>
      </bottom>
      <diagonal/>
    </border>
    <border>
      <left/>
      <right style="medium">
        <color rgb="FF000000"/>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rgb="FF000000"/>
      </left>
      <right style="medium">
        <color indexed="64"/>
      </right>
      <top/>
      <bottom style="medium">
        <color indexed="64"/>
      </bottom>
      <diagonal/>
    </border>
    <border>
      <left style="medium">
        <color indexed="64"/>
      </left>
      <right style="thin">
        <color rgb="FF000000"/>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diagonal/>
    </border>
    <border>
      <left style="thin">
        <color rgb="FF000000"/>
      </left>
      <right/>
      <top style="medium">
        <color indexed="64"/>
      </top>
      <bottom/>
      <diagonal/>
    </border>
    <border>
      <left/>
      <right style="thin">
        <color rgb="FF000000"/>
      </right>
      <top style="thin">
        <color rgb="FF000000"/>
      </top>
      <bottom style="medium">
        <color indexed="64"/>
      </bottom>
      <diagonal/>
    </border>
    <border>
      <left style="medium">
        <color indexed="64"/>
      </left>
      <right/>
      <top style="thin">
        <color rgb="FF000000"/>
      </top>
      <bottom style="thin">
        <color rgb="FF000000"/>
      </bottom>
      <diagonal/>
    </border>
    <border>
      <left style="thin">
        <color rgb="FF000000"/>
      </left>
      <right style="thin">
        <color rgb="FF000000"/>
      </right>
      <top/>
      <bottom style="medium">
        <color indexed="64"/>
      </bottom>
      <diagonal/>
    </border>
    <border>
      <left style="medium">
        <color indexed="64"/>
      </left>
      <right/>
      <top style="thin">
        <color rgb="FF000000"/>
      </top>
      <bottom style="medium">
        <color indexed="64"/>
      </bottom>
      <diagonal/>
    </border>
    <border>
      <left style="thin">
        <color rgb="FF000000"/>
      </left>
      <right/>
      <top/>
      <bottom style="medium">
        <color indexed="64"/>
      </bottom>
      <diagonal/>
    </border>
    <border>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right style="thin">
        <color rgb="FF000000"/>
      </right>
      <top style="thin">
        <color rgb="FF000000"/>
      </top>
      <bottom/>
      <diagonal/>
    </border>
    <border>
      <left style="medium">
        <color indexed="64"/>
      </left>
      <right/>
      <top style="medium">
        <color indexed="64"/>
      </top>
      <bottom style="thin">
        <color rgb="FF000000"/>
      </bottom>
      <diagonal/>
    </border>
    <border>
      <left style="medium">
        <color indexed="64"/>
      </left>
      <right/>
      <top style="thin">
        <color rgb="FF000000"/>
      </top>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thin">
        <color indexed="64"/>
      </right>
      <top style="medium">
        <color rgb="FF000000"/>
      </top>
      <bottom style="thin">
        <color indexed="64"/>
      </bottom>
      <diagonal/>
    </border>
    <border>
      <left/>
      <right style="medium">
        <color rgb="FF000000"/>
      </right>
      <top style="medium">
        <color rgb="FF000000"/>
      </top>
      <bottom style="thin">
        <color rgb="FF000000"/>
      </bottom>
      <diagonal/>
    </border>
    <border>
      <left style="medium">
        <color rgb="FF000000"/>
      </left>
      <right style="thin">
        <color indexed="64"/>
      </right>
      <top/>
      <bottom style="thin">
        <color indexed="64"/>
      </bottom>
      <diagonal/>
    </border>
    <border>
      <left/>
      <right style="medium">
        <color rgb="FF000000"/>
      </right>
      <top/>
      <bottom style="thin">
        <color rgb="FF000000"/>
      </bottom>
      <diagonal/>
    </border>
    <border>
      <left/>
      <right style="thin">
        <color indexed="64"/>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style="medium">
        <color indexed="64"/>
      </bottom>
      <diagonal/>
    </border>
    <border>
      <left/>
      <right/>
      <top style="medium">
        <color indexed="64"/>
      </top>
      <bottom style="medium">
        <color rgb="FF000000"/>
      </bottom>
      <diagonal/>
    </border>
    <border>
      <left/>
      <right style="medium">
        <color rgb="FF000000"/>
      </right>
      <top style="medium">
        <color indexed="64"/>
      </top>
      <bottom style="medium">
        <color rgb="FF000000"/>
      </bottom>
      <diagonal/>
    </border>
    <border>
      <left style="thin">
        <color indexed="64"/>
      </left>
      <right style="medium">
        <color indexed="64"/>
      </right>
      <top/>
      <bottom style="medium">
        <color indexed="64"/>
      </bottom>
      <diagonal/>
    </border>
    <border>
      <left style="medium">
        <color rgb="FF000000"/>
      </left>
      <right style="medium">
        <color rgb="FF000000"/>
      </right>
      <top/>
      <bottom style="thin">
        <color indexed="64"/>
      </bottom>
      <diagonal/>
    </border>
    <border>
      <left style="thin">
        <color rgb="FF000000"/>
      </left>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medium">
        <color rgb="FF000000"/>
      </left>
      <right/>
      <top/>
      <bottom style="thin">
        <color indexed="64"/>
      </bottom>
      <diagonal/>
    </border>
    <border>
      <left style="medium">
        <color rgb="FF000000"/>
      </left>
      <right/>
      <top style="thin">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top style="medium">
        <color indexed="64"/>
      </top>
      <bottom style="medium">
        <color rgb="FF000000"/>
      </bottom>
      <diagonal/>
    </border>
    <border>
      <left style="medium">
        <color rgb="FF000000"/>
      </left>
      <right/>
      <top style="thin">
        <color rgb="FF000000"/>
      </top>
      <bottom style="medium">
        <color rgb="FF000000"/>
      </bottom>
      <diagonal/>
    </border>
    <border>
      <left style="hair">
        <color indexed="64"/>
      </left>
      <right/>
      <top style="medium">
        <color indexed="64"/>
      </top>
      <bottom style="medium">
        <color indexed="64"/>
      </bottom>
      <diagonal/>
    </border>
    <border>
      <left style="medium">
        <color rgb="FF000000"/>
      </left>
      <right style="hair">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rgb="FF000000"/>
      </left>
      <right style="hair">
        <color indexed="64"/>
      </right>
      <top/>
      <bottom style="hair">
        <color indexed="64"/>
      </bottom>
      <diagonal/>
    </border>
    <border>
      <left style="medium">
        <color rgb="FF000000"/>
      </left>
      <right style="hair">
        <color indexed="64"/>
      </right>
      <top style="medium">
        <color indexed="64"/>
      </top>
      <bottom style="medium">
        <color indexed="64"/>
      </bottom>
      <diagonal/>
    </border>
    <border>
      <left style="medium">
        <color rgb="FF000000"/>
      </left>
      <right/>
      <top style="medium">
        <color indexed="64"/>
      </top>
      <bottom style="hair">
        <color indexed="64"/>
      </bottom>
      <diagonal/>
    </border>
    <border>
      <left style="medium">
        <color rgb="FF000000"/>
      </left>
      <right/>
      <top/>
      <bottom style="hair">
        <color indexed="64"/>
      </bottom>
      <diagonal/>
    </border>
    <border>
      <left style="thin">
        <color indexed="64"/>
      </left>
      <right style="thin">
        <color rgb="FF000000"/>
      </right>
      <top style="medium">
        <color indexed="64"/>
      </top>
      <bottom/>
      <diagonal/>
    </border>
    <border>
      <left style="thin">
        <color indexed="64"/>
      </left>
      <right style="thin">
        <color rgb="FF000000"/>
      </right>
      <top/>
      <bottom/>
      <diagonal/>
    </border>
    <border>
      <left style="thin">
        <color indexed="64"/>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indexed="64"/>
      </top>
      <bottom style="medium">
        <color rgb="FF000000"/>
      </bottom>
      <diagonal/>
    </border>
    <border>
      <left/>
      <right/>
      <top style="thin">
        <color indexed="64"/>
      </top>
      <bottom/>
      <diagonal/>
    </border>
    <border>
      <left style="thin">
        <color indexed="64"/>
      </left>
      <right style="thin">
        <color indexed="64"/>
      </right>
      <top/>
      <bottom/>
      <diagonal/>
    </border>
    <border>
      <left/>
      <right style="medium">
        <color indexed="64"/>
      </right>
      <top style="thin">
        <color indexed="64"/>
      </top>
      <bottom/>
      <diagonal/>
    </border>
    <border>
      <left/>
      <right style="medium">
        <color indexed="64"/>
      </right>
      <top style="thin">
        <color rgb="FF000000"/>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style="medium">
        <color indexed="64"/>
      </top>
      <bottom style="thin">
        <color indexed="64"/>
      </bottom>
      <diagonal/>
    </border>
    <border>
      <left style="medium">
        <color indexed="64"/>
      </left>
      <right style="medium">
        <color rgb="FF000000"/>
      </right>
      <top style="medium">
        <color indexed="64"/>
      </top>
      <bottom style="thin">
        <color indexed="64"/>
      </bottom>
      <diagonal/>
    </border>
    <border>
      <left/>
      <right style="medium">
        <color indexed="64"/>
      </right>
      <top style="medium">
        <color indexed="64"/>
      </top>
      <bottom style="medium">
        <color rgb="FF000000"/>
      </bottom>
      <diagonal/>
    </border>
  </borders>
  <cellStyleXfs count="4">
    <xf numFmtId="0" fontId="0" fillId="0" borderId="0"/>
    <xf numFmtId="0" fontId="6" fillId="0" borderId="0"/>
    <xf numFmtId="0" fontId="6" fillId="0" borderId="0"/>
    <xf numFmtId="0" fontId="6" fillId="0" borderId="0"/>
  </cellStyleXfs>
  <cellXfs count="914">
    <xf numFmtId="0" fontId="0" fillId="0" borderId="0" xfId="0"/>
    <xf numFmtId="0" fontId="11" fillId="0" borderId="0" xfId="0" applyFont="1"/>
    <xf numFmtId="0" fontId="15" fillId="0" borderId="0" xfId="0" applyFont="1"/>
    <xf numFmtId="0" fontId="14" fillId="0" borderId="2" xfId="0" applyFont="1" applyBorder="1" applyAlignment="1">
      <alignment horizontal="center" vertical="center"/>
    </xf>
    <xf numFmtId="0" fontId="0" fillId="5" borderId="0" xfId="0" applyFill="1"/>
    <xf numFmtId="0" fontId="13" fillId="0" borderId="0" xfId="0" applyFont="1"/>
    <xf numFmtId="0" fontId="13" fillId="0" borderId="0" xfId="0" applyFont="1" applyAlignment="1">
      <alignment horizontal="center" vertical="center"/>
    </xf>
    <xf numFmtId="2" fontId="17" fillId="7" borderId="15" xfId="0" applyNumberFormat="1" applyFont="1" applyFill="1" applyBorder="1" applyAlignment="1">
      <alignment horizontal="center" vertical="center"/>
    </xf>
    <xf numFmtId="0" fontId="2" fillId="0" borderId="0" xfId="0" applyFont="1" applyProtection="1">
      <protection locked="0"/>
    </xf>
    <xf numFmtId="0" fontId="1" fillId="7" borderId="0" xfId="0" applyFont="1" applyFill="1" applyAlignment="1" applyProtection="1">
      <alignment horizontal="center"/>
      <protection locked="0"/>
    </xf>
    <xf numFmtId="0" fontId="2" fillId="7" borderId="0" xfId="0" applyFont="1" applyFill="1" applyProtection="1">
      <protection locked="0"/>
    </xf>
    <xf numFmtId="165" fontId="2" fillId="7" borderId="0" xfId="0" applyNumberFormat="1" applyFont="1" applyFill="1" applyProtection="1">
      <protection locked="0"/>
    </xf>
    <xf numFmtId="2" fontId="1" fillId="7" borderId="0" xfId="0" applyNumberFormat="1" applyFont="1" applyFill="1"/>
    <xf numFmtId="0" fontId="14" fillId="0" borderId="2" xfId="0" applyFont="1" applyBorder="1" applyAlignment="1">
      <alignment horizontal="center"/>
    </xf>
    <xf numFmtId="2" fontId="19" fillId="0" borderId="13" xfId="0" applyNumberFormat="1" applyFont="1" applyBorder="1" applyAlignment="1">
      <alignment horizontal="center"/>
    </xf>
    <xf numFmtId="164" fontId="11" fillId="0" borderId="0" xfId="0" applyNumberFormat="1" applyFont="1" applyAlignment="1">
      <alignment horizontal="center"/>
    </xf>
    <xf numFmtId="16" fontId="5" fillId="0" borderId="0" xfId="0" applyNumberFormat="1" applyFont="1" applyAlignment="1">
      <alignment horizontal="center" vertical="center" wrapText="1"/>
    </xf>
    <xf numFmtId="0" fontId="5" fillId="0" borderId="0" xfId="0" applyFont="1" applyAlignment="1">
      <alignment horizontal="center"/>
    </xf>
    <xf numFmtId="165" fontId="5" fillId="0" borderId="0" xfId="0" applyNumberFormat="1" applyFont="1" applyAlignment="1">
      <alignment horizontal="center"/>
    </xf>
    <xf numFmtId="165" fontId="20" fillId="0" borderId="0" xfId="0" applyNumberFormat="1" applyFont="1" applyAlignment="1">
      <alignment horizontal="center"/>
    </xf>
    <xf numFmtId="0" fontId="17" fillId="7" borderId="42" xfId="0" applyFont="1" applyFill="1" applyBorder="1" applyAlignment="1">
      <alignment horizontal="center" vertical="center" wrapText="1"/>
    </xf>
    <xf numFmtId="0" fontId="0" fillId="0" borderId="0" xfId="0" applyAlignment="1">
      <alignment horizontal="center"/>
    </xf>
    <xf numFmtId="0" fontId="11" fillId="0" borderId="0" xfId="0" applyFont="1" applyAlignment="1">
      <alignment horizontal="center"/>
    </xf>
    <xf numFmtId="165" fontId="20" fillId="7" borderId="0" xfId="0" applyNumberFormat="1" applyFont="1" applyFill="1" applyAlignment="1">
      <alignment horizontal="center"/>
    </xf>
    <xf numFmtId="0" fontId="11" fillId="0" borderId="0" xfId="0" applyFont="1" applyAlignment="1">
      <alignment horizontal="center" vertical="center"/>
    </xf>
    <xf numFmtId="16" fontId="23" fillId="0" borderId="0" xfId="0" applyNumberFormat="1" applyFont="1" applyAlignment="1">
      <alignment horizontal="center" vertical="center" wrapText="1"/>
    </xf>
    <xf numFmtId="165" fontId="23" fillId="0" borderId="0" xfId="0" applyNumberFormat="1" applyFont="1" applyAlignment="1">
      <alignment horizontal="center"/>
    </xf>
    <xf numFmtId="0" fontId="24" fillId="0" borderId="0" xfId="0" applyFont="1"/>
    <xf numFmtId="49" fontId="7" fillId="7" borderId="0" xfId="0" applyNumberFormat="1" applyFont="1" applyFill="1" applyAlignment="1" applyProtection="1">
      <alignment horizontal="center"/>
      <protection locked="0"/>
    </xf>
    <xf numFmtId="0" fontId="25" fillId="0" borderId="0" xfId="0" applyFont="1"/>
    <xf numFmtId="0" fontId="14" fillId="0" borderId="2" xfId="0" applyFont="1" applyBorder="1" applyAlignment="1">
      <alignment horizontal="center" vertical="center" wrapText="1"/>
    </xf>
    <xf numFmtId="0" fontId="14" fillId="0" borderId="25" xfId="0" applyFont="1" applyBorder="1" applyAlignment="1">
      <alignment horizontal="center" vertical="center" wrapText="1"/>
    </xf>
    <xf numFmtId="0" fontId="19" fillId="0" borderId="24" xfId="0" applyFont="1" applyBorder="1" applyAlignment="1">
      <alignment horizontal="center" vertical="center"/>
    </xf>
    <xf numFmtId="0" fontId="17" fillId="7" borderId="14" xfId="0" applyFont="1" applyFill="1" applyBorder="1" applyAlignment="1">
      <alignment horizontal="center" vertical="center"/>
    </xf>
    <xf numFmtId="0" fontId="17" fillId="7" borderId="20" xfId="0" applyFont="1" applyFill="1" applyBorder="1" applyAlignment="1">
      <alignment horizontal="center" vertical="center"/>
    </xf>
    <xf numFmtId="0" fontId="14" fillId="0" borderId="14" xfId="0" applyFont="1" applyBorder="1" applyAlignment="1">
      <alignment horizontal="center" vertical="center"/>
    </xf>
    <xf numFmtId="0" fontId="19" fillId="7" borderId="35" xfId="0" applyFont="1" applyFill="1" applyBorder="1" applyAlignment="1">
      <alignment horizontal="center" vertical="center"/>
    </xf>
    <xf numFmtId="0" fontId="14" fillId="0" borderId="35" xfId="0" applyFont="1" applyBorder="1" applyAlignment="1">
      <alignment horizontal="center" vertical="center"/>
    </xf>
    <xf numFmtId="0" fontId="0" fillId="0" borderId="0" xfId="0" applyAlignment="1">
      <alignment vertical="center"/>
    </xf>
    <xf numFmtId="0" fontId="14" fillId="0" borderId="1" xfId="0" applyFont="1" applyBorder="1"/>
    <xf numFmtId="0" fontId="1" fillId="0" borderId="1" xfId="0" applyFont="1" applyBorder="1" applyProtection="1">
      <protection locked="0"/>
    </xf>
    <xf numFmtId="0" fontId="0" fillId="11" borderId="0" xfId="0" applyFill="1"/>
    <xf numFmtId="0" fontId="0" fillId="12" borderId="0" xfId="0" applyFill="1"/>
    <xf numFmtId="0" fontId="0" fillId="12" borderId="0" xfId="0" applyFill="1" applyAlignment="1">
      <alignment horizontal="center"/>
    </xf>
    <xf numFmtId="0" fontId="26" fillId="12" borderId="0" xfId="0" applyFont="1" applyFill="1"/>
    <xf numFmtId="165" fontId="26" fillId="12" borderId="0" xfId="0" applyNumberFormat="1" applyFont="1" applyFill="1"/>
    <xf numFmtId="164" fontId="0" fillId="7" borderId="7" xfId="0" applyNumberFormat="1" applyFill="1" applyBorder="1" applyAlignment="1">
      <alignment horizontal="center"/>
    </xf>
    <xf numFmtId="0" fontId="14" fillId="0" borderId="1" xfId="0" quotePrefix="1" applyFont="1" applyBorder="1" applyAlignment="1">
      <alignment horizontal="center" vertical="center"/>
    </xf>
    <xf numFmtId="165" fontId="14" fillId="0" borderId="1" xfId="0" applyNumberFormat="1" applyFont="1" applyBorder="1" applyAlignment="1">
      <alignment horizontal="center" vertical="center"/>
    </xf>
    <xf numFmtId="2" fontId="14" fillId="0" borderId="1" xfId="0" applyNumberFormat="1" applyFont="1" applyBorder="1" applyAlignment="1">
      <alignment horizontal="center"/>
    </xf>
    <xf numFmtId="2" fontId="14" fillId="0" borderId="1" xfId="0" applyNumberFormat="1" applyFont="1" applyBorder="1" applyAlignment="1">
      <alignment horizontal="center" vertical="center"/>
    </xf>
    <xf numFmtId="0" fontId="14" fillId="0" borderId="1" xfId="0" applyFont="1" applyBorder="1" applyAlignment="1">
      <alignment horizontal="center" vertical="center" wrapText="1"/>
    </xf>
    <xf numFmtId="0" fontId="0" fillId="0" borderId="0" xfId="0" applyAlignment="1">
      <alignment horizontal="center" vertical="center"/>
    </xf>
    <xf numFmtId="166" fontId="21" fillId="0" borderId="1" xfId="0" applyNumberFormat="1" applyFont="1" applyBorder="1" applyAlignment="1">
      <alignment horizontal="center" vertical="center"/>
    </xf>
    <xf numFmtId="0" fontId="21" fillId="0" borderId="1" xfId="0" applyFont="1" applyBorder="1" applyAlignment="1">
      <alignment horizontal="center" vertical="center"/>
    </xf>
    <xf numFmtId="1" fontId="14" fillId="0" borderId="1" xfId="0" applyNumberFormat="1" applyFont="1" applyBorder="1" applyAlignment="1">
      <alignment horizontal="center" vertical="center"/>
    </xf>
    <xf numFmtId="0" fontId="11" fillId="0" borderId="0" xfId="0" applyFont="1" applyAlignment="1">
      <alignment vertical="center"/>
    </xf>
    <xf numFmtId="0" fontId="14" fillId="0" borderId="19" xfId="0" applyFont="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164" fontId="18" fillId="0" borderId="2" xfId="0" applyNumberFormat="1" applyFont="1" applyBorder="1" applyAlignment="1">
      <alignment horizontal="center"/>
    </xf>
    <xf numFmtId="0" fontId="18" fillId="0" borderId="2" xfId="0" applyFont="1" applyBorder="1" applyAlignment="1">
      <alignment horizontal="center"/>
    </xf>
    <xf numFmtId="0" fontId="13" fillId="0" borderId="0" xfId="0" applyFont="1" applyAlignment="1">
      <alignment vertical="center"/>
    </xf>
    <xf numFmtId="0" fontId="31" fillId="19" borderId="2" xfId="0" applyFont="1" applyFill="1" applyBorder="1" applyAlignment="1">
      <alignment horizontal="center" vertical="center"/>
    </xf>
    <xf numFmtId="0" fontId="10" fillId="0" borderId="2" xfId="0" applyFont="1" applyBorder="1" applyAlignment="1">
      <alignment horizontal="center" vertical="center"/>
    </xf>
    <xf numFmtId="0" fontId="19" fillId="7" borderId="0" xfId="0" applyFont="1" applyFill="1"/>
    <xf numFmtId="0" fontId="29" fillId="0" borderId="0" xfId="0" applyFont="1"/>
    <xf numFmtId="0" fontId="14" fillId="0" borderId="13" xfId="0" applyFont="1" applyBorder="1" applyAlignment="1">
      <alignment horizontal="center" vertical="center"/>
    </xf>
    <xf numFmtId="0" fontId="41" fillId="13" borderId="2" xfId="1" applyFont="1" applyFill="1" applyBorder="1" applyAlignment="1">
      <alignment horizontal="center" vertical="center" wrapText="1"/>
    </xf>
    <xf numFmtId="0" fontId="4" fillId="13" borderId="2" xfId="1" applyFont="1" applyFill="1" applyBorder="1" applyAlignment="1">
      <alignment horizontal="center" vertical="center" wrapText="1"/>
    </xf>
    <xf numFmtId="0" fontId="41" fillId="24" borderId="2" xfId="1" applyFont="1" applyFill="1" applyBorder="1" applyAlignment="1">
      <alignment horizontal="center" vertical="center" wrapText="1"/>
    </xf>
    <xf numFmtId="0" fontId="4" fillId="24" borderId="2" xfId="1" applyFont="1" applyFill="1" applyBorder="1" applyAlignment="1">
      <alignment horizontal="center" vertical="center" wrapText="1"/>
    </xf>
    <xf numFmtId="0" fontId="19" fillId="0" borderId="0" xfId="0" applyFont="1" applyAlignment="1">
      <alignment vertical="center"/>
    </xf>
    <xf numFmtId="0" fontId="43" fillId="26" borderId="2" xfId="1" applyFont="1" applyFill="1" applyBorder="1"/>
    <xf numFmtId="0" fontId="43" fillId="26" borderId="2" xfId="1" applyFont="1" applyFill="1" applyBorder="1" applyAlignment="1">
      <alignment horizontal="center"/>
    </xf>
    <xf numFmtId="0" fontId="43" fillId="26" borderId="11" xfId="1" applyFont="1" applyFill="1" applyBorder="1" applyAlignment="1">
      <alignment horizontal="center"/>
    </xf>
    <xf numFmtId="0" fontId="44" fillId="26" borderId="2" xfId="1" applyFont="1" applyFill="1" applyBorder="1" applyAlignment="1">
      <alignment horizontal="center"/>
    </xf>
    <xf numFmtId="0" fontId="19" fillId="0" borderId="0" xfId="0" quotePrefix="1" applyFont="1" applyAlignment="1">
      <alignment vertical="center"/>
    </xf>
    <xf numFmtId="49" fontId="45" fillId="26" borderId="22" xfId="1" applyNumberFormat="1" applyFont="1" applyFill="1" applyBorder="1" applyAlignment="1">
      <alignment horizontal="center"/>
    </xf>
    <xf numFmtId="0" fontId="2" fillId="13" borderId="33" xfId="2" applyFont="1" applyFill="1" applyBorder="1" applyAlignment="1" applyProtection="1">
      <alignment horizontal="center" vertical="center"/>
      <protection locked="0"/>
    </xf>
    <xf numFmtId="165" fontId="46" fillId="7" borderId="28" xfId="2" applyNumberFormat="1" applyFont="1" applyFill="1" applyBorder="1" applyAlignment="1">
      <alignment horizontal="center"/>
    </xf>
    <xf numFmtId="0" fontId="6" fillId="0" borderId="0" xfId="1"/>
    <xf numFmtId="49" fontId="45" fillId="26" borderId="31" xfId="1" applyNumberFormat="1" applyFont="1" applyFill="1" applyBorder="1" applyAlignment="1">
      <alignment horizontal="center"/>
    </xf>
    <xf numFmtId="0" fontId="2" fillId="13" borderId="8" xfId="2" applyFont="1" applyFill="1" applyBorder="1" applyAlignment="1" applyProtection="1">
      <alignment horizontal="center" vertical="center"/>
      <protection locked="0"/>
    </xf>
    <xf numFmtId="49" fontId="45" fillId="26" borderId="32" xfId="1" applyNumberFormat="1" applyFont="1" applyFill="1" applyBorder="1" applyAlignment="1">
      <alignment horizontal="center"/>
    </xf>
    <xf numFmtId="49" fontId="45" fillId="26" borderId="30" xfId="1" applyNumberFormat="1" applyFont="1" applyFill="1" applyBorder="1" applyAlignment="1">
      <alignment horizontal="center"/>
    </xf>
    <xf numFmtId="49" fontId="45" fillId="26" borderId="64" xfId="1" applyNumberFormat="1" applyFont="1" applyFill="1" applyBorder="1" applyAlignment="1">
      <alignment horizontal="center"/>
    </xf>
    <xf numFmtId="49" fontId="45" fillId="26" borderId="13" xfId="1" applyNumberFormat="1" applyFont="1" applyFill="1" applyBorder="1" applyAlignment="1">
      <alignment horizontal="center"/>
    </xf>
    <xf numFmtId="165" fontId="48" fillId="7" borderId="8" xfId="1" applyNumberFormat="1" applyFont="1" applyFill="1" applyBorder="1" applyAlignment="1">
      <alignment horizontal="center"/>
    </xf>
    <xf numFmtId="49" fontId="45" fillId="26" borderId="12" xfId="1" applyNumberFormat="1" applyFont="1" applyFill="1" applyBorder="1" applyAlignment="1">
      <alignment horizontal="center"/>
    </xf>
    <xf numFmtId="165" fontId="50" fillId="7" borderId="8" xfId="1" applyNumberFormat="1" applyFont="1" applyFill="1" applyBorder="1" applyAlignment="1">
      <alignment horizontal="center"/>
    </xf>
    <xf numFmtId="49" fontId="45" fillId="26" borderId="5" xfId="1" applyNumberFormat="1" applyFont="1" applyFill="1" applyBorder="1" applyAlignment="1">
      <alignment horizontal="center"/>
    </xf>
    <xf numFmtId="49" fontId="45" fillId="26" borderId="9" xfId="1" applyNumberFormat="1" applyFont="1" applyFill="1" applyBorder="1" applyAlignment="1">
      <alignment horizontal="center"/>
    </xf>
    <xf numFmtId="2" fontId="48" fillId="7" borderId="34" xfId="1" applyNumberFormat="1" applyFont="1" applyFill="1" applyBorder="1" applyAlignment="1">
      <alignment horizontal="center"/>
    </xf>
    <xf numFmtId="165" fontId="48" fillId="7" borderId="14" xfId="0" applyNumberFormat="1" applyFont="1" applyFill="1" applyBorder="1" applyAlignment="1">
      <alignment horizontal="center"/>
    </xf>
    <xf numFmtId="0" fontId="19" fillId="0" borderId="0" xfId="0" applyFont="1"/>
    <xf numFmtId="0" fontId="14" fillId="14" borderId="66" xfId="0" applyFont="1" applyFill="1" applyBorder="1"/>
    <xf numFmtId="164" fontId="18" fillId="0" borderId="72" xfId="0" applyNumberFormat="1" applyFont="1" applyBorder="1" applyAlignment="1">
      <alignment horizontal="center"/>
    </xf>
    <xf numFmtId="0" fontId="18" fillId="0" borderId="73" xfId="0" applyFont="1" applyBorder="1" applyAlignment="1">
      <alignment horizontal="center"/>
    </xf>
    <xf numFmtId="164" fontId="18" fillId="0" borderId="74" xfId="0" applyNumberFormat="1" applyFont="1" applyBorder="1" applyAlignment="1">
      <alignment horizontal="center"/>
    </xf>
    <xf numFmtId="0" fontId="18" fillId="0" borderId="46" xfId="0" applyFont="1" applyBorder="1" applyAlignment="1">
      <alignment horizontal="center"/>
    </xf>
    <xf numFmtId="0" fontId="15" fillId="14" borderId="77" xfId="0" applyFont="1" applyFill="1" applyBorder="1" applyAlignment="1">
      <alignment horizontal="center"/>
    </xf>
    <xf numFmtId="0" fontId="14" fillId="13" borderId="25" xfId="0" applyFont="1" applyFill="1" applyBorder="1" applyAlignment="1">
      <alignment horizontal="center"/>
    </xf>
    <xf numFmtId="0" fontId="14" fillId="13" borderId="2" xfId="0" applyFont="1" applyFill="1" applyBorder="1" applyAlignment="1">
      <alignment horizontal="center"/>
    </xf>
    <xf numFmtId="0" fontId="12" fillId="6" borderId="2" xfId="0" applyFont="1" applyFill="1" applyBorder="1" applyAlignment="1">
      <alignment horizontal="center"/>
    </xf>
    <xf numFmtId="0" fontId="14" fillId="13" borderId="8" xfId="0" applyFont="1" applyFill="1" applyBorder="1" applyAlignment="1">
      <alignment horizontal="center"/>
    </xf>
    <xf numFmtId="0" fontId="0" fillId="0" borderId="38" xfId="0" applyBorder="1"/>
    <xf numFmtId="0" fontId="14" fillId="3" borderId="31" xfId="0" applyFont="1" applyFill="1" applyBorder="1" applyAlignment="1">
      <alignment horizontal="center"/>
    </xf>
    <xf numFmtId="0" fontId="14" fillId="4" borderId="8" xfId="0" applyFont="1" applyFill="1" applyBorder="1" applyAlignment="1">
      <alignment horizontal="center"/>
    </xf>
    <xf numFmtId="0" fontId="0" fillId="7" borderId="0" xfId="0" applyFill="1"/>
    <xf numFmtId="0" fontId="14" fillId="0" borderId="0" xfId="0" applyFont="1"/>
    <xf numFmtId="0" fontId="14" fillId="0" borderId="0" xfId="0" applyFont="1" applyAlignment="1">
      <alignment vertical="center"/>
    </xf>
    <xf numFmtId="0" fontId="14" fillId="28" borderId="8" xfId="0" applyFont="1" applyFill="1" applyBorder="1" applyAlignment="1">
      <alignment horizontal="center"/>
    </xf>
    <xf numFmtId="0" fontId="14" fillId="13" borderId="2" xfId="0" applyFont="1" applyFill="1" applyBorder="1" applyAlignment="1" applyProtection="1">
      <alignment horizontal="center"/>
      <protection hidden="1"/>
    </xf>
    <xf numFmtId="0" fontId="14" fillId="0" borderId="1" xfId="0" applyFont="1" applyBorder="1" applyAlignment="1">
      <alignment horizontal="center" vertical="center"/>
    </xf>
    <xf numFmtId="0" fontId="14" fillId="0" borderId="13" xfId="0" applyFont="1" applyBorder="1" applyAlignment="1">
      <alignment horizontal="center" vertical="center" wrapText="1"/>
    </xf>
    <xf numFmtId="0" fontId="14" fillId="0" borderId="12" xfId="0" applyFont="1" applyBorder="1" applyAlignment="1">
      <alignment horizontal="center"/>
    </xf>
    <xf numFmtId="0" fontId="21" fillId="0" borderId="2" xfId="0" applyFont="1" applyBorder="1" applyAlignment="1">
      <alignment horizontal="center" vertical="center"/>
    </xf>
    <xf numFmtId="165" fontId="58" fillId="13" borderId="7" xfId="0" applyNumberFormat="1" applyFont="1" applyFill="1" applyBorder="1" applyAlignment="1" applyProtection="1">
      <alignment horizontal="center"/>
      <protection hidden="1"/>
    </xf>
    <xf numFmtId="165" fontId="58" fillId="28" borderId="7" xfId="0" applyNumberFormat="1" applyFont="1" applyFill="1" applyBorder="1" applyAlignment="1" applyProtection="1">
      <alignment horizontal="center"/>
      <protection hidden="1"/>
    </xf>
    <xf numFmtId="0" fontId="11" fillId="7" borderId="0" xfId="0" applyFont="1" applyFill="1"/>
    <xf numFmtId="165" fontId="11" fillId="7" borderId="0" xfId="0" applyNumberFormat="1" applyFont="1" applyFill="1"/>
    <xf numFmtId="0" fontId="12" fillId="7" borderId="0" xfId="0" applyFont="1" applyFill="1" applyAlignment="1">
      <alignment horizontal="center"/>
    </xf>
    <xf numFmtId="0" fontId="12" fillId="7" borderId="0" xfId="0" applyFont="1" applyFill="1" applyAlignment="1" applyProtection="1">
      <alignment horizontal="center"/>
      <protection hidden="1"/>
    </xf>
    <xf numFmtId="165" fontId="58" fillId="16" borderId="2" xfId="0" applyNumberFormat="1" applyFont="1" applyFill="1" applyBorder="1" applyAlignment="1" applyProtection="1">
      <alignment horizontal="center" vertical="center"/>
      <protection hidden="1"/>
    </xf>
    <xf numFmtId="0" fontId="60" fillId="29" borderId="81" xfId="0" applyFont="1" applyFill="1" applyBorder="1" applyAlignment="1">
      <alignment horizontal="center"/>
    </xf>
    <xf numFmtId="0" fontId="60" fillId="10" borderId="82" xfId="0" applyFont="1" applyFill="1" applyBorder="1" applyAlignment="1">
      <alignment horizontal="center"/>
    </xf>
    <xf numFmtId="0" fontId="61" fillId="0" borderId="0" xfId="0" applyFont="1"/>
    <xf numFmtId="2" fontId="22" fillId="9" borderId="17" xfId="0" applyNumberFormat="1" applyFont="1" applyFill="1" applyBorder="1" applyAlignment="1">
      <alignment horizontal="right"/>
    </xf>
    <xf numFmtId="2" fontId="22" fillId="9" borderId="18" xfId="0" applyNumberFormat="1" applyFont="1" applyFill="1" applyBorder="1" applyAlignment="1">
      <alignment horizontal="right"/>
    </xf>
    <xf numFmtId="0" fontId="0" fillId="0" borderId="0" xfId="0" applyAlignment="1">
      <alignment horizontal="right"/>
    </xf>
    <xf numFmtId="0" fontId="21" fillId="19" borderId="2" xfId="0" applyFont="1" applyFill="1" applyBorder="1" applyAlignment="1">
      <alignment horizontal="center" vertical="center" wrapText="1"/>
    </xf>
    <xf numFmtId="0" fontId="22" fillId="0" borderId="2" xfId="0" applyFont="1" applyBorder="1" applyAlignment="1">
      <alignment horizontal="center" vertical="center"/>
    </xf>
    <xf numFmtId="0" fontId="14" fillId="0" borderId="1" xfId="0" applyFont="1" applyBorder="1" applyAlignment="1">
      <alignment horizont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31" fillId="19" borderId="14" xfId="0" applyFont="1" applyFill="1" applyBorder="1" applyAlignment="1">
      <alignment horizontal="center" vertical="center"/>
    </xf>
    <xf numFmtId="0" fontId="0" fillId="0" borderId="13" xfId="0" applyBorder="1" applyAlignment="1">
      <alignment horizontal="center"/>
    </xf>
    <xf numFmtId="0" fontId="14" fillId="0" borderId="19" xfId="0" applyFont="1" applyBorder="1" applyAlignment="1">
      <alignment horizontal="center"/>
    </xf>
    <xf numFmtId="0" fontId="14" fillId="4" borderId="14" xfId="0" applyFont="1" applyFill="1" applyBorder="1" applyAlignment="1">
      <alignment horizontal="center"/>
    </xf>
    <xf numFmtId="0" fontId="14" fillId="4" borderId="20" xfId="0" applyFont="1" applyFill="1" applyBorder="1" applyAlignment="1">
      <alignment horizontal="center"/>
    </xf>
    <xf numFmtId="0" fontId="14" fillId="4" borderId="21" xfId="0" applyFont="1" applyFill="1" applyBorder="1" applyAlignment="1" applyProtection="1">
      <alignment horizontal="center"/>
      <protection hidden="1"/>
    </xf>
    <xf numFmtId="0" fontId="14" fillId="3" borderId="19" xfId="0" applyFont="1" applyFill="1" applyBorder="1" applyAlignment="1">
      <alignment horizontal="center"/>
    </xf>
    <xf numFmtId="0" fontId="14" fillId="3" borderId="14" xfId="0" applyFont="1" applyFill="1" applyBorder="1" applyAlignment="1">
      <alignment horizontal="center"/>
    </xf>
    <xf numFmtId="0" fontId="14" fillId="3" borderId="20" xfId="0" applyFont="1" applyFill="1" applyBorder="1" applyAlignment="1">
      <alignment horizontal="center"/>
    </xf>
    <xf numFmtId="0" fontId="14" fillId="3" borderId="14" xfId="0" applyFont="1" applyFill="1" applyBorder="1" applyAlignment="1" applyProtection="1">
      <alignment horizontal="center"/>
      <protection hidden="1"/>
    </xf>
    <xf numFmtId="0" fontId="14" fillId="28" borderId="14" xfId="0" applyFont="1" applyFill="1" applyBorder="1" applyAlignment="1">
      <alignment horizontal="center"/>
    </xf>
    <xf numFmtId="0" fontId="14" fillId="28" borderId="14" xfId="0" applyFont="1" applyFill="1" applyBorder="1" applyAlignment="1" applyProtection="1">
      <alignment horizontal="center"/>
      <protection hidden="1"/>
    </xf>
    <xf numFmtId="1" fontId="0" fillId="4" borderId="27" xfId="0" applyNumberFormat="1" applyFill="1" applyBorder="1" applyAlignment="1" applyProtection="1">
      <alignment horizontal="center"/>
      <protection locked="0"/>
    </xf>
    <xf numFmtId="1" fontId="0" fillId="4" borderId="7" xfId="0" applyNumberFormat="1" applyFill="1" applyBorder="1" applyAlignment="1" applyProtection="1">
      <alignment horizontal="center"/>
      <protection locked="0"/>
    </xf>
    <xf numFmtId="1" fontId="0" fillId="4" borderId="29" xfId="0" applyNumberFormat="1" applyFill="1" applyBorder="1" applyAlignment="1" applyProtection="1">
      <alignment horizontal="center"/>
      <protection locked="0"/>
    </xf>
    <xf numFmtId="1" fontId="0" fillId="4" borderId="8"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1" fontId="0" fillId="3" borderId="27" xfId="0" applyNumberFormat="1" applyFill="1" applyBorder="1" applyAlignment="1" applyProtection="1">
      <alignment horizontal="center"/>
      <protection locked="0"/>
    </xf>
    <xf numFmtId="0" fontId="0" fillId="3" borderId="8" xfId="0" applyFill="1" applyBorder="1" applyAlignment="1" applyProtection="1">
      <alignment horizontal="center"/>
      <protection locked="0"/>
    </xf>
    <xf numFmtId="1" fontId="0" fillId="3" borderId="29" xfId="0" applyNumberFormat="1" applyFill="1" applyBorder="1" applyAlignment="1" applyProtection="1">
      <alignment horizontal="center"/>
      <protection locked="0"/>
    </xf>
    <xf numFmtId="0" fontId="16" fillId="3" borderId="8" xfId="0" applyFont="1" applyFill="1" applyBorder="1" applyAlignment="1" applyProtection="1">
      <alignment horizontal="center"/>
      <protection locked="0"/>
    </xf>
    <xf numFmtId="1" fontId="16" fillId="3" borderId="29" xfId="0" applyNumberFormat="1" applyFont="1" applyFill="1" applyBorder="1" applyAlignment="1" applyProtection="1">
      <alignment horizontal="center"/>
      <protection locked="0"/>
    </xf>
    <xf numFmtId="0" fontId="0" fillId="28" borderId="29" xfId="0" applyFill="1" applyBorder="1" applyAlignment="1" applyProtection="1">
      <alignment horizontal="center"/>
      <protection locked="0"/>
    </xf>
    <xf numFmtId="1" fontId="0" fillId="28" borderId="8" xfId="0" applyNumberFormat="1" applyFill="1" applyBorder="1" applyAlignment="1" applyProtection="1">
      <alignment horizontal="center"/>
      <protection locked="0"/>
    </xf>
    <xf numFmtId="0" fontId="11" fillId="6" borderId="32" xfId="0" applyFont="1" applyFill="1" applyBorder="1" applyAlignment="1" applyProtection="1">
      <alignment horizontal="center"/>
      <protection locked="0"/>
    </xf>
    <xf numFmtId="0" fontId="11" fillId="6" borderId="31" xfId="0" applyFont="1" applyFill="1" applyBorder="1" applyAlignment="1" applyProtection="1">
      <alignment horizontal="center"/>
      <protection locked="0"/>
    </xf>
    <xf numFmtId="0" fontId="11" fillId="6" borderId="8" xfId="0" applyFont="1" applyFill="1" applyBorder="1" applyAlignment="1" applyProtection="1">
      <alignment horizontal="center"/>
      <protection locked="0"/>
    </xf>
    <xf numFmtId="1" fontId="0" fillId="13" borderId="10" xfId="0" applyNumberFormat="1" applyFill="1" applyBorder="1" applyAlignment="1" applyProtection="1">
      <alignment horizontal="center"/>
      <protection locked="0"/>
    </xf>
    <xf numFmtId="1" fontId="0" fillId="13" borderId="4" xfId="0" applyNumberFormat="1" applyFill="1" applyBorder="1" applyAlignment="1" applyProtection="1">
      <alignment horizontal="center"/>
      <protection locked="0"/>
    </xf>
    <xf numFmtId="0" fontId="11" fillId="6" borderId="7" xfId="0" applyFont="1" applyFill="1" applyBorder="1" applyAlignment="1" applyProtection="1">
      <alignment horizontal="center"/>
      <protection locked="0"/>
    </xf>
    <xf numFmtId="167" fontId="14" fillId="7" borderId="32" xfId="0" applyNumberFormat="1" applyFont="1" applyFill="1" applyBorder="1" applyAlignment="1" applyProtection="1">
      <alignment horizontal="center"/>
      <protection locked="0"/>
    </xf>
    <xf numFmtId="165" fontId="58" fillId="4" borderId="7" xfId="0" applyNumberFormat="1" applyFont="1" applyFill="1" applyBorder="1" applyAlignment="1" applyProtection="1">
      <alignment horizontal="center"/>
      <protection hidden="1"/>
    </xf>
    <xf numFmtId="165" fontId="58" fillId="3" borderId="7" xfId="0" applyNumberFormat="1" applyFont="1" applyFill="1" applyBorder="1" applyAlignment="1" applyProtection="1">
      <alignment horizontal="center"/>
      <protection hidden="1"/>
    </xf>
    <xf numFmtId="0" fontId="14" fillId="5" borderId="2" xfId="0" applyFont="1" applyFill="1" applyBorder="1" applyAlignment="1">
      <alignment horizontal="center"/>
    </xf>
    <xf numFmtId="0" fontId="14" fillId="5" borderId="2" xfId="0" applyFont="1" applyFill="1" applyBorder="1" applyAlignment="1" applyProtection="1">
      <alignment horizontal="center"/>
      <protection hidden="1"/>
    </xf>
    <xf numFmtId="0" fontId="0" fillId="5" borderId="27" xfId="0" applyFill="1" applyBorder="1" applyAlignment="1" applyProtection="1">
      <alignment horizontal="center"/>
      <protection locked="0"/>
    </xf>
    <xf numFmtId="165" fontId="58" fillId="5" borderId="7" xfId="0" applyNumberFormat="1" applyFont="1" applyFill="1" applyBorder="1" applyAlignment="1" applyProtection="1">
      <alignment horizontal="center"/>
      <protection hidden="1"/>
    </xf>
    <xf numFmtId="0" fontId="14" fillId="5" borderId="8" xfId="0" applyFont="1" applyFill="1" applyBorder="1" applyAlignment="1">
      <alignment horizontal="center"/>
    </xf>
    <xf numFmtId="0" fontId="0" fillId="5" borderId="29" xfId="0" applyFill="1" applyBorder="1" applyAlignment="1" applyProtection="1">
      <alignment horizontal="center"/>
      <protection locked="0"/>
    </xf>
    <xf numFmtId="1" fontId="0" fillId="5" borderId="8" xfId="0" applyNumberFormat="1" applyFill="1" applyBorder="1" applyAlignment="1" applyProtection="1">
      <alignment horizontal="center"/>
      <protection locked="0"/>
    </xf>
    <xf numFmtId="0" fontId="16" fillId="5" borderId="29" xfId="0" applyFont="1" applyFill="1" applyBorder="1" applyAlignment="1" applyProtection="1">
      <alignment horizontal="center"/>
      <protection locked="0"/>
    </xf>
    <xf numFmtId="1" fontId="16" fillId="5" borderId="8" xfId="0" applyNumberFormat="1" applyFont="1" applyFill="1" applyBorder="1" applyAlignment="1" applyProtection="1">
      <alignment horizontal="center"/>
      <protection locked="0"/>
    </xf>
    <xf numFmtId="1" fontId="0" fillId="5" borderId="7" xfId="0" applyNumberFormat="1" applyFill="1" applyBorder="1" applyAlignment="1" applyProtection="1">
      <alignment horizontal="center"/>
      <protection locked="0"/>
    </xf>
    <xf numFmtId="0" fontId="12" fillId="6" borderId="35" xfId="0" applyFont="1" applyFill="1" applyBorder="1" applyAlignment="1">
      <alignment horizontal="center"/>
    </xf>
    <xf numFmtId="0" fontId="11" fillId="6" borderId="5" xfId="0" applyFont="1" applyFill="1" applyBorder="1" applyAlignment="1" applyProtection="1">
      <alignment horizontal="center"/>
      <protection locked="0"/>
    </xf>
    <xf numFmtId="0" fontId="11" fillId="6" borderId="6" xfId="0" applyFont="1" applyFill="1" applyBorder="1" applyAlignment="1" applyProtection="1">
      <alignment horizontal="center"/>
      <protection locked="0"/>
    </xf>
    <xf numFmtId="0" fontId="19" fillId="0" borderId="7" xfId="0" applyFont="1" applyBorder="1" applyAlignment="1">
      <alignment horizontal="center" vertical="center"/>
    </xf>
    <xf numFmtId="0" fontId="0" fillId="7" borderId="29" xfId="0" applyFill="1" applyBorder="1" applyAlignment="1">
      <alignment horizontal="center"/>
    </xf>
    <xf numFmtId="0" fontId="14" fillId="0" borderId="15" xfId="0" applyFont="1" applyBorder="1" applyAlignment="1">
      <alignment horizontal="center" vertical="center" wrapText="1"/>
    </xf>
    <xf numFmtId="0" fontId="19" fillId="7" borderId="8" xfId="0" applyFont="1" applyFill="1" applyBorder="1" applyAlignment="1">
      <alignment horizontal="center"/>
    </xf>
    <xf numFmtId="0" fontId="14" fillId="0" borderId="25" xfId="0" applyFont="1" applyBorder="1" applyAlignment="1">
      <alignment horizontal="center" vertical="center"/>
    </xf>
    <xf numFmtId="164" fontId="0" fillId="7" borderId="8" xfId="0" applyNumberFormat="1" applyFill="1" applyBorder="1" applyAlignment="1">
      <alignment horizontal="center"/>
    </xf>
    <xf numFmtId="0" fontId="14" fillId="14" borderId="85" xfId="0" applyFont="1" applyFill="1" applyBorder="1" applyAlignment="1">
      <alignment horizontal="center"/>
    </xf>
    <xf numFmtId="0" fontId="14" fillId="14" borderId="86" xfId="0" applyFont="1" applyFill="1" applyBorder="1" applyAlignment="1">
      <alignment horizontal="center"/>
    </xf>
    <xf numFmtId="2" fontId="22" fillId="9" borderId="52" xfId="0" applyNumberFormat="1" applyFont="1" applyFill="1" applyBorder="1" applyAlignment="1">
      <alignment horizontal="right"/>
    </xf>
    <xf numFmtId="2" fontId="22" fillId="9" borderId="47" xfId="0" applyNumberFormat="1" applyFont="1" applyFill="1" applyBorder="1" applyAlignment="1">
      <alignment horizontal="right"/>
    </xf>
    <xf numFmtId="0" fontId="14" fillId="0" borderId="7" xfId="0" applyFont="1" applyBorder="1"/>
    <xf numFmtId="0" fontId="0" fillId="0" borderId="8" xfId="0" applyBorder="1"/>
    <xf numFmtId="0" fontId="0" fillId="0" borderId="31" xfId="0" applyBorder="1"/>
    <xf numFmtId="0" fontId="14" fillId="0" borderId="98" xfId="0" applyFont="1" applyBorder="1" applyAlignment="1">
      <alignment horizontal="center"/>
    </xf>
    <xf numFmtId="0" fontId="14" fillId="27" borderId="98" xfId="0" applyFont="1" applyFill="1" applyBorder="1" applyAlignment="1">
      <alignment horizontal="center"/>
    </xf>
    <xf numFmtId="0" fontId="14" fillId="27" borderId="96" xfId="0" applyFont="1" applyFill="1" applyBorder="1" applyAlignment="1">
      <alignment horizontal="center"/>
    </xf>
    <xf numFmtId="0" fontId="14" fillId="27" borderId="89" xfId="0" applyFont="1" applyFill="1" applyBorder="1" applyAlignment="1">
      <alignment vertical="center"/>
    </xf>
    <xf numFmtId="0" fontId="14" fillId="27" borderId="90" xfId="0" applyFont="1" applyFill="1" applyBorder="1" applyAlignment="1">
      <alignment vertical="center"/>
    </xf>
    <xf numFmtId="0" fontId="14" fillId="0" borderId="96" xfId="0" applyFont="1" applyBorder="1" applyAlignment="1">
      <alignment horizontal="center"/>
    </xf>
    <xf numFmtId="0" fontId="14" fillId="27" borderId="95" xfId="0" applyFont="1" applyFill="1" applyBorder="1" applyAlignment="1">
      <alignment vertical="center"/>
    </xf>
    <xf numFmtId="165" fontId="52" fillId="0" borderId="33" xfId="0" applyNumberFormat="1" applyFont="1" applyBorder="1" applyAlignment="1">
      <alignment horizontal="center"/>
    </xf>
    <xf numFmtId="165" fontId="53" fillId="0" borderId="8" xfId="0" applyNumberFormat="1" applyFont="1" applyBorder="1" applyAlignment="1">
      <alignment horizontal="center"/>
    </xf>
    <xf numFmtId="165" fontId="53" fillId="0" borderId="34" xfId="0" applyNumberFormat="1" applyFont="1" applyBorder="1" applyAlignment="1">
      <alignment horizontal="center"/>
    </xf>
    <xf numFmtId="165" fontId="47" fillId="0" borderId="102" xfId="0" applyNumberFormat="1" applyFont="1" applyBorder="1" applyAlignment="1">
      <alignment horizontal="center"/>
    </xf>
    <xf numFmtId="165" fontId="0" fillId="27" borderId="107" xfId="0" applyNumberFormat="1" applyFill="1" applyBorder="1" applyAlignment="1">
      <alignment horizontal="center"/>
    </xf>
    <xf numFmtId="165" fontId="52" fillId="27" borderId="107" xfId="0" applyNumberFormat="1" applyFont="1" applyFill="1" applyBorder="1" applyAlignment="1">
      <alignment horizontal="center"/>
    </xf>
    <xf numFmtId="165" fontId="19" fillId="27" borderId="108" xfId="0" applyNumberFormat="1" applyFont="1" applyFill="1" applyBorder="1" applyAlignment="1">
      <alignment horizontal="center"/>
    </xf>
    <xf numFmtId="165" fontId="52" fillId="27" borderId="108" xfId="0" applyNumberFormat="1" applyFont="1" applyFill="1" applyBorder="1" applyAlignment="1">
      <alignment horizontal="center"/>
    </xf>
    <xf numFmtId="165" fontId="53" fillId="27" borderId="109" xfId="0" applyNumberFormat="1" applyFont="1" applyFill="1" applyBorder="1" applyAlignment="1">
      <alignment horizontal="center"/>
    </xf>
    <xf numFmtId="165" fontId="47" fillId="0" borderId="104" xfId="0" applyNumberFormat="1" applyFont="1" applyBorder="1" applyAlignment="1">
      <alignment horizontal="center"/>
    </xf>
    <xf numFmtId="165" fontId="62" fillId="0" borderId="102" xfId="0" applyNumberFormat="1" applyFont="1" applyBorder="1" applyAlignment="1">
      <alignment horizontal="center"/>
    </xf>
    <xf numFmtId="165" fontId="14" fillId="0" borderId="111" xfId="0" applyNumberFormat="1" applyFont="1" applyBorder="1" applyAlignment="1">
      <alignment horizontal="center"/>
    </xf>
    <xf numFmtId="165" fontId="14" fillId="27" borderId="107" xfId="0" applyNumberFormat="1" applyFont="1" applyFill="1" applyBorder="1" applyAlignment="1">
      <alignment horizontal="center"/>
    </xf>
    <xf numFmtId="165" fontId="14" fillId="0" borderId="22" xfId="0" applyNumberFormat="1" applyFont="1" applyBorder="1" applyAlignment="1">
      <alignment horizontal="center"/>
    </xf>
    <xf numFmtId="165" fontId="14" fillId="0" borderId="31" xfId="0" applyNumberFormat="1" applyFont="1" applyBorder="1" applyAlignment="1">
      <alignment horizontal="center"/>
    </xf>
    <xf numFmtId="165" fontId="62" fillId="0" borderId="31" xfId="0" applyNumberFormat="1" applyFont="1" applyBorder="1" applyAlignment="1">
      <alignment horizontal="center"/>
    </xf>
    <xf numFmtId="165" fontId="52" fillId="0" borderId="107" xfId="0" applyNumberFormat="1" applyFont="1" applyBorder="1" applyAlignment="1">
      <alignment horizontal="center"/>
    </xf>
    <xf numFmtId="165" fontId="0" fillId="7" borderId="107" xfId="0" applyNumberFormat="1" applyFill="1" applyBorder="1" applyAlignment="1">
      <alignment horizontal="center"/>
    </xf>
    <xf numFmtId="0" fontId="0" fillId="5" borderId="33" xfId="0" applyFill="1" applyBorder="1"/>
    <xf numFmtId="0" fontId="19" fillId="5" borderId="8" xfId="0" applyFont="1" applyFill="1" applyBorder="1" applyAlignment="1">
      <alignment horizontal="center"/>
    </xf>
    <xf numFmtId="165" fontId="53" fillId="5" borderId="8" xfId="0" applyNumberFormat="1" applyFont="1" applyFill="1" applyBorder="1" applyAlignment="1">
      <alignment horizontal="center"/>
    </xf>
    <xf numFmtId="0" fontId="0" fillId="5" borderId="34" xfId="0" applyFill="1" applyBorder="1"/>
    <xf numFmtId="0" fontId="14" fillId="7" borderId="97" xfId="0" applyFont="1" applyFill="1" applyBorder="1" applyAlignment="1">
      <alignment horizontal="center"/>
    </xf>
    <xf numFmtId="0" fontId="14" fillId="7" borderId="98" xfId="0" applyFont="1" applyFill="1" applyBorder="1" applyAlignment="1">
      <alignment horizontal="center"/>
    </xf>
    <xf numFmtId="0" fontId="0" fillId="7" borderId="33" xfId="0" applyFill="1" applyBorder="1"/>
    <xf numFmtId="165" fontId="53" fillId="7" borderId="8" xfId="0" applyNumberFormat="1" applyFont="1" applyFill="1" applyBorder="1" applyAlignment="1">
      <alignment horizontal="center"/>
    </xf>
    <xf numFmtId="0" fontId="0" fillId="7" borderId="34" xfId="0" applyFill="1" applyBorder="1"/>
    <xf numFmtId="0" fontId="14" fillId="0" borderId="111" xfId="0" applyFont="1" applyBorder="1"/>
    <xf numFmtId="0" fontId="14" fillId="0" borderId="102" xfId="0" applyFont="1" applyBorder="1"/>
    <xf numFmtId="0" fontId="14" fillId="0" borderId="104" xfId="0" applyFont="1" applyBorder="1"/>
    <xf numFmtId="49" fontId="45" fillId="26" borderId="19" xfId="1" applyNumberFormat="1" applyFont="1" applyFill="1" applyBorder="1" applyAlignment="1">
      <alignment horizontal="center"/>
    </xf>
    <xf numFmtId="167" fontId="0" fillId="7" borderId="33" xfId="0" applyNumberFormat="1" applyFill="1" applyBorder="1" applyAlignment="1" applyProtection="1">
      <alignment horizontal="center"/>
      <protection locked="0"/>
    </xf>
    <xf numFmtId="2" fontId="28" fillId="7" borderId="42" xfId="0" applyNumberFormat="1" applyFont="1" applyFill="1" applyBorder="1" applyAlignment="1" applyProtection="1">
      <alignment horizontal="center" vertical="center"/>
      <protection locked="0"/>
    </xf>
    <xf numFmtId="2" fontId="28" fillId="0" borderId="20" xfId="0" applyNumberFormat="1" applyFont="1" applyBorder="1" applyAlignment="1" applyProtection="1">
      <alignment horizontal="center" vertical="center"/>
      <protection locked="0"/>
    </xf>
    <xf numFmtId="164" fontId="0" fillId="7" borderId="7" xfId="0" applyNumberFormat="1" applyFill="1" applyBorder="1" applyAlignment="1" applyProtection="1">
      <alignment horizontal="center"/>
      <protection locked="0"/>
    </xf>
    <xf numFmtId="2" fontId="0" fillId="0" borderId="13" xfId="0" applyNumberFormat="1" applyBorder="1" applyAlignment="1" applyProtection="1">
      <alignment horizontal="center"/>
      <protection locked="0"/>
    </xf>
    <xf numFmtId="0" fontId="0" fillId="0" borderId="2" xfId="0" applyBorder="1" applyAlignment="1" applyProtection="1">
      <alignment horizontal="center" vertical="center"/>
      <protection locked="0"/>
    </xf>
    <xf numFmtId="0" fontId="0" fillId="0" borderId="25" xfId="0" applyBorder="1" applyProtection="1">
      <protection locked="0"/>
    </xf>
    <xf numFmtId="0" fontId="0" fillId="0" borderId="15" xfId="0" applyBorder="1" applyProtection="1">
      <protection locked="0"/>
    </xf>
    <xf numFmtId="0" fontId="0" fillId="0" borderId="14" xfId="0" applyBorder="1" applyAlignment="1" applyProtection="1">
      <alignment horizontal="center" vertical="center"/>
      <protection locked="0"/>
    </xf>
    <xf numFmtId="0" fontId="0" fillId="7" borderId="2"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2" fillId="13" borderId="83" xfId="2" applyFont="1" applyFill="1" applyBorder="1" applyAlignment="1" applyProtection="1">
      <alignment horizontal="center" vertical="center"/>
      <protection locked="0"/>
    </xf>
    <xf numFmtId="165" fontId="48" fillId="7" borderId="37" xfId="1" applyNumberFormat="1" applyFont="1" applyFill="1" applyBorder="1" applyAlignment="1">
      <alignment horizontal="center"/>
    </xf>
    <xf numFmtId="165" fontId="6" fillId="13" borderId="14" xfId="1" applyNumberFormat="1" applyFill="1" applyBorder="1" applyAlignment="1">
      <alignment horizontal="center"/>
    </xf>
    <xf numFmtId="165" fontId="6" fillId="13" borderId="7" xfId="1" applyNumberFormat="1" applyFill="1" applyBorder="1" applyAlignment="1">
      <alignment horizontal="center"/>
    </xf>
    <xf numFmtId="165" fontId="63" fillId="7" borderId="15" xfId="1" applyNumberFormat="1" applyFont="1" applyFill="1" applyBorder="1" applyAlignment="1">
      <alignment horizontal="center"/>
    </xf>
    <xf numFmtId="165" fontId="64" fillId="13" borderId="2" xfId="1" applyNumberFormat="1" applyFont="1" applyFill="1" applyBorder="1" applyAlignment="1">
      <alignment horizontal="center"/>
    </xf>
    <xf numFmtId="14" fontId="1" fillId="13" borderId="2" xfId="1" applyNumberFormat="1" applyFont="1" applyFill="1" applyBorder="1" applyAlignment="1" applyProtection="1">
      <alignment horizontal="center" vertical="center" wrapText="1"/>
      <protection locked="0"/>
    </xf>
    <xf numFmtId="16" fontId="31" fillId="0" borderId="32" xfId="0" applyNumberFormat="1" applyFont="1" applyBorder="1" applyAlignment="1" applyProtection="1">
      <alignment horizontal="center" vertical="center"/>
      <protection locked="0"/>
    </xf>
    <xf numFmtId="16" fontId="31" fillId="0" borderId="31" xfId="0" applyNumberFormat="1" applyFont="1" applyBorder="1" applyAlignment="1" applyProtection="1">
      <alignment horizontal="center" vertical="center"/>
      <protection locked="0"/>
    </xf>
    <xf numFmtId="1" fontId="31" fillId="0" borderId="33" xfId="0" applyNumberFormat="1" applyFont="1" applyBorder="1" applyAlignment="1" applyProtection="1">
      <alignment horizontal="center" vertical="center"/>
      <protection locked="0"/>
    </xf>
    <xf numFmtId="165" fontId="31" fillId="0" borderId="33" xfId="0" applyNumberFormat="1" applyFont="1" applyBorder="1" applyAlignment="1" applyProtection="1">
      <alignment horizontal="center" vertical="center"/>
      <protection locked="0"/>
    </xf>
    <xf numFmtId="0" fontId="21" fillId="7" borderId="0" xfId="0" applyFont="1" applyFill="1" applyAlignment="1">
      <alignment horizontal="center" wrapText="1"/>
    </xf>
    <xf numFmtId="0" fontId="22" fillId="0" borderId="0" xfId="0" applyFont="1" applyAlignment="1">
      <alignment vertical="center"/>
    </xf>
    <xf numFmtId="0" fontId="30" fillId="31" borderId="43" xfId="0" applyFont="1" applyFill="1" applyBorder="1" applyAlignment="1">
      <alignment horizontal="center" vertical="center" wrapText="1"/>
    </xf>
    <xf numFmtId="0" fontId="67" fillId="33" borderId="0" xfId="0" applyFont="1" applyFill="1" applyAlignment="1">
      <alignment horizontal="center" vertical="center" wrapText="1"/>
    </xf>
    <xf numFmtId="14" fontId="70" fillId="33" borderId="0" xfId="0" applyNumberFormat="1" applyFont="1" applyFill="1" applyAlignment="1">
      <alignment horizontal="center" vertical="center" wrapText="1"/>
    </xf>
    <xf numFmtId="0" fontId="69" fillId="31" borderId="61" xfId="0" applyFont="1" applyFill="1" applyBorder="1" applyAlignment="1">
      <alignment horizontal="center" vertical="center" wrapText="1"/>
    </xf>
    <xf numFmtId="0" fontId="69" fillId="31" borderId="114" xfId="0" applyFont="1" applyFill="1" applyBorder="1" applyAlignment="1">
      <alignment horizontal="center" vertical="center" wrapText="1"/>
    </xf>
    <xf numFmtId="0" fontId="69" fillId="31" borderId="51" xfId="0" applyFont="1" applyFill="1" applyBorder="1" applyAlignment="1">
      <alignment horizontal="center" vertical="center" wrapText="1"/>
    </xf>
    <xf numFmtId="0" fontId="69" fillId="31" borderId="44" xfId="0" applyFont="1" applyFill="1" applyBorder="1" applyAlignment="1">
      <alignment horizontal="center" vertical="center" wrapText="1"/>
    </xf>
    <xf numFmtId="0" fontId="71" fillId="35" borderId="45" xfId="0" applyFont="1" applyFill="1" applyBorder="1" applyAlignment="1">
      <alignment horizontal="center" vertical="center" wrapText="1"/>
    </xf>
    <xf numFmtId="165" fontId="10" fillId="37" borderId="116" xfId="0" applyNumberFormat="1" applyFont="1" applyFill="1" applyBorder="1" applyAlignment="1">
      <alignment horizontal="center" vertical="center" wrapText="1"/>
    </xf>
    <xf numFmtId="0" fontId="67" fillId="33" borderId="0" xfId="0" applyFont="1" applyFill="1" applyAlignment="1">
      <alignment wrapText="1"/>
    </xf>
    <xf numFmtId="0" fontId="71" fillId="35" borderId="117" xfId="0" quotePrefix="1" applyFont="1" applyFill="1" applyBorder="1" applyAlignment="1">
      <alignment horizontal="center" vertical="center" wrapText="1"/>
    </xf>
    <xf numFmtId="165" fontId="10" fillId="37" borderId="118" xfId="0" applyNumberFormat="1" applyFont="1" applyFill="1" applyBorder="1" applyAlignment="1">
      <alignment horizontal="center" vertical="center" wrapText="1"/>
    </xf>
    <xf numFmtId="0" fontId="71" fillId="35" borderId="117" xfId="0" applyFont="1" applyFill="1" applyBorder="1" applyAlignment="1">
      <alignment horizontal="center" vertical="center" wrapText="1"/>
    </xf>
    <xf numFmtId="0" fontId="71" fillId="35" borderId="91" xfId="0" applyFont="1" applyFill="1" applyBorder="1" applyAlignment="1">
      <alignment horizontal="center" vertical="center" wrapText="1"/>
    </xf>
    <xf numFmtId="0" fontId="71" fillId="36" borderId="119" xfId="0" applyFont="1" applyFill="1" applyBorder="1" applyAlignment="1">
      <alignment horizontal="center" vertical="center" wrapText="1"/>
    </xf>
    <xf numFmtId="0" fontId="71" fillId="36" borderId="113" xfId="0" applyFont="1" applyFill="1" applyBorder="1" applyAlignment="1">
      <alignment horizontal="center" vertical="center" wrapText="1"/>
    </xf>
    <xf numFmtId="0" fontId="73" fillId="33" borderId="0" xfId="0" applyFont="1" applyFill="1" applyAlignment="1">
      <alignment wrapText="1"/>
    </xf>
    <xf numFmtId="2" fontId="31" fillId="0" borderId="2" xfId="0" applyNumberFormat="1" applyFont="1" applyBorder="1" applyAlignment="1">
      <alignment horizontal="center" vertical="center"/>
    </xf>
    <xf numFmtId="2" fontId="14" fillId="0" borderId="31" xfId="0" applyNumberFormat="1" applyFont="1" applyBorder="1" applyAlignment="1">
      <alignment horizontal="center"/>
    </xf>
    <xf numFmtId="165" fontId="14" fillId="0" borderId="1" xfId="0" applyNumberFormat="1" applyFont="1" applyBorder="1" applyAlignment="1">
      <alignment horizontal="center"/>
    </xf>
    <xf numFmtId="0" fontId="14" fillId="0" borderId="120" xfId="0" applyFont="1" applyBorder="1"/>
    <xf numFmtId="2" fontId="14" fillId="0" borderId="120" xfId="0" applyNumberFormat="1" applyFont="1" applyBorder="1" applyAlignment="1">
      <alignment horizontal="center"/>
    </xf>
    <xf numFmtId="0" fontId="14" fillId="0" borderId="1" xfId="0" quotePrefix="1" applyFont="1" applyBorder="1" applyAlignment="1">
      <alignment horizontal="center"/>
    </xf>
    <xf numFmtId="0" fontId="29" fillId="33" borderId="29" xfId="0" applyFont="1" applyFill="1" applyBorder="1" applyAlignment="1">
      <alignment horizontal="center"/>
    </xf>
    <xf numFmtId="0" fontId="19" fillId="33" borderId="8" xfId="0" applyFont="1" applyFill="1" applyBorder="1" applyAlignment="1">
      <alignment horizontal="center"/>
    </xf>
    <xf numFmtId="0" fontId="52" fillId="33" borderId="3" xfId="0" applyFont="1" applyFill="1" applyBorder="1" applyAlignment="1">
      <alignment horizontal="center" vertical="center"/>
    </xf>
    <xf numFmtId="0" fontId="74" fillId="0" borderId="7" xfId="0" applyFont="1" applyBorder="1" applyAlignment="1">
      <alignment horizontal="center" vertical="center"/>
    </xf>
    <xf numFmtId="0" fontId="14" fillId="0" borderId="63" xfId="0" quotePrefix="1" applyFont="1" applyBorder="1" applyAlignment="1">
      <alignment horizontal="center"/>
    </xf>
    <xf numFmtId="0" fontId="14" fillId="0" borderId="120" xfId="0" quotePrefix="1" applyFont="1" applyBorder="1" applyAlignment="1">
      <alignment horizontal="center"/>
    </xf>
    <xf numFmtId="0" fontId="14" fillId="0" borderId="121" xfId="0" applyFont="1" applyBorder="1"/>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167" fontId="0" fillId="7" borderId="22" xfId="0" applyNumberFormat="1" applyFill="1" applyBorder="1" applyAlignment="1" applyProtection="1">
      <alignment horizontal="center"/>
      <protection locked="0"/>
    </xf>
    <xf numFmtId="167" fontId="0" fillId="7" borderId="31" xfId="0" applyNumberFormat="1" applyFill="1" applyBorder="1" applyAlignment="1" applyProtection="1">
      <alignment horizontal="center"/>
      <protection locked="0"/>
    </xf>
    <xf numFmtId="16" fontId="29" fillId="33" borderId="31" xfId="0" applyNumberFormat="1" applyFont="1" applyFill="1" applyBorder="1" applyAlignment="1" applyProtection="1">
      <alignment horizontal="center"/>
      <protection locked="0"/>
    </xf>
    <xf numFmtId="167" fontId="0" fillId="7" borderId="32" xfId="0" applyNumberFormat="1" applyFill="1" applyBorder="1" applyAlignment="1" applyProtection="1">
      <alignment horizontal="center"/>
      <protection locked="0"/>
    </xf>
    <xf numFmtId="16" fontId="29" fillId="33" borderId="32" xfId="0" applyNumberFormat="1" applyFont="1" applyFill="1" applyBorder="1" applyAlignment="1" applyProtection="1">
      <alignment horizontal="center"/>
      <protection locked="0"/>
    </xf>
    <xf numFmtId="164" fontId="14" fillId="7" borderId="27" xfId="0" applyNumberFormat="1" applyFont="1" applyFill="1" applyBorder="1" applyAlignment="1" applyProtection="1">
      <alignment horizontal="center"/>
      <protection locked="0"/>
    </xf>
    <xf numFmtId="164" fontId="14" fillId="0" borderId="29" xfId="0" applyNumberFormat="1" applyFont="1" applyBorder="1" applyAlignment="1" applyProtection="1">
      <alignment horizontal="center"/>
      <protection locked="0"/>
    </xf>
    <xf numFmtId="164" fontId="14" fillId="7" borderId="29" xfId="0" applyNumberFormat="1" applyFont="1" applyFill="1" applyBorder="1" applyAlignment="1" applyProtection="1">
      <alignment horizontal="center"/>
      <protection locked="0"/>
    </xf>
    <xf numFmtId="0" fontId="52" fillId="33" borderId="29" xfId="0" applyFont="1" applyFill="1" applyBorder="1" applyAlignment="1" applyProtection="1">
      <alignment horizontal="center"/>
      <protection locked="0"/>
    </xf>
    <xf numFmtId="1" fontId="21" fillId="0" borderId="29" xfId="0" applyNumberFormat="1" applyFont="1" applyBorder="1" applyAlignment="1" applyProtection="1">
      <alignment horizontal="center"/>
      <protection locked="0"/>
    </xf>
    <xf numFmtId="1" fontId="21" fillId="7" borderId="29" xfId="0" applyNumberFormat="1" applyFont="1" applyFill="1" applyBorder="1" applyAlignment="1" applyProtection="1">
      <alignment horizontal="center"/>
      <protection locked="0"/>
    </xf>
    <xf numFmtId="0" fontId="74" fillId="0" borderId="29" xfId="0" applyFont="1" applyBorder="1" applyAlignment="1" applyProtection="1">
      <alignment horizontal="center"/>
      <protection locked="0"/>
    </xf>
    <xf numFmtId="0" fontId="14" fillId="7" borderId="3" xfId="0" applyFont="1" applyFill="1" applyBorder="1" applyAlignment="1" applyProtection="1">
      <alignment horizontal="center" vertical="center"/>
      <protection locked="0"/>
    </xf>
    <xf numFmtId="2" fontId="52" fillId="0" borderId="40" xfId="0" applyNumberFormat="1" applyFont="1" applyBorder="1" applyAlignment="1" applyProtection="1">
      <alignment horizontal="center"/>
      <protection locked="0"/>
    </xf>
    <xf numFmtId="0" fontId="52" fillId="0" borderId="40" xfId="0" applyFont="1" applyBorder="1" applyAlignment="1" applyProtection="1">
      <alignment horizontal="center"/>
      <protection locked="0"/>
    </xf>
    <xf numFmtId="0" fontId="14" fillId="0" borderId="0" xfId="0" applyFont="1" applyAlignment="1" applyProtection="1">
      <alignment horizontal="center"/>
      <protection locked="0"/>
    </xf>
    <xf numFmtId="14" fontId="42" fillId="13" borderId="2" xfId="1" applyNumberFormat="1" applyFont="1" applyFill="1" applyBorder="1" applyAlignment="1" applyProtection="1">
      <alignment horizontal="center" vertical="center" wrapText="1"/>
      <protection locked="0"/>
    </xf>
    <xf numFmtId="14" fontId="42" fillId="25" borderId="2" xfId="1" applyNumberFormat="1" applyFont="1" applyFill="1" applyBorder="1" applyAlignment="1" applyProtection="1">
      <alignment horizontal="center" vertical="center" wrapText="1"/>
      <protection locked="0"/>
    </xf>
    <xf numFmtId="14" fontId="22" fillId="0" borderId="55" xfId="0" applyNumberFormat="1" applyFont="1" applyBorder="1" applyAlignment="1" applyProtection="1">
      <alignment vertical="center"/>
      <protection locked="0"/>
    </xf>
    <xf numFmtId="0" fontId="72" fillId="36" borderId="115" xfId="0" applyFont="1" applyFill="1" applyBorder="1" applyAlignment="1" applyProtection="1">
      <alignment horizontal="center" vertical="center" wrapText="1"/>
      <protection locked="0"/>
    </xf>
    <xf numFmtId="0" fontId="72" fillId="36" borderId="26" xfId="0" applyFont="1" applyFill="1" applyBorder="1" applyAlignment="1" applyProtection="1">
      <alignment horizontal="center" vertical="center" wrapText="1"/>
      <protection locked="0"/>
    </xf>
    <xf numFmtId="0" fontId="2" fillId="36" borderId="26" xfId="0" applyFont="1" applyFill="1" applyBorder="1" applyAlignment="1" applyProtection="1">
      <alignment horizontal="center" vertical="center" wrapText="1"/>
      <protection locked="0"/>
    </xf>
    <xf numFmtId="0" fontId="30" fillId="18" borderId="19" xfId="0" applyFont="1" applyFill="1" applyBorder="1" applyAlignment="1">
      <alignment horizontal="center" vertical="center"/>
    </xf>
    <xf numFmtId="0" fontId="15" fillId="0" borderId="14" xfId="0" applyFont="1" applyBorder="1" applyAlignment="1">
      <alignment horizontal="center" vertical="center"/>
    </xf>
    <xf numFmtId="165" fontId="31" fillId="0" borderId="22" xfId="0" applyNumberFormat="1" applyFont="1" applyBorder="1" applyAlignment="1" applyProtection="1">
      <alignment horizontal="center" vertical="center"/>
      <protection locked="0"/>
    </xf>
    <xf numFmtId="1" fontId="31" fillId="0" borderId="22" xfId="0" applyNumberFormat="1" applyFont="1" applyBorder="1" applyAlignment="1" applyProtection="1">
      <alignment horizontal="center" vertical="center"/>
      <protection locked="0"/>
    </xf>
    <xf numFmtId="1" fontId="31" fillId="0" borderId="7" xfId="0" applyNumberFormat="1" applyFont="1" applyBorder="1" applyAlignment="1" applyProtection="1">
      <alignment horizontal="center" vertical="center"/>
      <protection locked="0"/>
    </xf>
    <xf numFmtId="0" fontId="15" fillId="0" borderId="15" xfId="0" applyFont="1" applyBorder="1" applyAlignment="1">
      <alignment horizontal="center" vertical="center"/>
    </xf>
    <xf numFmtId="0" fontId="22" fillId="0" borderId="2" xfId="0" quotePrefix="1" applyFont="1" applyBorder="1" applyAlignment="1">
      <alignment horizontal="center" vertical="center"/>
    </xf>
    <xf numFmtId="165" fontId="25" fillId="7" borderId="14" xfId="0" applyNumberFormat="1" applyFont="1" applyFill="1" applyBorder="1" applyAlignment="1">
      <alignment horizontal="center"/>
    </xf>
    <xf numFmtId="0" fontId="25" fillId="10" borderId="19" xfId="0" applyFont="1" applyFill="1" applyBorder="1" applyAlignment="1">
      <alignment horizontal="center"/>
    </xf>
    <xf numFmtId="167" fontId="24" fillId="7" borderId="19" xfId="0" applyNumberFormat="1" applyFont="1" applyFill="1" applyBorder="1" applyAlignment="1" applyProtection="1">
      <alignment horizontal="center"/>
      <protection locked="0"/>
    </xf>
    <xf numFmtId="0" fontId="78" fillId="0" borderId="0" xfId="0" applyFont="1"/>
    <xf numFmtId="0" fontId="78" fillId="0" borderId="0" xfId="0" applyFont="1" applyAlignment="1">
      <alignment vertical="center"/>
    </xf>
    <xf numFmtId="0" fontId="24" fillId="0" borderId="0" xfId="0" applyFont="1" applyAlignment="1">
      <alignment vertical="center"/>
    </xf>
    <xf numFmtId="0" fontId="78" fillId="23" borderId="16" xfId="0" applyFont="1" applyFill="1" applyBorder="1"/>
    <xf numFmtId="0" fontId="78" fillId="23" borderId="17" xfId="0" applyFont="1" applyFill="1" applyBorder="1"/>
    <xf numFmtId="0" fontId="78" fillId="23" borderId="18" xfId="0" applyFont="1" applyFill="1" applyBorder="1"/>
    <xf numFmtId="0" fontId="78" fillId="23" borderId="38" xfId="0" applyFont="1" applyFill="1" applyBorder="1"/>
    <xf numFmtId="0" fontId="78" fillId="23" borderId="0" xfId="0" applyFont="1" applyFill="1"/>
    <xf numFmtId="0" fontId="78" fillId="23" borderId="39" xfId="0" applyFont="1" applyFill="1" applyBorder="1"/>
    <xf numFmtId="0" fontId="78" fillId="23" borderId="19" xfId="0" applyFont="1" applyFill="1" applyBorder="1"/>
    <xf numFmtId="0" fontId="78" fillId="23" borderId="20" xfId="0" applyFont="1" applyFill="1" applyBorder="1"/>
    <xf numFmtId="0" fontId="78" fillId="23" borderId="21" xfId="0" applyFont="1" applyFill="1" applyBorder="1"/>
    <xf numFmtId="0" fontId="14" fillId="8" borderId="32"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4" fillId="8" borderId="23" xfId="0" applyFont="1" applyFill="1" applyBorder="1" applyAlignment="1" applyProtection="1">
      <alignment horizontal="right"/>
      <protection locked="0"/>
    </xf>
    <xf numFmtId="0" fontId="14" fillId="8" borderId="0" xfId="0" applyFont="1" applyFill="1" applyAlignment="1" applyProtection="1">
      <alignment horizontal="right"/>
      <protection locked="0"/>
    </xf>
    <xf numFmtId="0" fontId="14" fillId="8" borderId="61" xfId="0" applyFont="1" applyFill="1" applyBorder="1" applyAlignment="1" applyProtection="1">
      <alignment horizontal="right"/>
      <protection locked="0"/>
    </xf>
    <xf numFmtId="0" fontId="14" fillId="8" borderId="60" xfId="0" applyFont="1" applyFill="1" applyBorder="1" applyAlignment="1" applyProtection="1">
      <alignment horizontal="right"/>
      <protection locked="0"/>
    </xf>
    <xf numFmtId="0" fontId="27" fillId="0" borderId="54" xfId="0" applyFont="1" applyBorder="1" applyAlignment="1" applyProtection="1">
      <alignment horizontal="right" vertical="center"/>
      <protection locked="0"/>
    </xf>
    <xf numFmtId="0" fontId="27" fillId="0" borderId="53" xfId="0" applyFont="1" applyBorder="1" applyAlignment="1" applyProtection="1">
      <alignment horizontal="right" vertical="center"/>
      <protection locked="0"/>
    </xf>
    <xf numFmtId="0" fontId="27" fillId="0" borderId="25" xfId="0" applyFont="1" applyBorder="1" applyAlignment="1" applyProtection="1">
      <alignment horizontal="right" vertical="center"/>
      <protection locked="0"/>
    </xf>
    <xf numFmtId="0" fontId="27" fillId="0" borderId="43" xfId="0" applyFont="1" applyBorder="1" applyAlignment="1" applyProtection="1">
      <alignment horizontal="right" vertical="center"/>
      <protection locked="0"/>
    </xf>
    <xf numFmtId="0" fontId="27" fillId="0" borderId="56" xfId="0" applyFont="1" applyBorder="1" applyAlignment="1" applyProtection="1">
      <alignment horizontal="right" vertical="center"/>
      <protection locked="0"/>
    </xf>
    <xf numFmtId="0" fontId="27" fillId="0" borderId="48" xfId="0" applyFont="1" applyBorder="1" applyAlignment="1" applyProtection="1">
      <alignment horizontal="right" vertical="center"/>
      <protection locked="0"/>
    </xf>
    <xf numFmtId="0" fontId="39" fillId="0" borderId="60" xfId="0" applyFont="1" applyBorder="1" applyAlignment="1" applyProtection="1">
      <alignment horizontal="right" vertical="center"/>
      <protection locked="0"/>
    </xf>
    <xf numFmtId="0" fontId="39" fillId="0" borderId="68" xfId="0" applyFont="1" applyBorder="1" applyAlignment="1" applyProtection="1">
      <alignment horizontal="right" vertical="center"/>
      <protection locked="0"/>
    </xf>
    <xf numFmtId="0" fontId="27" fillId="0" borderId="33" xfId="0" applyFont="1" applyBorder="1" applyAlignment="1" applyProtection="1">
      <alignment horizontal="right" vertical="center"/>
      <protection locked="0"/>
    </xf>
    <xf numFmtId="0" fontId="27" fillId="0" borderId="2" xfId="0" applyFont="1" applyBorder="1" applyAlignment="1" applyProtection="1">
      <alignment horizontal="right" vertical="center"/>
      <protection locked="0"/>
    </xf>
    <xf numFmtId="165" fontId="55" fillId="7" borderId="122" xfId="0" applyNumberFormat="1" applyFont="1" applyFill="1" applyBorder="1" applyAlignment="1" applyProtection="1">
      <alignment horizontal="center"/>
      <protection locked="0"/>
    </xf>
    <xf numFmtId="165" fontId="55" fillId="7" borderId="4" xfId="0" applyNumberFormat="1" applyFont="1" applyFill="1" applyBorder="1" applyAlignment="1" applyProtection="1">
      <alignment horizontal="center"/>
      <protection locked="0"/>
    </xf>
    <xf numFmtId="165" fontId="55" fillId="7" borderId="78" xfId="0" applyNumberFormat="1" applyFont="1" applyFill="1" applyBorder="1" applyAlignment="1" applyProtection="1">
      <alignment horizontal="center"/>
      <protection locked="0"/>
    </xf>
    <xf numFmtId="0" fontId="56" fillId="0" borderId="40" xfId="0" applyFont="1" applyBorder="1" applyAlignment="1" applyProtection="1">
      <alignment horizontal="center" vertical="center"/>
      <protection locked="0"/>
    </xf>
    <xf numFmtId="165" fontId="56" fillId="7" borderId="40" xfId="0" applyNumberFormat="1" applyFont="1" applyFill="1" applyBorder="1" applyAlignment="1" applyProtection="1">
      <alignment horizontal="center"/>
      <protection locked="0"/>
    </xf>
    <xf numFmtId="0" fontId="56" fillId="33" borderId="40" xfId="0" applyFont="1" applyFill="1" applyBorder="1" applyAlignment="1" applyProtection="1">
      <alignment horizontal="center"/>
      <protection locked="0"/>
    </xf>
    <xf numFmtId="165" fontId="56" fillId="7" borderId="123" xfId="0" applyNumberFormat="1" applyFont="1" applyFill="1" applyBorder="1" applyAlignment="1" applyProtection="1">
      <alignment horizontal="center"/>
      <protection locked="0"/>
    </xf>
    <xf numFmtId="0" fontId="19" fillId="16" borderId="48" xfId="0" applyFont="1" applyFill="1" applyBorder="1"/>
    <xf numFmtId="0" fontId="19" fillId="16" borderId="43" xfId="0" applyFont="1" applyFill="1" applyBorder="1" applyAlignment="1">
      <alignment horizontal="center"/>
    </xf>
    <xf numFmtId="0" fontId="19" fillId="16" borderId="56" xfId="0" applyFont="1" applyFill="1" applyBorder="1"/>
    <xf numFmtId="0" fontId="0" fillId="0" borderId="0" xfId="0" applyAlignment="1" applyProtection="1">
      <alignment horizontal="right"/>
      <protection locked="0"/>
    </xf>
    <xf numFmtId="2" fontId="22" fillId="40" borderId="69" xfId="0" applyNumberFormat="1" applyFont="1" applyFill="1" applyBorder="1" applyAlignment="1">
      <alignment horizontal="center"/>
    </xf>
    <xf numFmtId="2" fontId="22" fillId="40" borderId="87" xfId="0" applyNumberFormat="1" applyFont="1" applyFill="1" applyBorder="1" applyAlignment="1">
      <alignment horizontal="center"/>
    </xf>
    <xf numFmtId="2" fontId="22" fillId="40" borderId="49" xfId="0" applyNumberFormat="1" applyFont="1" applyFill="1" applyBorder="1" applyAlignment="1">
      <alignment horizontal="center"/>
    </xf>
    <xf numFmtId="2" fontId="22" fillId="40" borderId="52" xfId="0" applyNumberFormat="1" applyFont="1" applyFill="1" applyBorder="1" applyAlignment="1">
      <alignment horizontal="center"/>
    </xf>
    <xf numFmtId="2" fontId="22" fillId="40" borderId="47" xfId="0" applyNumberFormat="1" applyFont="1" applyFill="1" applyBorder="1" applyAlignment="1">
      <alignment horizontal="center"/>
    </xf>
    <xf numFmtId="2" fontId="22" fillId="40" borderId="17" xfId="0" applyNumberFormat="1" applyFont="1" applyFill="1" applyBorder="1" applyAlignment="1">
      <alignment horizontal="center"/>
    </xf>
    <xf numFmtId="2" fontId="22" fillId="40" borderId="18" xfId="0" applyNumberFormat="1" applyFont="1" applyFill="1" applyBorder="1" applyAlignment="1">
      <alignment horizontal="center"/>
    </xf>
    <xf numFmtId="2" fontId="81" fillId="21" borderId="16" xfId="0" applyNumberFormat="1" applyFont="1" applyFill="1" applyBorder="1" applyAlignment="1">
      <alignment horizontal="center"/>
    </xf>
    <xf numFmtId="2" fontId="81" fillId="21" borderId="70" xfId="0" applyNumberFormat="1" applyFont="1" applyFill="1" applyBorder="1" applyAlignment="1">
      <alignment horizontal="center"/>
    </xf>
    <xf numFmtId="0" fontId="0" fillId="14" borderId="1" xfId="0" applyFill="1" applyBorder="1"/>
    <xf numFmtId="165" fontId="9" fillId="0" borderId="0" xfId="0" applyNumberFormat="1" applyFont="1" applyAlignment="1" applyProtection="1">
      <alignment horizontal="center"/>
      <protection locked="0"/>
    </xf>
    <xf numFmtId="2" fontId="8" fillId="0" borderId="0" xfId="0" applyNumberFormat="1" applyFont="1" applyAlignment="1">
      <alignment horizontal="center"/>
    </xf>
    <xf numFmtId="165" fontId="9" fillId="0" borderId="1" xfId="0" applyNumberFormat="1" applyFont="1" applyBorder="1" applyAlignment="1" applyProtection="1">
      <alignment horizontal="center"/>
      <protection locked="0"/>
    </xf>
    <xf numFmtId="2" fontId="8" fillId="2" borderId="1" xfId="0" applyNumberFormat="1" applyFont="1" applyFill="1" applyBorder="1" applyAlignment="1">
      <alignment horizontal="center"/>
    </xf>
    <xf numFmtId="0" fontId="82" fillId="0" borderId="0" xfId="0" applyFont="1"/>
    <xf numFmtId="2" fontId="31" fillId="0" borderId="13" xfId="0" applyNumberFormat="1" applyFont="1" applyBorder="1" applyAlignment="1">
      <alignment horizontal="center" vertical="center"/>
    </xf>
    <xf numFmtId="2" fontId="31" fillId="0" borderId="15" xfId="0" applyNumberFormat="1" applyFont="1" applyBorder="1" applyAlignment="1">
      <alignment horizontal="center" vertical="center"/>
    </xf>
    <xf numFmtId="1" fontId="31" fillId="0" borderId="37" xfId="0" applyNumberFormat="1" applyFont="1" applyBorder="1" applyAlignment="1" applyProtection="1">
      <alignment horizontal="center" vertical="center"/>
      <protection locked="0"/>
    </xf>
    <xf numFmtId="0" fontId="30" fillId="31" borderId="48"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0" xfId="0" applyFont="1" applyFill="1" applyBorder="1" applyAlignment="1">
      <alignment horizontal="center" vertical="center" wrapText="1"/>
    </xf>
    <xf numFmtId="16" fontId="22" fillId="0" borderId="55" xfId="0" applyNumberFormat="1" applyFont="1" applyBorder="1" applyAlignment="1" applyProtection="1">
      <alignment vertical="center"/>
      <protection locked="0"/>
    </xf>
    <xf numFmtId="0" fontId="66" fillId="32" borderId="48" xfId="0" applyFont="1" applyFill="1" applyBorder="1" applyAlignment="1">
      <alignment horizontal="center" vertical="center" wrapText="1"/>
    </xf>
    <xf numFmtId="0" fontId="68" fillId="34" borderId="56" xfId="0" applyFont="1" applyFill="1" applyBorder="1" applyAlignment="1">
      <alignment horizontal="center" vertical="center" wrapText="1"/>
    </xf>
    <xf numFmtId="0" fontId="83" fillId="40" borderId="43" xfId="0" applyFont="1" applyFill="1" applyBorder="1" applyAlignment="1">
      <alignment horizontal="center" vertical="center"/>
    </xf>
    <xf numFmtId="0" fontId="83" fillId="40" borderId="55" xfId="0" applyFont="1" applyFill="1" applyBorder="1" applyAlignment="1">
      <alignment horizontal="center" vertical="center"/>
    </xf>
    <xf numFmtId="167" fontId="14" fillId="0" borderId="11" xfId="0" applyNumberFormat="1" applyFont="1" applyBorder="1" applyAlignment="1">
      <alignment horizontal="center"/>
    </xf>
    <xf numFmtId="165" fontId="14" fillId="0" borderId="11" xfId="0" applyNumberFormat="1" applyFont="1" applyBorder="1" applyAlignment="1">
      <alignment horizontal="center"/>
    </xf>
    <xf numFmtId="165" fontId="52" fillId="0" borderId="11" xfId="0" applyNumberFormat="1" applyFont="1" applyBorder="1" applyAlignment="1">
      <alignment horizontal="center"/>
    </xf>
    <xf numFmtId="0" fontId="19" fillId="7" borderId="11" xfId="0" applyFont="1" applyFill="1" applyBorder="1" applyAlignment="1">
      <alignment horizontal="center"/>
    </xf>
    <xf numFmtId="167" fontId="14" fillId="0" borderId="8" xfId="0" applyNumberFormat="1" applyFont="1" applyBorder="1" applyAlignment="1">
      <alignment horizontal="center"/>
    </xf>
    <xf numFmtId="165" fontId="14" fillId="0" borderId="8" xfId="0" applyNumberFormat="1" applyFont="1" applyBorder="1" applyAlignment="1">
      <alignment horizontal="center"/>
    </xf>
    <xf numFmtId="165" fontId="52" fillId="0" borderId="8" xfId="0" applyNumberFormat="1" applyFont="1" applyBorder="1" applyAlignment="1">
      <alignment horizontal="center"/>
    </xf>
    <xf numFmtId="167" fontId="14" fillId="0" borderId="34" xfId="0" applyNumberFormat="1" applyFont="1" applyBorder="1" applyAlignment="1">
      <alignment horizontal="center"/>
    </xf>
    <xf numFmtId="165" fontId="14" fillId="0" borderId="34" xfId="0" applyNumberFormat="1" applyFont="1" applyBorder="1" applyAlignment="1">
      <alignment horizontal="center"/>
    </xf>
    <xf numFmtId="165" fontId="52" fillId="0" borderId="34" xfId="0" applyNumberFormat="1" applyFont="1" applyBorder="1" applyAlignment="1">
      <alignment horizontal="center"/>
    </xf>
    <xf numFmtId="0" fontId="19" fillId="7" borderId="34" xfId="0" applyFont="1" applyFill="1" applyBorder="1" applyAlignment="1">
      <alignment horizontal="center"/>
    </xf>
    <xf numFmtId="0" fontId="35" fillId="7" borderId="121" xfId="0" applyFont="1" applyFill="1" applyBorder="1" applyAlignment="1">
      <alignment horizontal="center"/>
    </xf>
    <xf numFmtId="0" fontId="36" fillId="15" borderId="17" xfId="0" applyFont="1" applyFill="1" applyBorder="1" applyAlignment="1">
      <alignment horizontal="center" vertical="center"/>
    </xf>
    <xf numFmtId="0" fontId="36" fillId="15" borderId="0" xfId="0" applyFont="1" applyFill="1" applyAlignment="1">
      <alignment horizontal="center" vertical="center"/>
    </xf>
    <xf numFmtId="0" fontId="15" fillId="0" borderId="127" xfId="0" applyFont="1" applyBorder="1" applyAlignment="1">
      <alignment horizontal="center"/>
    </xf>
    <xf numFmtId="164" fontId="14" fillId="7" borderId="128" xfId="0" applyNumberFormat="1" applyFont="1" applyFill="1" applyBorder="1" applyAlignment="1" applyProtection="1">
      <alignment horizontal="center"/>
      <protection locked="0"/>
    </xf>
    <xf numFmtId="0" fontId="52" fillId="33" borderId="128" xfId="0" applyFont="1" applyFill="1" applyBorder="1" applyAlignment="1" applyProtection="1">
      <alignment horizontal="center"/>
      <protection locked="0"/>
    </xf>
    <xf numFmtId="0" fontId="0" fillId="7" borderId="37" xfId="0" applyFill="1" applyBorder="1" applyAlignment="1">
      <alignment horizontal="center"/>
    </xf>
    <xf numFmtId="0" fontId="29" fillId="33" borderId="37" xfId="0" applyFont="1" applyFill="1" applyBorder="1" applyAlignment="1">
      <alignment horizontal="center"/>
    </xf>
    <xf numFmtId="0" fontId="14" fillId="0" borderId="43" xfId="0" applyFont="1" applyBorder="1" applyAlignment="1">
      <alignment horizontal="center" vertical="center" wrapText="1"/>
    </xf>
    <xf numFmtId="165" fontId="55" fillId="7" borderId="1" xfId="0" applyNumberFormat="1" applyFont="1" applyFill="1" applyBorder="1" applyAlignment="1" applyProtection="1">
      <alignment horizontal="center"/>
      <protection locked="0"/>
    </xf>
    <xf numFmtId="165" fontId="24" fillId="7" borderId="1" xfId="0" applyNumberFormat="1" applyFont="1" applyFill="1" applyBorder="1" applyAlignment="1" applyProtection="1">
      <alignment horizontal="center"/>
      <protection locked="0"/>
    </xf>
    <xf numFmtId="165" fontId="24" fillId="7" borderId="120" xfId="0" applyNumberFormat="1" applyFont="1" applyFill="1" applyBorder="1" applyAlignment="1" applyProtection="1">
      <alignment horizontal="center"/>
      <protection locked="0"/>
    </xf>
    <xf numFmtId="0" fontId="0" fillId="0" borderId="133" xfId="0" applyBorder="1" applyAlignment="1">
      <alignment horizontal="center" vertical="center"/>
    </xf>
    <xf numFmtId="0" fontId="0" fillId="0" borderId="135" xfId="0" applyBorder="1" applyAlignment="1">
      <alignment horizontal="center" vertical="center"/>
    </xf>
    <xf numFmtId="165" fontId="55" fillId="7" borderId="4" xfId="0" applyNumberFormat="1" applyFont="1" applyFill="1" applyBorder="1" applyAlignment="1" applyProtection="1">
      <alignment horizontal="center" wrapText="1"/>
      <protection locked="0"/>
    </xf>
    <xf numFmtId="2" fontId="14" fillId="0" borderId="102" xfId="0" applyNumberFormat="1" applyFont="1" applyBorder="1" applyAlignment="1">
      <alignment horizontal="center"/>
    </xf>
    <xf numFmtId="0" fontId="30" fillId="18" borderId="71" xfId="0" applyFont="1" applyFill="1" applyBorder="1" applyAlignment="1">
      <alignment horizontal="center" vertical="center"/>
    </xf>
    <xf numFmtId="16" fontId="31" fillId="0" borderId="141" xfId="0" applyNumberFormat="1" applyFont="1" applyBorder="1" applyAlignment="1" applyProtection="1">
      <alignment horizontal="center" vertical="center"/>
      <protection locked="0"/>
    </xf>
    <xf numFmtId="16" fontId="31" fillId="0" borderId="142" xfId="0" applyNumberFormat="1" applyFont="1" applyBorder="1" applyAlignment="1" applyProtection="1">
      <alignment horizontal="center" vertical="center"/>
      <protection locked="0"/>
    </xf>
    <xf numFmtId="1" fontId="31" fillId="0" borderId="143" xfId="0" applyNumberFormat="1" applyFont="1" applyBorder="1" applyAlignment="1" applyProtection="1">
      <alignment horizontal="center" vertical="center"/>
      <protection locked="0"/>
    </xf>
    <xf numFmtId="1" fontId="31" fillId="0" borderId="144" xfId="0" applyNumberFormat="1" applyFont="1" applyBorder="1" applyAlignment="1" applyProtection="1">
      <alignment horizontal="center" vertical="center"/>
      <protection locked="0"/>
    </xf>
    <xf numFmtId="1" fontId="31" fillId="0" borderId="46" xfId="0" applyNumberFormat="1" applyFont="1" applyBorder="1" applyAlignment="1" applyProtection="1">
      <alignment horizontal="center" vertical="center"/>
      <protection locked="0"/>
    </xf>
    <xf numFmtId="2" fontId="31" fillId="0" borderId="14" xfId="0" applyNumberFormat="1" applyFont="1" applyBorder="1" applyAlignment="1">
      <alignment horizontal="center" vertical="center"/>
    </xf>
    <xf numFmtId="2" fontId="31" fillId="0" borderId="19" xfId="0" applyNumberFormat="1" applyFont="1" applyBorder="1" applyAlignment="1">
      <alignment horizontal="center" vertical="center"/>
    </xf>
    <xf numFmtId="2" fontId="31" fillId="0" borderId="21" xfId="0" applyNumberFormat="1" applyFont="1" applyBorder="1" applyAlignment="1">
      <alignment horizontal="center" vertical="center"/>
    </xf>
    <xf numFmtId="0" fontId="31" fillId="0" borderId="112" xfId="0" applyFont="1" applyBorder="1" applyAlignment="1">
      <alignment horizontal="center" vertical="center"/>
    </xf>
    <xf numFmtId="16" fontId="31" fillId="0" borderId="61" xfId="0" applyNumberFormat="1" applyFont="1" applyBorder="1" applyAlignment="1" applyProtection="1">
      <alignment horizontal="center" vertical="center"/>
      <protection locked="0"/>
    </xf>
    <xf numFmtId="1" fontId="31" fillId="0" borderId="11" xfId="0" applyNumberFormat="1" applyFont="1" applyBorder="1" applyAlignment="1" applyProtection="1">
      <alignment horizontal="center" vertical="center"/>
      <protection locked="0"/>
    </xf>
    <xf numFmtId="165" fontId="31" fillId="0" borderId="16" xfId="0" applyNumberFormat="1" applyFont="1" applyBorder="1" applyAlignment="1" applyProtection="1">
      <alignment horizontal="center" vertical="center"/>
      <protection locked="0"/>
    </xf>
    <xf numFmtId="0" fontId="31" fillId="0" borderId="145" xfId="0" applyFont="1" applyBorder="1" applyAlignment="1">
      <alignment horizontal="center" vertical="center"/>
    </xf>
    <xf numFmtId="0" fontId="87" fillId="0" borderId="0" xfId="0" applyFont="1" applyAlignment="1">
      <alignment vertical="center"/>
    </xf>
    <xf numFmtId="0" fontId="88" fillId="0" borderId="0" xfId="0" applyFont="1"/>
    <xf numFmtId="16" fontId="89" fillId="0" borderId="0" xfId="0" applyNumberFormat="1" applyFont="1" applyAlignment="1">
      <alignment horizontal="center" vertical="center" wrapText="1"/>
    </xf>
    <xf numFmtId="0" fontId="89" fillId="0" borderId="0" xfId="0" applyFont="1" applyAlignment="1">
      <alignment horizontal="center"/>
    </xf>
    <xf numFmtId="0" fontId="20" fillId="0" borderId="0" xfId="0" quotePrefix="1" applyFont="1" applyAlignment="1">
      <alignment horizontal="center" vertical="center"/>
    </xf>
    <xf numFmtId="0" fontId="90" fillId="0" borderId="0" xfId="0" applyFont="1" applyAlignment="1">
      <alignment vertical="center"/>
    </xf>
    <xf numFmtId="0" fontId="91" fillId="0" borderId="0" xfId="0" applyFont="1" applyAlignment="1">
      <alignment vertical="center"/>
    </xf>
    <xf numFmtId="0" fontId="90" fillId="0" borderId="19" xfId="0" applyFont="1" applyBorder="1" applyAlignment="1">
      <alignment vertical="center"/>
    </xf>
    <xf numFmtId="0" fontId="91" fillId="0" borderId="20" xfId="0" applyFont="1" applyBorder="1" applyAlignment="1">
      <alignment vertical="center"/>
    </xf>
    <xf numFmtId="0" fontId="91" fillId="0" borderId="21" xfId="0" applyFont="1" applyBorder="1" applyAlignment="1">
      <alignment vertical="center"/>
    </xf>
    <xf numFmtId="0" fontId="93" fillId="0" borderId="13" xfId="0" applyFont="1" applyBorder="1" applyAlignment="1">
      <alignment horizontal="center" vertical="center"/>
    </xf>
    <xf numFmtId="0" fontId="94" fillId="0" borderId="25" xfId="0" applyFont="1" applyBorder="1" applyAlignment="1">
      <alignment horizontal="center" vertical="center"/>
    </xf>
    <xf numFmtId="0" fontId="94" fillId="0" borderId="15" xfId="0" applyFont="1" applyBorder="1" applyAlignment="1">
      <alignment horizontal="center" vertical="center"/>
    </xf>
    <xf numFmtId="0" fontId="31" fillId="12" borderId="2" xfId="0" applyFont="1" applyFill="1" applyBorder="1" applyAlignment="1">
      <alignment horizontal="center" vertical="center"/>
    </xf>
    <xf numFmtId="0" fontId="95" fillId="12" borderId="146" xfId="0" applyFont="1" applyFill="1" applyBorder="1" applyAlignment="1">
      <alignment horizontal="center" vertical="center" wrapText="1"/>
    </xf>
    <xf numFmtId="0" fontId="95" fillId="12" borderId="2" xfId="0" applyFont="1" applyFill="1" applyBorder="1" applyAlignment="1">
      <alignment horizontal="center" vertical="center" wrapText="1"/>
    </xf>
    <xf numFmtId="0" fontId="81" fillId="21" borderId="2" xfId="0" applyFont="1" applyFill="1" applyBorder="1" applyAlignment="1">
      <alignment horizontal="center" vertical="center"/>
    </xf>
    <xf numFmtId="1" fontId="96" fillId="0" borderId="147" xfId="0" applyNumberFormat="1" applyFont="1" applyBorder="1" applyAlignment="1">
      <alignment horizontal="center" vertical="center"/>
    </xf>
    <xf numFmtId="0" fontId="31" fillId="0" borderId="148" xfId="0" applyFont="1" applyBorder="1" applyAlignment="1">
      <alignment horizontal="center" vertical="center"/>
    </xf>
    <xf numFmtId="1" fontId="96" fillId="0" borderId="149" xfId="0" applyNumberFormat="1" applyFont="1" applyBorder="1" applyAlignment="1">
      <alignment horizontal="center" vertical="center"/>
    </xf>
    <xf numFmtId="0" fontId="31" fillId="0" borderId="13" xfId="0" applyFont="1" applyBorder="1" applyAlignment="1">
      <alignment horizontal="center" vertical="center"/>
    </xf>
    <xf numFmtId="1" fontId="96" fillId="0" borderId="150" xfId="0" applyNumberFormat="1" applyFont="1" applyBorder="1" applyAlignment="1">
      <alignment horizontal="center" vertical="center"/>
    </xf>
    <xf numFmtId="0" fontId="31" fillId="0" borderId="0" xfId="0" applyFont="1" applyAlignment="1">
      <alignment vertical="center"/>
    </xf>
    <xf numFmtId="0" fontId="96" fillId="0" borderId="0" xfId="0" applyFont="1" applyAlignment="1">
      <alignment vertical="center"/>
    </xf>
    <xf numFmtId="16" fontId="31" fillId="0" borderId="148" xfId="0" applyNumberFormat="1" applyFont="1" applyBorder="1" applyAlignment="1">
      <alignment horizontal="center" vertical="center"/>
    </xf>
    <xf numFmtId="0" fontId="34" fillId="0" borderId="0" xfId="0" applyFont="1" applyAlignment="1">
      <alignment vertical="center" wrapText="1"/>
    </xf>
    <xf numFmtId="0" fontId="34" fillId="0" borderId="0" xfId="0" applyFont="1" applyAlignment="1">
      <alignment vertical="center"/>
    </xf>
    <xf numFmtId="1" fontId="96" fillId="0" borderId="151" xfId="0" applyNumberFormat="1" applyFont="1" applyBorder="1" applyAlignment="1">
      <alignment horizontal="center" vertical="center"/>
    </xf>
    <xf numFmtId="1" fontId="96" fillId="0" borderId="152" xfId="0" applyNumberFormat="1" applyFont="1" applyBorder="1" applyAlignment="1">
      <alignment horizontal="center" vertical="center"/>
    </xf>
    <xf numFmtId="1" fontId="96" fillId="0" borderId="124" xfId="0" applyNumberFormat="1" applyFont="1" applyBorder="1" applyAlignment="1">
      <alignment horizontal="center" vertical="center"/>
    </xf>
    <xf numFmtId="0" fontId="90" fillId="0" borderId="2" xfId="0" applyFont="1" applyBorder="1" applyAlignment="1">
      <alignment vertical="center"/>
    </xf>
    <xf numFmtId="1" fontId="90" fillId="0" borderId="33" xfId="0" applyNumberFormat="1" applyFont="1" applyBorder="1" applyAlignment="1">
      <alignment horizontal="center" vertical="center"/>
    </xf>
    <xf numFmtId="1" fontId="90" fillId="0" borderId="8" xfId="0" applyNumberFormat="1" applyFont="1" applyBorder="1" applyAlignment="1">
      <alignment horizontal="center" vertical="center"/>
    </xf>
    <xf numFmtId="0" fontId="98" fillId="0" borderId="0" xfId="0" applyFont="1" applyAlignment="1">
      <alignment horizontal="center"/>
    </xf>
    <xf numFmtId="164" fontId="14" fillId="7" borderId="29" xfId="0" quotePrefix="1" applyNumberFormat="1" applyFont="1" applyFill="1" applyBorder="1" applyAlignment="1" applyProtection="1">
      <alignment horizontal="center"/>
      <protection locked="0"/>
    </xf>
    <xf numFmtId="0" fontId="56" fillId="0" borderId="28" xfId="0" applyFont="1" applyBorder="1" applyAlignment="1" applyProtection="1">
      <alignment horizontal="center" vertical="center"/>
      <protection locked="0"/>
    </xf>
    <xf numFmtId="0" fontId="14" fillId="0" borderId="0" xfId="0" applyFont="1" applyAlignment="1">
      <alignment horizontal="center"/>
    </xf>
    <xf numFmtId="1" fontId="14" fillId="0" borderId="0" xfId="0" applyNumberFormat="1" applyFont="1" applyAlignment="1">
      <alignment horizontal="center"/>
    </xf>
    <xf numFmtId="0" fontId="14" fillId="0" borderId="0" xfId="0" applyFont="1" applyAlignment="1">
      <alignment horizontal="center" vertical="center"/>
    </xf>
    <xf numFmtId="0" fontId="14" fillId="0" borderId="157" xfId="0" applyFont="1" applyBorder="1" applyAlignment="1">
      <alignment horizontal="center" vertical="center"/>
    </xf>
    <xf numFmtId="0" fontId="14" fillId="0" borderId="157" xfId="0" applyFont="1" applyBorder="1" applyAlignment="1">
      <alignment horizontal="center" vertical="center" wrapText="1"/>
    </xf>
    <xf numFmtId="0" fontId="14" fillId="0" borderId="158" xfId="0" applyFont="1" applyBorder="1" applyAlignment="1">
      <alignment horizontal="center"/>
    </xf>
    <xf numFmtId="1" fontId="14" fillId="0" borderId="159" xfId="0" applyNumberFormat="1" applyFont="1" applyBorder="1" applyAlignment="1">
      <alignment horizontal="center"/>
    </xf>
    <xf numFmtId="0" fontId="14" fillId="0" borderId="159" xfId="0" applyFont="1" applyBorder="1" applyAlignment="1">
      <alignment horizontal="center" vertical="center"/>
    </xf>
    <xf numFmtId="0" fontId="14" fillId="0" borderId="160" xfId="0" applyFont="1" applyBorder="1" applyAlignment="1">
      <alignment horizontal="center" vertical="center"/>
    </xf>
    <xf numFmtId="0" fontId="31" fillId="19" borderId="35" xfId="0" applyFont="1" applyFill="1" applyBorder="1" applyAlignment="1">
      <alignment horizontal="center" vertical="center"/>
    </xf>
    <xf numFmtId="0" fontId="27" fillId="0" borderId="55" xfId="0" applyFont="1" applyBorder="1" applyAlignment="1" applyProtection="1">
      <alignment horizontal="right" vertical="center"/>
      <protection locked="0"/>
    </xf>
    <xf numFmtId="0" fontId="99" fillId="0" borderId="1" xfId="0" applyFont="1" applyBorder="1" applyAlignment="1" applyProtection="1">
      <alignment horizontal="center"/>
      <protection hidden="1"/>
    </xf>
    <xf numFmtId="0" fontId="27" fillId="0" borderId="144" xfId="0" applyFont="1" applyBorder="1" applyAlignment="1" applyProtection="1">
      <alignment horizontal="right" vertical="center"/>
      <protection locked="0"/>
    </xf>
    <xf numFmtId="0" fontId="27" fillId="0" borderId="125" xfId="0" applyFont="1" applyBorder="1" applyAlignment="1" applyProtection="1">
      <alignment horizontal="right" vertical="center"/>
      <protection locked="0"/>
    </xf>
    <xf numFmtId="2" fontId="22" fillId="40" borderId="43" xfId="0" applyNumberFormat="1" applyFont="1" applyFill="1" applyBorder="1" applyAlignment="1">
      <alignment horizontal="center"/>
    </xf>
    <xf numFmtId="0" fontId="30" fillId="31" borderId="55" xfId="0" applyFont="1" applyFill="1" applyBorder="1" applyAlignment="1">
      <alignment horizontal="center" vertical="center" wrapText="1"/>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14" fillId="0" borderId="43" xfId="0" applyFont="1" applyBorder="1" applyAlignment="1" applyProtection="1">
      <alignment horizontal="center"/>
      <protection locked="0"/>
    </xf>
    <xf numFmtId="0" fontId="31" fillId="19" borderId="19" xfId="0" applyFont="1" applyFill="1" applyBorder="1" applyAlignment="1">
      <alignment horizontal="center" vertical="center"/>
    </xf>
    <xf numFmtId="1" fontId="31" fillId="44" borderId="37" xfId="0" applyNumberFormat="1" applyFont="1" applyFill="1" applyBorder="1" applyAlignment="1">
      <alignment horizontal="center" vertical="center"/>
    </xf>
    <xf numFmtId="0" fontId="54" fillId="7" borderId="161" xfId="0" applyFont="1" applyFill="1" applyBorder="1" applyAlignment="1">
      <alignment horizontal="center"/>
    </xf>
    <xf numFmtId="0" fontId="54" fillId="7" borderId="128" xfId="0" applyFont="1" applyFill="1" applyBorder="1" applyAlignment="1">
      <alignment horizontal="center"/>
    </xf>
    <xf numFmtId="0" fontId="0" fillId="0" borderId="161" xfId="0" applyBorder="1" applyProtection="1">
      <protection locked="0"/>
    </xf>
    <xf numFmtId="0" fontId="0" fillId="0" borderId="163" xfId="0" applyBorder="1" applyProtection="1">
      <protection locked="0"/>
    </xf>
    <xf numFmtId="0" fontId="0" fillId="0" borderId="164" xfId="0" applyBorder="1" applyProtection="1">
      <protection locked="0"/>
    </xf>
    <xf numFmtId="0" fontId="14" fillId="0" borderId="32" xfId="0" applyFont="1" applyBorder="1" applyAlignment="1" applyProtection="1">
      <alignment horizontal="center"/>
      <protection locked="0"/>
    </xf>
    <xf numFmtId="0" fontId="14" fillId="0" borderId="31" xfId="0" applyFont="1" applyBorder="1" applyAlignment="1" applyProtection="1">
      <alignment horizontal="center"/>
      <protection locked="0"/>
    </xf>
    <xf numFmtId="0" fontId="14" fillId="0" borderId="27" xfId="0" applyFont="1" applyBorder="1" applyAlignment="1" applyProtection="1">
      <alignment horizontal="center"/>
      <protection locked="0"/>
    </xf>
    <xf numFmtId="0" fontId="14" fillId="0" borderId="29" xfId="0" applyFont="1" applyBorder="1" applyAlignment="1" applyProtection="1">
      <alignment horizontal="center"/>
      <protection locked="0"/>
    </xf>
    <xf numFmtId="1" fontId="31" fillId="0" borderId="18" xfId="0" applyNumberFormat="1" applyFont="1" applyBorder="1" applyAlignment="1" applyProtection="1">
      <alignment horizontal="center" vertical="center"/>
      <protection locked="0"/>
    </xf>
    <xf numFmtId="1" fontId="31" fillId="0" borderId="35" xfId="0" applyNumberFormat="1" applyFont="1" applyBorder="1" applyAlignment="1" applyProtection="1">
      <alignment horizontal="center" vertical="center"/>
      <protection locked="0"/>
    </xf>
    <xf numFmtId="2" fontId="22" fillId="40" borderId="122" xfId="0" applyNumberFormat="1" applyFont="1" applyFill="1" applyBorder="1" applyAlignment="1">
      <alignment horizontal="center"/>
    </xf>
    <xf numFmtId="2" fontId="22" fillId="40" borderId="60" xfId="0" applyNumberFormat="1" applyFont="1" applyFill="1" applyBorder="1" applyAlignment="1">
      <alignment horizontal="center"/>
    </xf>
    <xf numFmtId="0" fontId="40" fillId="41" borderId="11" xfId="0" applyFont="1" applyFill="1" applyBorder="1" applyAlignment="1">
      <alignment horizontal="center" wrapText="1"/>
    </xf>
    <xf numFmtId="0" fontId="40" fillId="41" borderId="17" xfId="0" applyFont="1" applyFill="1" applyBorder="1" applyAlignment="1">
      <alignment horizontal="center" wrapText="1"/>
    </xf>
    <xf numFmtId="0" fontId="27" fillId="0" borderId="0" xfId="0" applyFont="1" applyAlignment="1" applyProtection="1">
      <alignment horizontal="right" vertical="center"/>
      <protection locked="0"/>
    </xf>
    <xf numFmtId="0" fontId="0" fillId="28" borderId="29" xfId="0" applyFill="1" applyBorder="1" applyAlignment="1" applyProtection="1">
      <alignment horizontal="center" wrapText="1"/>
      <protection locked="0"/>
    </xf>
    <xf numFmtId="1" fontId="0" fillId="28" borderId="8" xfId="0" applyNumberFormat="1" applyFill="1" applyBorder="1" applyAlignment="1" applyProtection="1">
      <alignment horizontal="center" wrapText="1"/>
      <protection locked="0"/>
    </xf>
    <xf numFmtId="1" fontId="31" fillId="0" borderId="33" xfId="0" quotePrefix="1" applyNumberFormat="1" applyFont="1" applyBorder="1" applyAlignment="1" applyProtection="1">
      <alignment horizontal="center" vertical="center"/>
      <protection locked="0"/>
    </xf>
    <xf numFmtId="1" fontId="31" fillId="0" borderId="43" xfId="0" applyNumberFormat="1" applyFont="1" applyBorder="1" applyAlignment="1" applyProtection="1">
      <alignment horizontal="center" vertical="center"/>
      <protection locked="0"/>
    </xf>
    <xf numFmtId="0" fontId="0" fillId="0" borderId="163" xfId="0" applyBorder="1" applyAlignment="1" applyProtection="1">
      <alignment horizontal="center"/>
      <protection locked="0"/>
    </xf>
    <xf numFmtId="167" fontId="0" fillId="7" borderId="120" xfId="0" applyNumberFormat="1" applyFill="1" applyBorder="1" applyAlignment="1" applyProtection="1">
      <alignment horizontal="center"/>
      <protection locked="0"/>
    </xf>
    <xf numFmtId="164" fontId="14" fillId="7" borderId="120" xfId="0" applyNumberFormat="1" applyFont="1" applyFill="1" applyBorder="1" applyAlignment="1" applyProtection="1">
      <alignment horizontal="center"/>
      <protection locked="0"/>
    </xf>
    <xf numFmtId="1" fontId="21" fillId="0" borderId="120" xfId="0" applyNumberFormat="1" applyFont="1" applyBorder="1" applyAlignment="1" applyProtection="1">
      <alignment horizontal="center"/>
      <protection locked="0"/>
    </xf>
    <xf numFmtId="0" fontId="19" fillId="0" borderId="120" xfId="0" applyFont="1" applyBorder="1" applyAlignment="1">
      <alignment horizontal="center" vertical="center"/>
    </xf>
    <xf numFmtId="0" fontId="14" fillId="0" borderId="120" xfId="0" applyFont="1" applyBorder="1" applyAlignment="1">
      <alignment horizontal="center"/>
    </xf>
    <xf numFmtId="0" fontId="14" fillId="7" borderId="120" xfId="0" applyFont="1" applyFill="1" applyBorder="1" applyAlignment="1" applyProtection="1">
      <alignment horizontal="center" vertical="center"/>
      <protection locked="0"/>
    </xf>
    <xf numFmtId="2" fontId="52" fillId="0" borderId="120" xfId="0" applyNumberFormat="1" applyFont="1" applyBorder="1" applyAlignment="1" applyProtection="1">
      <alignment horizontal="center"/>
      <protection locked="0"/>
    </xf>
    <xf numFmtId="0" fontId="0" fillId="0" borderId="120" xfId="0" applyBorder="1"/>
    <xf numFmtId="0" fontId="0" fillId="0" borderId="120" xfId="0" applyBorder="1" applyAlignment="1">
      <alignment horizontal="center"/>
    </xf>
    <xf numFmtId="0" fontId="11" fillId="0" borderId="120" xfId="0" applyFont="1" applyBorder="1" applyAlignment="1">
      <alignment horizontal="center"/>
    </xf>
    <xf numFmtId="0" fontId="11" fillId="0" borderId="120" xfId="0" applyFont="1" applyBorder="1"/>
    <xf numFmtId="167" fontId="0" fillId="7" borderId="38" xfId="0" applyNumberFormat="1" applyFill="1" applyBorder="1" applyAlignment="1" applyProtection="1">
      <alignment horizontal="center"/>
      <protection locked="0"/>
    </xf>
    <xf numFmtId="164" fontId="0" fillId="7" borderId="83" xfId="0" applyNumberFormat="1" applyFill="1" applyBorder="1" applyAlignment="1">
      <alignment horizontal="center"/>
    </xf>
    <xf numFmtId="164" fontId="14" fillId="7" borderId="165" xfId="0" applyNumberFormat="1" applyFont="1" applyFill="1" applyBorder="1" applyAlignment="1" applyProtection="1">
      <alignment horizontal="center"/>
      <protection locked="0"/>
    </xf>
    <xf numFmtId="164" fontId="14" fillId="7" borderId="114" xfId="0" applyNumberFormat="1" applyFont="1" applyFill="1" applyBorder="1" applyAlignment="1" applyProtection="1">
      <alignment horizontal="center"/>
      <protection locked="0"/>
    </xf>
    <xf numFmtId="0" fontId="0" fillId="7" borderId="39" xfId="0" applyFill="1" applyBorder="1" applyAlignment="1">
      <alignment horizontal="center"/>
    </xf>
    <xf numFmtId="0" fontId="0" fillId="7" borderId="165" xfId="0" applyFill="1" applyBorder="1" applyAlignment="1">
      <alignment horizontal="center"/>
    </xf>
    <xf numFmtId="0" fontId="19" fillId="7" borderId="83" xfId="0" applyFont="1" applyFill="1" applyBorder="1" applyAlignment="1">
      <alignment horizontal="center"/>
    </xf>
    <xf numFmtId="1" fontId="21" fillId="0" borderId="165" xfId="0" applyNumberFormat="1" applyFont="1" applyBorder="1" applyAlignment="1" applyProtection="1">
      <alignment horizontal="center"/>
      <protection locked="0"/>
    </xf>
    <xf numFmtId="0" fontId="19" fillId="0" borderId="35" xfId="0" applyFont="1" applyBorder="1" applyAlignment="1">
      <alignment horizontal="center" vertical="center"/>
    </xf>
    <xf numFmtId="0" fontId="14" fillId="0" borderId="94" xfId="0" applyFont="1" applyBorder="1" applyAlignment="1">
      <alignment horizontal="center"/>
    </xf>
    <xf numFmtId="0" fontId="19" fillId="0" borderId="166" xfId="0" applyFont="1" applyBorder="1" applyAlignment="1">
      <alignment horizontal="center" vertical="center"/>
    </xf>
    <xf numFmtId="0" fontId="14" fillId="7" borderId="41" xfId="0" applyFont="1" applyFill="1" applyBorder="1" applyAlignment="1" applyProtection="1">
      <alignment horizontal="center" vertical="center"/>
      <protection locked="0"/>
    </xf>
    <xf numFmtId="2" fontId="52" fillId="0" borderId="167" xfId="0" applyNumberFormat="1" applyFont="1" applyBorder="1" applyAlignment="1" applyProtection="1">
      <alignment horizontal="center"/>
      <protection locked="0"/>
    </xf>
    <xf numFmtId="1" fontId="19" fillId="16" borderId="14" xfId="0" applyNumberFormat="1" applyFont="1" applyFill="1" applyBorder="1" applyAlignment="1">
      <alignment horizontal="center" vertical="center"/>
    </xf>
    <xf numFmtId="0" fontId="27" fillId="16" borderId="43" xfId="0" applyFont="1" applyFill="1" applyBorder="1" applyAlignment="1" applyProtection="1">
      <alignment horizontal="right" vertical="center"/>
      <protection locked="0"/>
    </xf>
    <xf numFmtId="0" fontId="27" fillId="16" borderId="33" xfId="0" applyFont="1" applyFill="1" applyBorder="1" applyAlignment="1" applyProtection="1">
      <alignment horizontal="right" vertical="center"/>
      <protection locked="0"/>
    </xf>
    <xf numFmtId="0" fontId="27" fillId="16" borderId="2" xfId="0" applyFont="1" applyFill="1" applyBorder="1" applyAlignment="1" applyProtection="1">
      <alignment horizontal="right" vertical="center"/>
      <protection locked="0"/>
    </xf>
    <xf numFmtId="0" fontId="14" fillId="5" borderId="14" xfId="0" applyFont="1" applyFill="1" applyBorder="1" applyAlignment="1">
      <alignment horizontal="center" vertical="center"/>
    </xf>
    <xf numFmtId="0" fontId="0" fillId="5" borderId="2" xfId="0"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39" xfId="0" applyBorder="1" applyAlignment="1" applyProtection="1">
      <alignment horizontal="right"/>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16" fontId="14" fillId="7" borderId="95" xfId="0" applyNumberFormat="1" applyFont="1" applyFill="1" applyBorder="1" applyAlignment="1" applyProtection="1">
      <alignment horizontal="center" vertical="center"/>
      <protection locked="0"/>
    </xf>
    <xf numFmtId="0" fontId="0" fillId="13" borderId="133" xfId="0" applyFill="1" applyBorder="1" applyAlignment="1">
      <alignment horizontal="center" vertical="center"/>
    </xf>
    <xf numFmtId="0" fontId="0" fillId="40" borderId="139" xfId="0" applyFill="1" applyBorder="1"/>
    <xf numFmtId="1" fontId="32" fillId="0" borderId="33" xfId="0" applyNumberFormat="1" applyFont="1" applyBorder="1" applyAlignment="1" applyProtection="1">
      <alignment horizontal="center" vertical="center"/>
      <protection locked="0"/>
    </xf>
    <xf numFmtId="0" fontId="31" fillId="19" borderId="169" xfId="0" applyFont="1" applyFill="1" applyBorder="1" applyAlignment="1">
      <alignment horizontal="center" vertical="center"/>
    </xf>
    <xf numFmtId="0" fontId="31" fillId="19" borderId="170" xfId="0" applyFont="1" applyFill="1" applyBorder="1" applyAlignment="1">
      <alignment horizontal="center" vertical="center"/>
    </xf>
    <xf numFmtId="165" fontId="31" fillId="0" borderId="171" xfId="0" applyNumberFormat="1" applyFont="1" applyBorder="1" applyAlignment="1" applyProtection="1">
      <alignment horizontal="center" vertical="center"/>
      <protection locked="0"/>
    </xf>
    <xf numFmtId="165" fontId="31" fillId="0" borderId="172" xfId="0" applyNumberFormat="1" applyFont="1" applyBorder="1" applyAlignment="1" applyProtection="1">
      <alignment horizontal="center" vertical="center"/>
      <protection locked="0"/>
    </xf>
    <xf numFmtId="1" fontId="31" fillId="0" borderId="171" xfId="0" applyNumberFormat="1" applyFont="1" applyBorder="1" applyAlignment="1" applyProtection="1">
      <alignment horizontal="center" vertical="center"/>
      <protection locked="0"/>
    </xf>
    <xf numFmtId="1" fontId="31" fillId="0" borderId="172" xfId="0" applyNumberFormat="1" applyFont="1" applyBorder="1" applyAlignment="1" applyProtection="1">
      <alignment horizontal="center" vertical="center"/>
      <protection locked="0"/>
    </xf>
    <xf numFmtId="1" fontId="31" fillId="0" borderId="70" xfId="0" applyNumberFormat="1" applyFont="1" applyBorder="1" applyAlignment="1" applyProtection="1">
      <alignment horizontal="center" vertical="center"/>
      <protection locked="0"/>
    </xf>
    <xf numFmtId="1" fontId="31" fillId="0" borderId="47" xfId="0" applyNumberFormat="1" applyFont="1" applyBorder="1" applyAlignment="1" applyProtection="1">
      <alignment horizontal="center" vertical="center"/>
      <protection locked="0"/>
    </xf>
    <xf numFmtId="1" fontId="31" fillId="0" borderId="74" xfId="0" applyNumberFormat="1" applyFont="1" applyBorder="1" applyAlignment="1" applyProtection="1">
      <alignment horizontal="center" vertical="center"/>
      <protection locked="0"/>
    </xf>
    <xf numFmtId="2" fontId="31" fillId="0" borderId="59" xfId="0" applyNumberFormat="1" applyFont="1" applyBorder="1" applyAlignment="1">
      <alignment horizontal="center" vertical="center"/>
    </xf>
    <xf numFmtId="2" fontId="31" fillId="0" borderId="113" xfId="0" applyNumberFormat="1" applyFont="1" applyBorder="1" applyAlignment="1">
      <alignment horizontal="center" vertical="center"/>
    </xf>
    <xf numFmtId="0" fontId="21" fillId="19" borderId="124" xfId="0" applyFont="1" applyFill="1" applyBorder="1" applyAlignment="1">
      <alignment horizontal="center" vertical="center" wrapText="1"/>
    </xf>
    <xf numFmtId="0" fontId="10" fillId="0" borderId="19" xfId="0" applyFont="1" applyBorder="1" applyAlignment="1">
      <alignment horizontal="center" vertical="center"/>
    </xf>
    <xf numFmtId="0" fontId="31" fillId="19" borderId="21" xfId="0" applyFont="1" applyFill="1" applyBorder="1" applyAlignment="1">
      <alignment horizontal="center" vertical="center"/>
    </xf>
    <xf numFmtId="165" fontId="31" fillId="0" borderId="28" xfId="0" applyNumberFormat="1" applyFont="1" applyBorder="1" applyAlignment="1" applyProtection="1">
      <alignment horizontal="center" vertical="center"/>
      <protection locked="0"/>
    </xf>
    <xf numFmtId="1" fontId="31" fillId="0" borderId="28" xfId="0" applyNumberFormat="1" applyFont="1" applyBorder="1" applyAlignment="1" applyProtection="1">
      <alignment horizontal="center" vertical="center"/>
      <protection locked="0"/>
    </xf>
    <xf numFmtId="1" fontId="31" fillId="0" borderId="173" xfId="0" applyNumberFormat="1" applyFont="1" applyBorder="1" applyAlignment="1" applyProtection="1">
      <alignment horizontal="center" vertical="center"/>
      <protection locked="0"/>
    </xf>
    <xf numFmtId="0" fontId="54" fillId="7" borderId="114" xfId="0" applyFont="1" applyFill="1" applyBorder="1" applyAlignment="1">
      <alignment horizontal="center"/>
    </xf>
    <xf numFmtId="1" fontId="31" fillId="0" borderId="32" xfId="0" applyNumberFormat="1" applyFont="1" applyBorder="1" applyAlignment="1" applyProtection="1">
      <alignment horizontal="center" vertical="center"/>
      <protection locked="0"/>
    </xf>
    <xf numFmtId="0" fontId="54" fillId="7" borderId="44" xfId="0" applyFont="1" applyFill="1" applyBorder="1" applyAlignment="1">
      <alignment horizontal="center"/>
    </xf>
    <xf numFmtId="1" fontId="31" fillId="44" borderId="161" xfId="0" applyNumberFormat="1" applyFont="1" applyFill="1" applyBorder="1" applyAlignment="1">
      <alignment horizontal="center" vertical="center"/>
    </xf>
    <xf numFmtId="1" fontId="31" fillId="44" borderId="128" xfId="0" applyNumberFormat="1" applyFont="1" applyFill="1" applyBorder="1" applyAlignment="1">
      <alignment horizontal="center" vertical="center"/>
    </xf>
    <xf numFmtId="1" fontId="31" fillId="0" borderId="162" xfId="0" applyNumberFormat="1" applyFont="1" applyBorder="1" applyAlignment="1" applyProtection="1">
      <alignment horizontal="center" vertical="center"/>
      <protection locked="0"/>
    </xf>
    <xf numFmtId="2" fontId="52" fillId="0" borderId="107" xfId="0" applyNumberFormat="1" applyFont="1" applyBorder="1" applyAlignment="1">
      <alignment horizontal="center"/>
    </xf>
    <xf numFmtId="165" fontId="102" fillId="0" borderId="1" xfId="0" applyNumberFormat="1" applyFont="1" applyBorder="1" applyAlignment="1" applyProtection="1">
      <alignment horizontal="center" vertical="center"/>
      <protection hidden="1"/>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0" fontId="14" fillId="0" borderId="83" xfId="0" applyFont="1" applyBorder="1" applyAlignment="1">
      <alignment horizontal="left" vertical="center"/>
    </xf>
    <xf numFmtId="0" fontId="14" fillId="0" borderId="35" xfId="0" applyFont="1" applyBorder="1" applyAlignment="1">
      <alignment horizontal="left" vertic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0" xfId="0" applyAlignment="1" applyProtection="1">
      <alignment horizontal="right"/>
      <protection locked="0"/>
    </xf>
    <xf numFmtId="0" fontId="0" fillId="0" borderId="39" xfId="0" applyBorder="1" applyAlignment="1" applyProtection="1">
      <alignment horizontal="right"/>
      <protection locked="0"/>
    </xf>
    <xf numFmtId="0" fontId="0" fillId="0" borderId="19" xfId="0" applyBorder="1" applyAlignment="1" applyProtection="1">
      <alignment horizontal="right"/>
      <protection locked="0"/>
    </xf>
    <xf numFmtId="0" fontId="0" fillId="0" borderId="20" xfId="0" applyBorder="1" applyAlignment="1" applyProtection="1">
      <alignment horizontal="right"/>
      <protection locked="0"/>
    </xf>
    <xf numFmtId="0" fontId="0" fillId="0" borderId="21" xfId="0" applyBorder="1" applyAlignment="1" applyProtection="1">
      <alignment horizontal="right"/>
      <protection locked="0"/>
    </xf>
    <xf numFmtId="0" fontId="34" fillId="14" borderId="71" xfId="0" applyFont="1" applyFill="1" applyBorder="1" applyAlignment="1">
      <alignment horizontal="center" vertical="center"/>
    </xf>
    <xf numFmtId="0" fontId="34" fillId="14" borderId="68" xfId="0" applyFont="1" applyFill="1" applyBorder="1" applyAlignment="1">
      <alignment horizontal="center" vertical="center"/>
    </xf>
    <xf numFmtId="0" fontId="34" fillId="14" borderId="58" xfId="0" applyFont="1" applyFill="1" applyBorder="1" applyAlignment="1">
      <alignment horizontal="center" vertical="center"/>
    </xf>
    <xf numFmtId="0" fontId="34" fillId="14" borderId="50" xfId="0" applyFont="1" applyFill="1" applyBorder="1" applyAlignment="1">
      <alignment horizontal="center" vertical="center"/>
    </xf>
    <xf numFmtId="0" fontId="15" fillId="14" borderId="16" xfId="0" applyFont="1" applyFill="1" applyBorder="1" applyAlignment="1">
      <alignment horizontal="center"/>
    </xf>
    <xf numFmtId="0" fontId="15" fillId="14" borderId="17" xfId="0" applyFont="1" applyFill="1" applyBorder="1" applyAlignment="1">
      <alignment horizontal="center"/>
    </xf>
    <xf numFmtId="0" fontId="15" fillId="14" borderId="18" xfId="0" applyFont="1" applyFill="1" applyBorder="1" applyAlignment="1">
      <alignment horizontal="center"/>
    </xf>
    <xf numFmtId="0" fontId="14" fillId="0" borderId="14" xfId="0" applyFont="1" applyBorder="1" applyAlignment="1">
      <alignment horizontal="left" vertical="center"/>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0" fontId="15" fillId="14" borderId="60" xfId="0" applyFont="1" applyFill="1" applyBorder="1" applyAlignment="1">
      <alignment horizontal="right"/>
    </xf>
    <xf numFmtId="0" fontId="15" fillId="14" borderId="76" xfId="0" applyFont="1" applyFill="1" applyBorder="1" applyAlignment="1">
      <alignment horizontal="right"/>
    </xf>
    <xf numFmtId="0" fontId="15" fillId="14" borderId="13" xfId="0" applyFont="1" applyFill="1" applyBorder="1" applyAlignment="1">
      <alignment horizontal="center"/>
    </xf>
    <xf numFmtId="0" fontId="15" fillId="14" borderId="25" xfId="0" applyFont="1" applyFill="1" applyBorder="1" applyAlignment="1">
      <alignment horizontal="center"/>
    </xf>
    <xf numFmtId="0" fontId="15" fillId="14" borderId="92" xfId="0" applyFont="1" applyFill="1" applyBorder="1" applyAlignment="1">
      <alignment horizontal="center"/>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7" borderId="88" xfId="0" applyNumberFormat="1" applyFont="1" applyFill="1" applyBorder="1" applyAlignment="1" applyProtection="1">
      <alignment horizontal="center" vertical="center"/>
      <protection locked="0"/>
    </xf>
    <xf numFmtId="16" fontId="14" fillId="7" borderId="41" xfId="0" applyNumberFormat="1" applyFont="1" applyFill="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0" fontId="33" fillId="12" borderId="0" xfId="0" applyFont="1" applyFill="1" applyAlignment="1">
      <alignment horizontal="center"/>
    </xf>
    <xf numFmtId="0" fontId="57" fillId="0" borderId="13" xfId="0" applyFont="1" applyBorder="1" applyAlignment="1">
      <alignment horizontal="center" vertical="center"/>
    </xf>
    <xf numFmtId="0" fontId="57" fillId="0" borderId="25" xfId="0" applyFont="1" applyBorder="1" applyAlignment="1">
      <alignment horizontal="center" vertical="center"/>
    </xf>
    <xf numFmtId="0" fontId="57" fillId="0" borderId="15" xfId="0" applyFont="1" applyBorder="1" applyAlignment="1">
      <alignment horizontal="center" vertical="center"/>
    </xf>
    <xf numFmtId="0" fontId="35" fillId="21" borderId="13" xfId="0" applyFont="1" applyFill="1" applyBorder="1" applyAlignment="1">
      <alignment horizontal="center" vertical="center"/>
    </xf>
    <xf numFmtId="0" fontId="35" fillId="21" borderId="25" xfId="0" applyFont="1" applyFill="1" applyBorder="1" applyAlignment="1">
      <alignment horizontal="center" vertical="center"/>
    </xf>
    <xf numFmtId="0" fontId="35" fillId="21" borderId="15" xfId="0" applyFont="1" applyFill="1" applyBorder="1" applyAlignment="1">
      <alignment horizontal="center" vertical="center"/>
    </xf>
    <xf numFmtId="0" fontId="57" fillId="12" borderId="16" xfId="0" applyFont="1" applyFill="1" applyBorder="1" applyAlignment="1">
      <alignment horizontal="center" vertical="center"/>
    </xf>
    <xf numFmtId="0" fontId="57" fillId="12" borderId="17" xfId="0" applyFont="1" applyFill="1" applyBorder="1" applyAlignment="1">
      <alignment horizontal="center" vertical="center"/>
    </xf>
    <xf numFmtId="0" fontId="57" fillId="12" borderId="18" xfId="0" applyFont="1" applyFill="1" applyBorder="1" applyAlignment="1">
      <alignment horizontal="center" vertical="center"/>
    </xf>
    <xf numFmtId="0" fontId="57" fillId="12" borderId="19" xfId="0" applyFont="1" applyFill="1" applyBorder="1" applyAlignment="1">
      <alignment horizontal="center" vertical="center"/>
    </xf>
    <xf numFmtId="0" fontId="57" fillId="12" borderId="20" xfId="0" applyFont="1" applyFill="1" applyBorder="1" applyAlignment="1">
      <alignment horizontal="center" vertical="center"/>
    </xf>
    <xf numFmtId="0" fontId="57" fillId="12" borderId="21" xfId="0" applyFont="1" applyFill="1" applyBorder="1" applyAlignment="1">
      <alignment horizontal="center" vertical="center"/>
    </xf>
    <xf numFmtId="165" fontId="25" fillId="16" borderId="79" xfId="0" applyNumberFormat="1" applyFont="1" applyFill="1" applyBorder="1" applyAlignment="1">
      <alignment horizontal="center" vertical="center"/>
    </xf>
    <xf numFmtId="165" fontId="25" fillId="16" borderId="80" xfId="0" applyNumberFormat="1" applyFont="1" applyFill="1" applyBorder="1" applyAlignment="1">
      <alignment horizontal="center" vertical="center"/>
    </xf>
    <xf numFmtId="0" fontId="19" fillId="17" borderId="48" xfId="0" applyFont="1" applyFill="1" applyBorder="1" applyAlignment="1">
      <alignment horizontal="center"/>
    </xf>
    <xf numFmtId="0" fontId="19" fillId="17" borderId="55" xfId="0" applyFont="1" applyFill="1" applyBorder="1" applyAlignment="1">
      <alignment horizontal="center"/>
    </xf>
    <xf numFmtId="0" fontId="19" fillId="4" borderId="71" xfId="0" applyFont="1" applyFill="1" applyBorder="1" applyAlignment="1">
      <alignment horizontal="center"/>
    </xf>
    <xf numFmtId="0" fontId="19" fillId="4" borderId="57" xfId="0" applyFont="1" applyFill="1" applyBorder="1" applyAlignment="1">
      <alignment horizontal="center"/>
    </xf>
    <xf numFmtId="165" fontId="25" fillId="16" borderId="70" xfId="0" applyNumberFormat="1" applyFont="1" applyFill="1" applyBorder="1" applyAlignment="1">
      <alignment horizontal="center" vertical="center"/>
    </xf>
    <xf numFmtId="165" fontId="25" fillId="16" borderId="47" xfId="0" applyNumberFormat="1" applyFont="1" applyFill="1" applyBorder="1" applyAlignment="1">
      <alignment horizontal="center" vertical="center"/>
    </xf>
    <xf numFmtId="0" fontId="19" fillId="3" borderId="71" xfId="0" applyFont="1" applyFill="1" applyBorder="1" applyAlignment="1">
      <alignment horizontal="center"/>
    </xf>
    <xf numFmtId="0" fontId="19" fillId="3" borderId="57" xfId="0" applyFont="1" applyFill="1" applyBorder="1" applyAlignment="1">
      <alignment horizontal="center"/>
    </xf>
    <xf numFmtId="0" fontId="14" fillId="12" borderId="13" xfId="0" applyFont="1" applyFill="1" applyBorder="1" applyAlignment="1">
      <alignment horizontal="center" vertical="center"/>
    </xf>
    <xf numFmtId="0" fontId="14" fillId="12" borderId="25" xfId="0" applyFont="1" applyFill="1" applyBorder="1" applyAlignment="1">
      <alignment horizontal="center" vertical="center"/>
    </xf>
    <xf numFmtId="0" fontId="14" fillId="12" borderId="15" xfId="0" applyFont="1" applyFill="1" applyBorder="1" applyAlignment="1">
      <alignment horizontal="center" vertic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19" fillId="13" borderId="48" xfId="0" applyFont="1" applyFill="1" applyBorder="1" applyAlignment="1">
      <alignment horizontal="center"/>
    </xf>
    <xf numFmtId="0" fontId="19" fillId="13" borderId="55" xfId="0" applyFont="1" applyFill="1" applyBorder="1" applyAlignment="1">
      <alignment horizontal="center"/>
    </xf>
    <xf numFmtId="0" fontId="15" fillId="20" borderId="19" xfId="0" applyFont="1" applyFill="1" applyBorder="1" applyAlignment="1">
      <alignment horizontal="center" vertical="center"/>
    </xf>
    <xf numFmtId="0" fontId="15" fillId="20" borderId="21" xfId="0" applyFont="1" applyFill="1" applyBorder="1" applyAlignment="1">
      <alignment horizontal="center" vertical="center"/>
    </xf>
    <xf numFmtId="0" fontId="15" fillId="10" borderId="19" xfId="0" applyFont="1" applyFill="1" applyBorder="1" applyAlignment="1">
      <alignment horizontal="center" vertical="center"/>
    </xf>
    <xf numFmtId="0" fontId="15" fillId="10" borderId="21" xfId="0" applyFont="1" applyFill="1" applyBorder="1" applyAlignment="1">
      <alignment horizontal="center" vertical="center"/>
    </xf>
    <xf numFmtId="0" fontId="34" fillId="21" borderId="71" xfId="0" applyFont="1" applyFill="1" applyBorder="1" applyAlignment="1">
      <alignment horizontal="center" vertical="center"/>
    </xf>
    <xf numFmtId="0" fontId="34" fillId="21" borderId="68" xfId="0" applyFont="1" applyFill="1" applyBorder="1" applyAlignment="1">
      <alignment horizontal="center" vertical="center"/>
    </xf>
    <xf numFmtId="0" fontId="34" fillId="21" borderId="57" xfId="0" applyFont="1" applyFill="1" applyBorder="1" applyAlignment="1">
      <alignment horizontal="center" vertical="center"/>
    </xf>
    <xf numFmtId="0" fontId="29" fillId="0" borderId="54" xfId="0" applyFont="1" applyBorder="1" applyAlignment="1">
      <alignment horizontal="center" vertical="center" wrapText="1"/>
    </xf>
    <xf numFmtId="0" fontId="29" fillId="0" borderId="125" xfId="0" applyFont="1" applyBorder="1" applyAlignment="1">
      <alignment horizontal="center" vertical="center" wrapText="1"/>
    </xf>
    <xf numFmtId="0" fontId="29" fillId="0" borderId="126" xfId="0" applyFont="1" applyBorder="1" applyAlignment="1">
      <alignment horizontal="center" vertical="center" wrapText="1"/>
    </xf>
    <xf numFmtId="0" fontId="15" fillId="0" borderId="35" xfId="0" applyFont="1" applyBorder="1" applyAlignment="1">
      <alignment horizontal="center" vertical="center"/>
    </xf>
    <xf numFmtId="0" fontId="15" fillId="0" borderId="14" xfId="0" applyFont="1" applyBorder="1" applyAlignment="1">
      <alignment horizontal="center" vertical="center"/>
    </xf>
    <xf numFmtId="0" fontId="35" fillId="6" borderId="124" xfId="0" applyFont="1" applyFill="1" applyBorder="1" applyAlignment="1">
      <alignment horizontal="center" vertical="center"/>
    </xf>
    <xf numFmtId="0" fontId="35" fillId="6" borderId="25" xfId="0" applyFont="1" applyFill="1" applyBorder="1" applyAlignment="1">
      <alignment horizontal="center" vertical="center"/>
    </xf>
    <xf numFmtId="0" fontId="35" fillId="6" borderId="92" xfId="0" applyFont="1" applyFill="1" applyBorder="1" applyAlignment="1">
      <alignment horizontal="center" vertical="center"/>
    </xf>
    <xf numFmtId="0" fontId="15" fillId="45" borderId="19" xfId="0" applyFont="1" applyFill="1" applyBorder="1" applyAlignment="1">
      <alignment horizontal="center" vertical="center"/>
    </xf>
    <xf numFmtId="0" fontId="15" fillId="45" borderId="21" xfId="0" applyFont="1" applyFill="1" applyBorder="1" applyAlignment="1">
      <alignment horizontal="center" vertical="center"/>
    </xf>
    <xf numFmtId="0" fontId="56" fillId="0" borderId="13" xfId="0" applyFont="1" applyBorder="1" applyAlignment="1">
      <alignment horizontal="center" vertical="center"/>
    </xf>
    <xf numFmtId="0" fontId="56" fillId="0" borderId="15" xfId="0" applyFont="1" applyBorder="1" applyAlignment="1">
      <alignment horizontal="center" vertical="center"/>
    </xf>
    <xf numFmtId="0" fontId="56" fillId="0" borderId="25" xfId="0" applyFont="1" applyBorder="1" applyAlignment="1">
      <alignment horizontal="center" vertical="center"/>
    </xf>
    <xf numFmtId="0" fontId="15" fillId="0" borderId="13" xfId="0" applyFont="1" applyBorder="1" applyAlignment="1">
      <alignment horizontal="center" vertical="center"/>
    </xf>
    <xf numFmtId="0" fontId="15" fillId="0" borderId="15" xfId="0" applyFont="1" applyBorder="1" applyAlignment="1">
      <alignment horizontal="center" vertical="center"/>
    </xf>
    <xf numFmtId="0" fontId="13" fillId="0" borderId="0" xfId="0" applyFont="1" applyAlignment="1">
      <alignment horizontal="center"/>
    </xf>
    <xf numFmtId="0" fontId="36" fillId="15" borderId="16" xfId="0" applyFont="1" applyFill="1" applyBorder="1" applyAlignment="1">
      <alignment horizontal="center" vertical="center"/>
    </xf>
    <xf numFmtId="0" fontId="36" fillId="15" borderId="17" xfId="0" applyFont="1" applyFill="1" applyBorder="1" applyAlignment="1">
      <alignment horizontal="center" vertical="center"/>
    </xf>
    <xf numFmtId="0" fontId="36" fillId="15" borderId="38" xfId="0" applyFont="1" applyFill="1" applyBorder="1" applyAlignment="1">
      <alignment horizontal="center" vertical="center"/>
    </xf>
    <xf numFmtId="0" fontId="36" fillId="15" borderId="0" xfId="0" applyFont="1" applyFill="1" applyAlignment="1">
      <alignment horizontal="center" vertical="center"/>
    </xf>
    <xf numFmtId="0" fontId="14" fillId="12" borderId="104" xfId="0" applyFont="1" applyFill="1" applyBorder="1" applyAlignment="1">
      <alignment horizontal="center" vertical="center"/>
    </xf>
    <xf numFmtId="0" fontId="14" fillId="12" borderId="106" xfId="0" applyFont="1" applyFill="1" applyBorder="1" applyAlignment="1">
      <alignment horizontal="center" vertical="center"/>
    </xf>
    <xf numFmtId="0" fontId="14" fillId="12" borderId="168" xfId="0" applyFont="1" applyFill="1" applyBorder="1" applyAlignment="1">
      <alignment horizontal="center" vertical="center"/>
    </xf>
    <xf numFmtId="0" fontId="18" fillId="7" borderId="13" xfId="0" applyFont="1" applyFill="1" applyBorder="1" applyAlignment="1">
      <alignment horizontal="left" vertical="center" wrapText="1"/>
    </xf>
    <xf numFmtId="0" fontId="18" fillId="7" borderId="25" xfId="0" applyFont="1" applyFill="1" applyBorder="1" applyAlignment="1">
      <alignment horizontal="left" vertical="center" wrapText="1"/>
    </xf>
    <xf numFmtId="0" fontId="18" fillId="7" borderId="17" xfId="0" applyFont="1" applyFill="1" applyBorder="1" applyAlignment="1">
      <alignment horizontal="left" vertical="center" wrapText="1"/>
    </xf>
    <xf numFmtId="0" fontId="18" fillId="7" borderId="15" xfId="0" applyFont="1" applyFill="1" applyBorder="1" applyAlignment="1">
      <alignment horizontal="left" vertical="center" wrapText="1"/>
    </xf>
    <xf numFmtId="0" fontId="35" fillId="6" borderId="13" xfId="0" applyFont="1" applyFill="1" applyBorder="1" applyAlignment="1">
      <alignment horizontal="center"/>
    </xf>
    <xf numFmtId="0" fontId="35" fillId="6" borderId="25" xfId="0" applyFont="1" applyFill="1" applyBorder="1" applyAlignment="1">
      <alignment horizontal="center"/>
    </xf>
    <xf numFmtId="0" fontId="35" fillId="6" borderId="15" xfId="0" applyFont="1" applyFill="1" applyBorder="1" applyAlignment="1">
      <alignment horizontal="center"/>
    </xf>
    <xf numFmtId="0" fontId="36" fillId="15" borderId="18" xfId="0" applyFont="1" applyFill="1" applyBorder="1" applyAlignment="1">
      <alignment horizontal="center" vertical="center"/>
    </xf>
    <xf numFmtId="0" fontId="36" fillId="15" borderId="39" xfId="0" applyFont="1" applyFill="1" applyBorder="1" applyAlignment="1">
      <alignment horizontal="center" vertical="center"/>
    </xf>
    <xf numFmtId="0" fontId="81" fillId="21" borderId="13" xfId="0" applyFont="1" applyFill="1" applyBorder="1" applyAlignment="1">
      <alignment horizontal="center" vertical="center"/>
    </xf>
    <xf numFmtId="0" fontId="81" fillId="21" borderId="15" xfId="0" applyFont="1" applyFill="1" applyBorder="1" applyAlignment="1">
      <alignment horizontal="center" vertical="center"/>
    </xf>
    <xf numFmtId="0" fontId="90" fillId="0" borderId="11" xfId="0" applyFont="1" applyBorder="1" applyAlignment="1">
      <alignment horizontal="center" vertical="center" wrapText="1"/>
    </xf>
    <xf numFmtId="0" fontId="90" fillId="0" borderId="35" xfId="0" applyFont="1" applyBorder="1" applyAlignment="1">
      <alignment horizontal="center" vertical="center" wrapText="1"/>
    </xf>
    <xf numFmtId="0" fontId="34" fillId="43" borderId="0" xfId="0" applyFont="1" applyFill="1" applyAlignment="1">
      <alignment horizontal="center" vertical="center" wrapText="1"/>
    </xf>
    <xf numFmtId="0" fontId="92" fillId="0" borderId="13" xfId="0" applyFont="1" applyBorder="1" applyAlignment="1">
      <alignment horizontal="center" vertical="center" wrapText="1"/>
    </xf>
    <xf numFmtId="0" fontId="92" fillId="0" borderId="25" xfId="0" applyFont="1" applyBorder="1" applyAlignment="1">
      <alignment horizontal="center" vertical="center" wrapText="1"/>
    </xf>
    <xf numFmtId="0" fontId="92" fillId="0" borderId="15" xfId="0" applyFont="1" applyBorder="1" applyAlignment="1">
      <alignment horizontal="center" vertical="center" wrapText="1"/>
    </xf>
    <xf numFmtId="0" fontId="31" fillId="19" borderId="39" xfId="0" applyFont="1" applyFill="1" applyBorder="1" applyAlignment="1">
      <alignment horizontal="center" vertical="center"/>
    </xf>
    <xf numFmtId="1" fontId="32" fillId="0" borderId="60" xfId="0" applyNumberFormat="1" applyFont="1" applyBorder="1" applyAlignment="1">
      <alignment horizontal="center" vertical="center"/>
    </xf>
    <xf numFmtId="1" fontId="32" fillId="0" borderId="50" xfId="0" applyNumberFormat="1" applyFont="1" applyBorder="1" applyAlignment="1">
      <alignment horizontal="center" vertical="center"/>
    </xf>
    <xf numFmtId="1" fontId="32" fillId="0" borderId="59" xfId="0" applyNumberFormat="1" applyFont="1" applyBorder="1" applyAlignment="1">
      <alignment horizontal="center" vertical="center"/>
    </xf>
    <xf numFmtId="1" fontId="32" fillId="0" borderId="113" xfId="0" applyNumberFormat="1" applyFont="1" applyBorder="1" applyAlignment="1">
      <alignment horizontal="center" vertical="center"/>
    </xf>
    <xf numFmtId="0" fontId="31" fillId="19" borderId="35" xfId="0" applyFont="1" applyFill="1" applyBorder="1" applyAlignment="1">
      <alignment horizontal="center" vertical="center"/>
    </xf>
    <xf numFmtId="0" fontId="31" fillId="19" borderId="14" xfId="0" applyFont="1" applyFill="1" applyBorder="1" applyAlignment="1">
      <alignment horizontal="center" vertical="center"/>
    </xf>
    <xf numFmtId="0" fontId="31" fillId="19" borderId="60" xfId="0" applyFont="1" applyFill="1" applyBorder="1" applyAlignment="1">
      <alignment horizontal="center" vertical="center"/>
    </xf>
    <xf numFmtId="0" fontId="31" fillId="19" borderId="59" xfId="0" applyFont="1" applyFill="1" applyBorder="1" applyAlignment="1">
      <alignment horizontal="center" vertical="center"/>
    </xf>
    <xf numFmtId="0" fontId="30" fillId="18" borderId="48" xfId="0" applyFont="1" applyFill="1" applyBorder="1" applyAlignment="1">
      <alignment horizontal="center" vertical="center"/>
    </xf>
    <xf numFmtId="0" fontId="30" fillId="18" borderId="56" xfId="0" applyFont="1" applyFill="1" applyBorder="1" applyAlignment="1">
      <alignment horizontal="center" vertical="center"/>
    </xf>
    <xf numFmtId="0" fontId="30" fillId="18" borderId="55" xfId="0" applyFont="1" applyFill="1" applyBorder="1" applyAlignment="1">
      <alignment horizontal="center" vertical="center"/>
    </xf>
    <xf numFmtId="0" fontId="30" fillId="18" borderId="71" xfId="0" applyFont="1" applyFill="1" applyBorder="1" applyAlignment="1">
      <alignment horizontal="center" vertical="center"/>
    </xf>
    <xf numFmtId="0" fontId="30" fillId="18" borderId="68" xfId="0" applyFont="1" applyFill="1" applyBorder="1" applyAlignment="1">
      <alignment horizontal="center" vertical="center"/>
    </xf>
    <xf numFmtId="0" fontId="85" fillId="22" borderId="13" xfId="0" applyFont="1" applyFill="1" applyBorder="1" applyAlignment="1">
      <alignment vertical="center" wrapText="1"/>
    </xf>
    <xf numFmtId="0" fontId="76" fillId="22" borderId="25" xfId="0" applyFont="1" applyFill="1" applyBorder="1" applyAlignment="1">
      <alignment vertical="center" wrapText="1"/>
    </xf>
    <xf numFmtId="0" fontId="31" fillId="19" borderId="0" xfId="0" applyFont="1" applyFill="1" applyAlignment="1">
      <alignment horizontal="center" vertical="center"/>
    </xf>
    <xf numFmtId="0" fontId="31" fillId="19" borderId="19" xfId="0" applyFont="1" applyFill="1" applyBorder="1" applyAlignment="1">
      <alignment horizontal="center" vertical="center"/>
    </xf>
    <xf numFmtId="0" fontId="19" fillId="7" borderId="0" xfId="0" applyFont="1" applyFill="1" applyAlignment="1">
      <alignment horizontal="left"/>
    </xf>
    <xf numFmtId="0" fontId="75" fillId="30" borderId="13" xfId="0" applyFont="1" applyFill="1" applyBorder="1" applyAlignment="1">
      <alignment horizontal="center" vertical="center" wrapText="1"/>
    </xf>
    <xf numFmtId="0" fontId="75" fillId="30" borderId="25" xfId="0" applyFont="1" applyFill="1" applyBorder="1" applyAlignment="1">
      <alignment horizontal="center" vertical="center" wrapText="1"/>
    </xf>
    <xf numFmtId="0" fontId="75" fillId="30" borderId="15" xfId="0" applyFont="1" applyFill="1" applyBorder="1" applyAlignment="1">
      <alignment horizontal="center" vertical="center" wrapText="1"/>
    </xf>
    <xf numFmtId="0" fontId="14" fillId="0" borderId="13" xfId="0" applyFont="1" applyBorder="1" applyAlignment="1">
      <alignment horizontal="center" vertical="center"/>
    </xf>
    <xf numFmtId="0" fontId="14" fillId="0" borderId="25" xfId="0" applyFont="1" applyBorder="1" applyAlignment="1">
      <alignment horizontal="center" vertical="center"/>
    </xf>
    <xf numFmtId="0" fontId="14" fillId="0" borderId="15" xfId="0" applyFont="1" applyBorder="1" applyAlignment="1">
      <alignment horizontal="center" vertical="center"/>
    </xf>
    <xf numFmtId="0" fontId="100" fillId="38" borderId="13" xfId="0" applyFont="1" applyFill="1" applyBorder="1" applyAlignment="1">
      <alignment horizontal="center" vertical="center" wrapText="1"/>
    </xf>
    <xf numFmtId="0" fontId="77" fillId="38" borderId="25" xfId="0" applyFont="1" applyFill="1" applyBorder="1" applyAlignment="1">
      <alignment horizontal="center" vertical="center" wrapText="1"/>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31" fillId="19" borderId="44" xfId="0" applyFont="1" applyFill="1" applyBorder="1" applyAlignment="1">
      <alignment horizontal="center" vertical="center"/>
    </xf>
    <xf numFmtId="0" fontId="31" fillId="19" borderId="114" xfId="0" applyFont="1" applyFill="1" applyBorder="1" applyAlignment="1">
      <alignment horizontal="center" vertical="center"/>
    </xf>
    <xf numFmtId="0" fontId="78" fillId="0" borderId="13" xfId="0" applyFont="1" applyBorder="1" applyAlignment="1">
      <alignment horizontal="left" vertical="center"/>
    </xf>
    <xf numFmtId="0" fontId="78" fillId="0" borderId="25" xfId="0" applyFont="1" applyBorder="1" applyAlignment="1">
      <alignment horizontal="left" vertical="center"/>
    </xf>
    <xf numFmtId="0" fontId="78" fillId="0" borderId="15" xfId="0" applyFont="1" applyBorder="1" applyAlignment="1">
      <alignment horizontal="left" vertical="center"/>
    </xf>
    <xf numFmtId="0" fontId="37" fillId="39" borderId="20" xfId="0" applyFont="1" applyFill="1" applyBorder="1" applyAlignment="1">
      <alignment horizontal="center" vertical="center" wrapText="1"/>
    </xf>
    <xf numFmtId="0" fontId="37" fillId="22" borderId="38" xfId="0" applyFont="1" applyFill="1" applyBorder="1" applyAlignment="1">
      <alignment horizontal="center" vertical="center" wrapText="1"/>
    </xf>
    <xf numFmtId="0" fontId="37" fillId="22" borderId="0" xfId="0" applyFont="1" applyFill="1" applyAlignment="1">
      <alignment horizontal="center" vertical="center" wrapText="1"/>
    </xf>
    <xf numFmtId="0" fontId="37" fillId="22" borderId="39" xfId="0" applyFont="1" applyFill="1" applyBorder="1" applyAlignment="1">
      <alignment horizontal="center" vertical="center" wrapText="1"/>
    </xf>
    <xf numFmtId="0" fontId="14" fillId="27" borderId="100" xfId="0" applyFont="1" applyFill="1" applyBorder="1" applyAlignment="1">
      <alignment vertical="center"/>
    </xf>
    <xf numFmtId="0" fontId="14" fillId="27" borderId="67" xfId="0" applyFont="1" applyFill="1" applyBorder="1" applyAlignment="1">
      <alignment vertical="center"/>
    </xf>
    <xf numFmtId="0" fontId="14" fillId="27" borderId="105" xfId="0" applyFont="1" applyFill="1" applyBorder="1" applyAlignment="1">
      <alignment vertical="center"/>
    </xf>
    <xf numFmtId="16" fontId="14" fillId="0" borderId="102" xfId="0" applyNumberFormat="1" applyFont="1" applyBorder="1" applyAlignment="1" applyProtection="1">
      <alignment horizontal="center"/>
      <protection locked="0"/>
    </xf>
    <xf numFmtId="16" fontId="14" fillId="0" borderId="63" xfId="0" applyNumberFormat="1" applyFont="1" applyBorder="1" applyAlignment="1" applyProtection="1">
      <alignment horizontal="center"/>
      <protection locked="0"/>
    </xf>
    <xf numFmtId="16" fontId="14" fillId="27" borderId="102" xfId="0" applyNumberFormat="1" applyFont="1" applyFill="1" applyBorder="1" applyAlignment="1" applyProtection="1">
      <alignment horizontal="center"/>
      <protection locked="0"/>
    </xf>
    <xf numFmtId="0" fontId="14" fillId="27" borderId="63" xfId="0" applyFont="1" applyFill="1" applyBorder="1" applyAlignment="1" applyProtection="1">
      <alignment horizontal="center"/>
      <protection locked="0"/>
    </xf>
    <xf numFmtId="0" fontId="14" fillId="0" borderId="63" xfId="0" applyFont="1" applyBorder="1" applyAlignment="1" applyProtection="1">
      <alignment horizontal="center"/>
      <protection locked="0"/>
    </xf>
    <xf numFmtId="0" fontId="14" fillId="0" borderId="112" xfId="0" applyFont="1" applyBorder="1" applyAlignment="1" applyProtection="1">
      <alignment horizontal="center"/>
      <protection locked="0"/>
    </xf>
    <xf numFmtId="0" fontId="14" fillId="0" borderId="110" xfId="0" applyFont="1" applyBorder="1" applyAlignment="1" applyProtection="1">
      <alignment horizontal="center"/>
      <protection locked="0"/>
    </xf>
    <xf numFmtId="0" fontId="14" fillId="27" borderId="104" xfId="0" applyFont="1" applyFill="1" applyBorder="1" applyAlignment="1" applyProtection="1">
      <alignment horizontal="center"/>
      <protection locked="0"/>
    </xf>
    <xf numFmtId="0" fontId="14" fillId="27" borderId="101" xfId="0" applyFont="1" applyFill="1" applyBorder="1" applyAlignment="1" applyProtection="1">
      <alignment horizontal="center"/>
      <protection locked="0"/>
    </xf>
    <xf numFmtId="0" fontId="14" fillId="0" borderId="104" xfId="0" applyFont="1" applyBorder="1" applyAlignment="1" applyProtection="1">
      <alignment horizontal="center"/>
      <protection locked="0"/>
    </xf>
    <xf numFmtId="0" fontId="14" fillId="0" borderId="101" xfId="0" applyFont="1" applyBorder="1" applyAlignment="1" applyProtection="1">
      <alignment horizontal="center"/>
      <protection locked="0"/>
    </xf>
    <xf numFmtId="0" fontId="14" fillId="0" borderId="99" xfId="0" applyFont="1" applyBorder="1" applyAlignment="1">
      <alignment vertical="center"/>
    </xf>
    <xf numFmtId="0" fontId="14" fillId="0" borderId="65" xfId="0" applyFont="1" applyBorder="1" applyAlignment="1">
      <alignment vertical="center"/>
    </xf>
    <xf numFmtId="0" fontId="14" fillId="0" borderId="103" xfId="0" applyFont="1" applyBorder="1" applyAlignment="1">
      <alignment vertical="center"/>
    </xf>
    <xf numFmtId="0" fontId="14" fillId="0" borderId="89" xfId="0" applyFont="1" applyBorder="1" applyAlignment="1">
      <alignment horizontal="center" vertical="center"/>
    </xf>
    <xf numFmtId="0" fontId="14" fillId="0" borderId="90" xfId="0" applyFont="1" applyBorder="1" applyAlignment="1">
      <alignment horizontal="center" vertical="center"/>
    </xf>
    <xf numFmtId="0" fontId="14" fillId="0" borderId="95" xfId="0" applyFont="1" applyBorder="1" applyAlignment="1">
      <alignment horizontal="center" vertical="center"/>
    </xf>
    <xf numFmtId="0" fontId="14" fillId="7" borderId="100" xfId="0" applyFont="1" applyFill="1" applyBorder="1" applyAlignment="1">
      <alignment vertical="center"/>
    </xf>
    <xf numFmtId="0" fontId="14" fillId="7" borderId="67" xfId="0" applyFont="1" applyFill="1" applyBorder="1" applyAlignment="1">
      <alignment vertical="center"/>
    </xf>
    <xf numFmtId="0" fontId="14" fillId="7" borderId="105" xfId="0" applyFont="1" applyFill="1" applyBorder="1" applyAlignment="1">
      <alignment vertical="center"/>
    </xf>
    <xf numFmtId="0" fontId="14" fillId="7" borderId="84" xfId="0" applyFont="1" applyFill="1" applyBorder="1" applyAlignment="1">
      <alignment horizontal="center" vertical="center"/>
    </xf>
    <xf numFmtId="0" fontId="14" fillId="7" borderId="6" xfId="0" applyFont="1" applyFill="1" applyBorder="1" applyAlignment="1">
      <alignment horizontal="center" vertical="center"/>
    </xf>
    <xf numFmtId="0" fontId="14" fillId="7" borderId="36" xfId="0" applyFont="1" applyFill="1" applyBorder="1" applyAlignment="1">
      <alignment horizontal="center" vertical="center"/>
    </xf>
    <xf numFmtId="16" fontId="14" fillId="7" borderId="75" xfId="0" applyNumberFormat="1" applyFont="1" applyFill="1" applyBorder="1" applyAlignment="1" applyProtection="1">
      <alignment horizontal="center"/>
      <protection locked="0"/>
    </xf>
    <xf numFmtId="0" fontId="14" fillId="7" borderId="63" xfId="0" applyFont="1" applyFill="1" applyBorder="1" applyAlignment="1" applyProtection="1">
      <alignment horizontal="center"/>
      <protection locked="0"/>
    </xf>
    <xf numFmtId="0" fontId="14" fillId="7" borderId="106" xfId="0" applyFont="1" applyFill="1" applyBorder="1" applyAlignment="1" applyProtection="1">
      <alignment horizontal="center"/>
      <protection locked="0"/>
    </xf>
    <xf numFmtId="0" fontId="14" fillId="7" borderId="101" xfId="0" applyFont="1" applyFill="1" applyBorder="1" applyAlignment="1" applyProtection="1">
      <alignment horizontal="center"/>
      <protection locked="0"/>
    </xf>
    <xf numFmtId="0" fontId="14" fillId="5" borderId="84"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36" xfId="0" applyFont="1" applyFill="1" applyBorder="1" applyAlignment="1">
      <alignment horizontal="center" vertical="center"/>
    </xf>
    <xf numFmtId="0" fontId="14" fillId="27" borderId="99" xfId="0" applyFont="1" applyFill="1" applyBorder="1" applyAlignment="1">
      <alignment vertical="center"/>
    </xf>
    <xf numFmtId="0" fontId="14" fillId="27" borderId="65" xfId="0" applyFont="1" applyFill="1" applyBorder="1" applyAlignment="1">
      <alignment vertical="center"/>
    </xf>
    <xf numFmtId="0" fontId="14" fillId="27" borderId="103" xfId="0" applyFont="1" applyFill="1" applyBorder="1" applyAlignment="1">
      <alignment vertical="center"/>
    </xf>
    <xf numFmtId="0" fontId="41" fillId="13" borderId="13" xfId="1" applyFont="1" applyFill="1" applyBorder="1" applyAlignment="1" applyProtection="1">
      <alignment horizontal="center" vertical="center" wrapText="1"/>
      <protection locked="0"/>
    </xf>
    <xf numFmtId="0" fontId="41" fillId="13" borderId="15" xfId="1" applyFont="1" applyFill="1" applyBorder="1" applyAlignment="1" applyProtection="1">
      <alignment horizontal="center" vertical="center" wrapText="1"/>
      <protection locked="0"/>
    </xf>
    <xf numFmtId="0" fontId="4" fillId="24" borderId="13" xfId="1" applyFont="1" applyFill="1" applyBorder="1" applyAlignment="1" applyProtection="1">
      <alignment horizontal="center" vertical="center" wrapText="1"/>
      <protection locked="0"/>
    </xf>
    <xf numFmtId="0" fontId="4" fillId="24" borderId="15" xfId="1" applyFont="1" applyFill="1" applyBorder="1" applyAlignment="1" applyProtection="1">
      <alignment horizontal="center" vertical="center" wrapText="1"/>
      <protection locked="0"/>
    </xf>
    <xf numFmtId="0" fontId="4" fillId="24" borderId="16" xfId="1" applyFont="1" applyFill="1" applyBorder="1" applyAlignment="1">
      <alignment horizontal="center" vertical="center" wrapText="1"/>
    </xf>
    <xf numFmtId="0" fontId="4" fillId="24" borderId="18" xfId="1" applyFont="1" applyFill="1" applyBorder="1" applyAlignment="1">
      <alignment horizontal="center" vertical="center" wrapText="1"/>
    </xf>
    <xf numFmtId="0" fontId="4" fillId="24" borderId="19" xfId="1" applyFont="1" applyFill="1" applyBorder="1" applyAlignment="1">
      <alignment horizontal="center" vertical="center" wrapText="1"/>
    </xf>
    <xf numFmtId="0" fontId="4" fillId="24" borderId="21" xfId="1" applyFont="1" applyFill="1" applyBorder="1" applyAlignment="1">
      <alignment horizontal="center" vertical="center" wrapText="1"/>
    </xf>
    <xf numFmtId="0" fontId="41" fillId="13" borderId="11" xfId="1" applyFont="1" applyFill="1" applyBorder="1" applyAlignment="1">
      <alignment horizontal="center" vertical="center" wrapText="1"/>
    </xf>
    <xf numFmtId="0" fontId="41" fillId="13" borderId="14" xfId="1" applyFont="1" applyFill="1" applyBorder="1" applyAlignment="1">
      <alignment horizontal="center" vertical="center" wrapText="1"/>
    </xf>
    <xf numFmtId="0" fontId="4" fillId="13" borderId="16" xfId="1" applyFont="1" applyFill="1" applyBorder="1" applyAlignment="1">
      <alignment horizontal="center" vertical="center" wrapText="1"/>
    </xf>
    <xf numFmtId="0" fontId="4" fillId="13" borderId="18" xfId="1" applyFont="1" applyFill="1" applyBorder="1" applyAlignment="1">
      <alignment horizontal="center" vertical="center" wrapText="1"/>
    </xf>
    <xf numFmtId="0" fontId="4" fillId="13" borderId="19" xfId="1" applyFont="1" applyFill="1" applyBorder="1" applyAlignment="1">
      <alignment horizontal="center" vertical="center" wrapText="1"/>
    </xf>
    <xf numFmtId="0" fontId="4" fillId="13" borderId="21" xfId="1" applyFont="1" applyFill="1" applyBorder="1" applyAlignment="1">
      <alignment horizontal="center" vertical="center" wrapText="1"/>
    </xf>
    <xf numFmtId="0" fontId="41" fillId="24" borderId="11" xfId="1" applyFont="1" applyFill="1" applyBorder="1" applyAlignment="1">
      <alignment horizontal="center" vertical="center" wrapText="1"/>
    </xf>
    <xf numFmtId="0" fontId="41" fillId="24" borderId="14" xfId="1" applyFont="1" applyFill="1" applyBorder="1" applyAlignment="1">
      <alignment horizontal="center" vertical="center" wrapText="1"/>
    </xf>
    <xf numFmtId="0" fontId="14" fillId="0" borderId="1" xfId="0" applyFont="1" applyBorder="1" applyAlignment="1">
      <alignment horizontal="center" wrapText="1"/>
    </xf>
    <xf numFmtId="0" fontId="14" fillId="0" borderId="1" xfId="0" applyFont="1" applyBorder="1" applyAlignment="1">
      <alignment horizontal="center" vertical="center"/>
    </xf>
    <xf numFmtId="0" fontId="49" fillId="15" borderId="39" xfId="1" applyFont="1" applyFill="1" applyBorder="1" applyAlignment="1">
      <alignment horizontal="center"/>
    </xf>
    <xf numFmtId="0" fontId="49" fillId="15" borderId="21" xfId="1" applyFont="1" applyFill="1" applyBorder="1" applyAlignment="1">
      <alignment horizontal="center"/>
    </xf>
    <xf numFmtId="0" fontId="49" fillId="15" borderId="8" xfId="1" applyFont="1" applyFill="1" applyBorder="1" applyAlignment="1">
      <alignment horizontal="center"/>
    </xf>
    <xf numFmtId="0" fontId="49" fillId="15" borderId="34" xfId="1" applyFont="1" applyFill="1" applyBorder="1" applyAlignment="1">
      <alignment horizontal="center"/>
    </xf>
    <xf numFmtId="49" fontId="51" fillId="26" borderId="19" xfId="1" applyNumberFormat="1" applyFont="1" applyFill="1" applyBorder="1" applyAlignment="1">
      <alignment horizontal="center"/>
    </xf>
    <xf numFmtId="49" fontId="51" fillId="26" borderId="21" xfId="1" applyNumberFormat="1" applyFont="1" applyFill="1" applyBorder="1" applyAlignment="1">
      <alignment horizontal="center"/>
    </xf>
    <xf numFmtId="0" fontId="4" fillId="13" borderId="13" xfId="1" applyFont="1" applyFill="1" applyBorder="1" applyAlignment="1" applyProtection="1">
      <alignment horizontal="center" vertical="center" wrapText="1"/>
      <protection locked="0"/>
    </xf>
    <xf numFmtId="0" fontId="4" fillId="13" borderId="15" xfId="1" applyFont="1" applyFill="1" applyBorder="1" applyAlignment="1" applyProtection="1">
      <alignment horizontal="center" vertical="center" wrapText="1"/>
      <protection locked="0"/>
    </xf>
    <xf numFmtId="0" fontId="49" fillId="15" borderId="11" xfId="1" applyFont="1" applyFill="1" applyBorder="1" applyAlignment="1">
      <alignment horizontal="center"/>
    </xf>
    <xf numFmtId="0" fontId="49" fillId="15" borderId="35" xfId="1" applyFont="1" applyFill="1" applyBorder="1" applyAlignment="1">
      <alignment horizontal="center"/>
    </xf>
    <xf numFmtId="0" fontId="49" fillId="15" borderId="14" xfId="1" applyFont="1" applyFill="1" applyBorder="1" applyAlignment="1">
      <alignment horizontal="center"/>
    </xf>
    <xf numFmtId="0" fontId="38" fillId="3" borderId="19" xfId="0" applyFont="1" applyFill="1" applyBorder="1" applyAlignment="1">
      <alignment horizontal="center" vertical="center"/>
    </xf>
    <xf numFmtId="0" fontId="38" fillId="3" borderId="20" xfId="0" applyFont="1" applyFill="1" applyBorder="1" applyAlignment="1">
      <alignment horizontal="center" vertical="center"/>
    </xf>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3"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15" xfId="0" applyBorder="1" applyAlignment="1" applyProtection="1">
      <alignment horizontal="center"/>
      <protection locked="0"/>
    </xf>
    <xf numFmtId="0" fontId="80" fillId="7" borderId="13" xfId="0" applyFont="1" applyFill="1" applyBorder="1" applyAlignment="1">
      <alignment horizontal="left" vertical="center" wrapText="1"/>
    </xf>
    <xf numFmtId="0" fontId="80" fillId="7" borderId="25" xfId="0" applyFont="1" applyFill="1" applyBorder="1" applyAlignment="1">
      <alignment horizontal="left" vertical="center" wrapText="1"/>
    </xf>
    <xf numFmtId="0" fontId="80" fillId="7" borderId="15" xfId="0" applyFont="1" applyFill="1" applyBorder="1" applyAlignment="1">
      <alignment horizontal="left" vertical="center" wrapText="1"/>
    </xf>
    <xf numFmtId="0" fontId="79" fillId="6" borderId="13" xfId="0" applyFont="1" applyFill="1" applyBorder="1" applyAlignment="1">
      <alignment horizontal="center" vertical="center"/>
    </xf>
    <xf numFmtId="0" fontId="79" fillId="6" borderId="25" xfId="0" applyFont="1" applyFill="1" applyBorder="1" applyAlignment="1">
      <alignment horizontal="center" vertical="center"/>
    </xf>
    <xf numFmtId="0" fontId="69" fillId="31" borderId="60" xfId="0" applyFont="1" applyFill="1" applyBorder="1" applyAlignment="1">
      <alignment horizontal="center" vertical="center" wrapText="1"/>
    </xf>
    <xf numFmtId="0" fontId="69" fillId="31" borderId="58" xfId="0" applyFont="1" applyFill="1" applyBorder="1" applyAlignment="1">
      <alignment horizontal="center" vertical="center" wrapText="1"/>
    </xf>
    <xf numFmtId="0" fontId="69" fillId="31" borderId="50"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22" fillId="0" borderId="48" xfId="0" applyFont="1" applyBorder="1" applyAlignment="1" applyProtection="1">
      <alignment horizontal="center" vertical="center"/>
      <protection locked="0"/>
    </xf>
    <xf numFmtId="0" fontId="22" fillId="0" borderId="55" xfId="0" applyFont="1" applyBorder="1" applyAlignment="1" applyProtection="1">
      <alignment horizontal="center" vertical="center"/>
      <protection locked="0"/>
    </xf>
    <xf numFmtId="0" fontId="68" fillId="34" borderId="61" xfId="0" applyFont="1" applyFill="1" applyBorder="1" applyAlignment="1">
      <alignment horizontal="center" vertical="center" wrapText="1"/>
    </xf>
    <xf numFmtId="0" fontId="68" fillId="34" borderId="0" xfId="0" applyFont="1" applyFill="1" applyAlignment="1">
      <alignment horizontal="center" vertical="center" wrapText="1"/>
    </xf>
    <xf numFmtId="0" fontId="68" fillId="34" borderId="51" xfId="0" applyFont="1" applyFill="1" applyBorder="1" applyAlignment="1">
      <alignment horizontal="center" vertical="center" wrapText="1"/>
    </xf>
    <xf numFmtId="0" fontId="66" fillId="32" borderId="48" xfId="0" applyFont="1" applyFill="1" applyBorder="1" applyAlignment="1">
      <alignment horizontal="center" vertical="center" wrapText="1"/>
    </xf>
    <xf numFmtId="0" fontId="66" fillId="32" borderId="56" xfId="0" applyFont="1" applyFill="1" applyBorder="1" applyAlignment="1">
      <alignment horizontal="center" vertical="center" wrapText="1"/>
    </xf>
    <xf numFmtId="0" fontId="66" fillId="32" borderId="55" xfId="0" applyFont="1" applyFill="1" applyBorder="1" applyAlignment="1">
      <alignment horizontal="center" vertical="center" wrapText="1"/>
    </xf>
    <xf numFmtId="0" fontId="30" fillId="31" borderId="48" xfId="0" applyFont="1" applyFill="1" applyBorder="1" applyAlignment="1">
      <alignment horizontal="center" vertical="center" wrapText="1"/>
    </xf>
    <xf numFmtId="0" fontId="30" fillId="31" borderId="55" xfId="0" applyFont="1" applyFill="1" applyBorder="1" applyAlignment="1">
      <alignment horizontal="center" vertical="center" wrapText="1"/>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0" fillId="0" borderId="16" xfId="0" applyBorder="1" applyAlignment="1">
      <alignment horizontal="center"/>
    </xf>
    <xf numFmtId="0" fontId="0" fillId="0" borderId="17" xfId="0" applyBorder="1" applyAlignment="1">
      <alignment horizontal="center"/>
    </xf>
    <xf numFmtId="0" fontId="0" fillId="0" borderId="38" xfId="0" applyBorder="1" applyAlignment="1">
      <alignment horizontal="center"/>
    </xf>
    <xf numFmtId="0" fontId="0" fillId="0" borderId="0" xfId="0" applyAlignment="1">
      <alignment horizontal="center"/>
    </xf>
    <xf numFmtId="0" fontId="36" fillId="15" borderId="60" xfId="0" applyFont="1" applyFill="1" applyBorder="1" applyAlignment="1">
      <alignment horizontal="center" vertical="center"/>
    </xf>
    <xf numFmtId="0" fontId="36" fillId="15" borderId="58" xfId="0" applyFont="1" applyFill="1" applyBorder="1" applyAlignment="1">
      <alignment horizontal="center" vertical="center"/>
    </xf>
    <xf numFmtId="0" fontId="36" fillId="15" borderId="50" xfId="0" applyFont="1" applyFill="1" applyBorder="1" applyAlignment="1">
      <alignment horizontal="center" vertical="center"/>
    </xf>
    <xf numFmtId="0" fontId="36" fillId="15" borderId="59" xfId="0" applyFont="1" applyFill="1" applyBorder="1" applyAlignment="1">
      <alignment horizontal="center" vertical="center"/>
    </xf>
    <xf numFmtId="0" fontId="36" fillId="15" borderId="62" xfId="0" applyFont="1" applyFill="1" applyBorder="1" applyAlignment="1">
      <alignment horizontal="center" vertical="center"/>
    </xf>
    <xf numFmtId="0" fontId="36" fillId="15" borderId="113" xfId="0" applyFont="1" applyFill="1" applyBorder="1" applyAlignment="1">
      <alignment horizontal="center" vertical="center"/>
    </xf>
    <xf numFmtId="0" fontId="35" fillId="6" borderId="60" xfId="0" applyFont="1" applyFill="1" applyBorder="1" applyAlignment="1">
      <alignment horizontal="center"/>
    </xf>
    <xf numFmtId="0" fontId="35" fillId="6" borderId="58" xfId="0" applyFont="1" applyFill="1" applyBorder="1" applyAlignment="1">
      <alignment horizontal="center"/>
    </xf>
    <xf numFmtId="0" fontId="35" fillId="6" borderId="0" xfId="0" applyFont="1" applyFill="1" applyAlignment="1">
      <alignment horizontal="center"/>
    </xf>
    <xf numFmtId="0" fontId="35" fillId="6" borderId="51" xfId="0" applyFont="1" applyFill="1" applyBorder="1" applyAlignment="1">
      <alignment horizontal="center"/>
    </xf>
    <xf numFmtId="0" fontId="65" fillId="0" borderId="60" xfId="0" applyFont="1" applyBorder="1" applyAlignment="1">
      <alignment horizontal="left" vertical="center"/>
    </xf>
    <xf numFmtId="0" fontId="65" fillId="0" borderId="58" xfId="0" applyFont="1" applyBorder="1" applyAlignment="1">
      <alignment horizontal="left" vertical="center"/>
    </xf>
    <xf numFmtId="0" fontId="65" fillId="0" borderId="50" xfId="0" applyFont="1" applyBorder="1" applyAlignment="1">
      <alignment horizontal="left" vertical="center"/>
    </xf>
    <xf numFmtId="0" fontId="65" fillId="0" borderId="59" xfId="0" applyFont="1" applyBorder="1" applyAlignment="1">
      <alignment horizontal="left"/>
    </xf>
    <xf numFmtId="0" fontId="65" fillId="0" borderId="62" xfId="0" applyFont="1" applyBorder="1" applyAlignment="1">
      <alignment horizontal="left"/>
    </xf>
    <xf numFmtId="0" fontId="65" fillId="0" borderId="113" xfId="0" applyFont="1" applyBorder="1" applyAlignment="1">
      <alignment horizontal="left"/>
    </xf>
    <xf numFmtId="0" fontId="14" fillId="0" borderId="4" xfId="0" applyFont="1" applyBorder="1" applyAlignment="1">
      <alignment horizontal="center" vertical="center"/>
    </xf>
    <xf numFmtId="0" fontId="14" fillId="0" borderId="29" xfId="0" applyFont="1" applyBorder="1" applyAlignment="1">
      <alignment horizontal="center" vertical="center"/>
    </xf>
    <xf numFmtId="0" fontId="14" fillId="0" borderId="10" xfId="0" applyFont="1" applyBorder="1" applyAlignment="1">
      <alignment horizontal="center" vertical="center"/>
    </xf>
    <xf numFmtId="0" fontId="14" fillId="0" borderId="4" xfId="0" applyFont="1" applyBorder="1" applyAlignment="1">
      <alignment horizontal="center"/>
    </xf>
    <xf numFmtId="0" fontId="14" fillId="0" borderId="29" xfId="0" applyFont="1" applyBorder="1" applyAlignment="1">
      <alignment horizontal="center"/>
    </xf>
    <xf numFmtId="0" fontId="14" fillId="0" borderId="10" xfId="0" applyFont="1" applyBorder="1" applyAlignment="1">
      <alignment horizontal="center"/>
    </xf>
    <xf numFmtId="0" fontId="14" fillId="0" borderId="1" xfId="0" applyFont="1" applyBorder="1" applyAlignment="1">
      <alignment horizontal="center"/>
    </xf>
    <xf numFmtId="0" fontId="14" fillId="0" borderId="0" xfId="0" applyFont="1" applyAlignment="1">
      <alignment horizontal="center"/>
    </xf>
    <xf numFmtId="0" fontId="0" fillId="13" borderId="120" xfId="0" applyFill="1" applyBorder="1" applyAlignment="1">
      <alignment horizontal="center" vertical="center"/>
    </xf>
    <xf numFmtId="0" fontId="0" fillId="13" borderId="129" xfId="0" applyFill="1" applyBorder="1" applyAlignment="1">
      <alignment horizontal="center" vertical="center"/>
    </xf>
    <xf numFmtId="0" fontId="101" fillId="42" borderId="48" xfId="0" applyFont="1" applyFill="1" applyBorder="1" applyAlignment="1">
      <alignment horizontal="center" vertical="center"/>
    </xf>
    <xf numFmtId="0" fontId="101" fillId="42" borderId="56" xfId="0" applyFont="1" applyFill="1" applyBorder="1" applyAlignment="1">
      <alignment horizontal="center" vertical="center"/>
    </xf>
    <xf numFmtId="0" fontId="101" fillId="42" borderId="58" xfId="0" applyFont="1" applyFill="1" applyBorder="1" applyAlignment="1">
      <alignment horizontal="center" vertical="center"/>
    </xf>
    <xf numFmtId="0" fontId="101" fillId="42" borderId="50" xfId="0" applyFont="1" applyFill="1" applyBorder="1" applyAlignment="1">
      <alignment horizontal="center" vertical="center"/>
    </xf>
    <xf numFmtId="0" fontId="0" fillId="0" borderId="120" xfId="0" applyBorder="1" applyAlignment="1">
      <alignment horizontal="center" vertical="center"/>
    </xf>
    <xf numFmtId="0" fontId="0" fillId="0" borderId="129" xfId="0" applyBorder="1" applyAlignment="1">
      <alignment horizontal="center" vertical="center"/>
    </xf>
    <xf numFmtId="0" fontId="0" fillId="13" borderId="120" xfId="0" applyFill="1" applyBorder="1" applyAlignment="1">
      <alignment horizontal="center" wrapText="1"/>
    </xf>
    <xf numFmtId="0" fontId="0" fillId="13" borderId="120" xfId="0" applyFill="1" applyBorder="1" applyAlignment="1">
      <alignment horizontal="center"/>
    </xf>
    <xf numFmtId="0" fontId="0" fillId="13" borderId="129" xfId="0" applyFill="1" applyBorder="1" applyAlignment="1">
      <alignment horizontal="center"/>
    </xf>
    <xf numFmtId="0" fontId="0" fillId="0" borderId="136" xfId="0" applyBorder="1" applyAlignment="1">
      <alignment horizontal="center" vertical="center" wrapText="1"/>
    </xf>
    <xf numFmtId="0" fontId="0" fillId="0" borderId="140" xfId="0" applyBorder="1" applyAlignment="1">
      <alignment horizontal="center" vertical="center" wrapText="1"/>
    </xf>
    <xf numFmtId="0" fontId="0" fillId="0" borderId="133" xfId="0" applyBorder="1" applyAlignment="1">
      <alignment horizontal="center" vertical="center" wrapText="1"/>
    </xf>
    <xf numFmtId="0" fontId="0" fillId="0" borderId="120" xfId="0" applyBorder="1" applyAlignment="1">
      <alignment horizontal="center" vertical="center" wrapText="1"/>
    </xf>
    <xf numFmtId="0" fontId="0" fillId="0" borderId="134" xfId="0" applyBorder="1" applyAlignment="1">
      <alignment horizontal="center" vertical="center" wrapText="1"/>
    </xf>
    <xf numFmtId="0" fontId="0" fillId="13" borderId="133" xfId="0" applyFill="1" applyBorder="1" applyAlignment="1">
      <alignment horizontal="center" vertical="center" wrapText="1"/>
    </xf>
    <xf numFmtId="0" fontId="0" fillId="13" borderId="120" xfId="0" applyFill="1" applyBorder="1" applyAlignment="1">
      <alignment horizontal="center" vertical="center" wrapText="1"/>
    </xf>
    <xf numFmtId="0" fontId="0" fillId="13" borderId="134" xfId="0" applyFill="1" applyBorder="1" applyAlignment="1">
      <alignment horizontal="center" vertical="center" wrapText="1"/>
    </xf>
    <xf numFmtId="0" fontId="0" fillId="0" borderId="134" xfId="0" applyBorder="1" applyAlignment="1">
      <alignment horizontal="center" vertical="center"/>
    </xf>
    <xf numFmtId="0" fontId="0" fillId="13" borderId="134" xfId="0" applyFill="1" applyBorder="1" applyAlignment="1">
      <alignment horizontal="center" vertical="center"/>
    </xf>
    <xf numFmtId="0" fontId="0" fillId="0" borderId="135" xfId="0" applyBorder="1" applyAlignment="1">
      <alignment horizontal="center" vertical="center" wrapText="1"/>
    </xf>
    <xf numFmtId="0" fontId="0" fillId="0" borderId="136" xfId="0" applyBorder="1" applyAlignment="1">
      <alignment horizontal="center" vertical="center"/>
    </xf>
    <xf numFmtId="0" fontId="0" fillId="0" borderId="137" xfId="0" applyBorder="1" applyAlignment="1">
      <alignment horizontal="center" vertical="center"/>
    </xf>
    <xf numFmtId="0" fontId="0" fillId="40" borderId="121" xfId="0" applyFill="1" applyBorder="1" applyAlignment="1">
      <alignment horizontal="center"/>
    </xf>
    <xf numFmtId="0" fontId="0" fillId="40" borderId="138" xfId="0" applyFill="1" applyBorder="1" applyAlignment="1">
      <alignment horizontal="center"/>
    </xf>
    <xf numFmtId="0" fontId="0" fillId="40" borderId="130" xfId="0" applyFill="1" applyBorder="1" applyAlignment="1">
      <alignment horizontal="center"/>
    </xf>
    <xf numFmtId="0" fontId="0" fillId="40" borderId="131" xfId="0" applyFill="1" applyBorder="1" applyAlignment="1">
      <alignment horizontal="center"/>
    </xf>
    <xf numFmtId="0" fontId="0" fillId="40" borderId="132" xfId="0" applyFill="1" applyBorder="1" applyAlignment="1">
      <alignment horizontal="center"/>
    </xf>
    <xf numFmtId="49" fontId="103" fillId="0" borderId="24" xfId="0" applyNumberFormat="1" applyFont="1" applyBorder="1" applyAlignment="1" applyProtection="1">
      <alignment horizontal="center" vertical="center"/>
      <protection locked="0"/>
    </xf>
    <xf numFmtId="0" fontId="103" fillId="0" borderId="1" xfId="0" applyFont="1" applyBorder="1" applyAlignment="1">
      <alignment horizontal="center"/>
    </xf>
    <xf numFmtId="165" fontId="1" fillId="0" borderId="1" xfId="0" applyNumberFormat="1" applyFont="1" applyBorder="1" applyAlignment="1">
      <alignment horizontal="center"/>
    </xf>
    <xf numFmtId="0" fontId="103" fillId="0" borderId="24" xfId="0" applyFont="1" applyBorder="1" applyAlignment="1">
      <alignment horizontal="center"/>
    </xf>
    <xf numFmtId="165" fontId="1" fillId="0" borderId="24" xfId="0" applyNumberFormat="1" applyFont="1" applyBorder="1" applyAlignment="1">
      <alignment horizontal="center"/>
    </xf>
    <xf numFmtId="49" fontId="1" fillId="0" borderId="24" xfId="0" applyNumberFormat="1" applyFont="1" applyBorder="1" applyAlignment="1" applyProtection="1">
      <alignment horizontal="center" vertical="center"/>
      <protection locked="0"/>
    </xf>
    <xf numFmtId="168" fontId="0" fillId="0" borderId="0" xfId="0" applyNumberFormat="1"/>
    <xf numFmtId="0" fontId="104" fillId="0" borderId="0" xfId="0" applyFont="1"/>
  </cellXfs>
  <cellStyles count="4">
    <cellStyle name="Normal" xfId="0" builtinId="0"/>
    <cellStyle name="Normal 2" xfId="1" xr:uid="{00000000-0005-0000-0000-000001000000}"/>
    <cellStyle name="Normal 2 2 2" xfId="3" xr:uid="{00000000-0005-0000-0000-000002000000}"/>
    <cellStyle name="Normal 3" xfId="2" xr:uid="{00000000-0005-0000-0000-000003000000}"/>
  </cellStyles>
  <dxfs count="43">
    <dxf>
      <font>
        <color rgb="FF000099"/>
      </font>
    </dxf>
    <dxf>
      <font>
        <color rgb="FFFF0000"/>
      </font>
    </dxf>
    <dxf>
      <font>
        <color rgb="FF000099"/>
      </font>
    </dxf>
    <dxf>
      <font>
        <color rgb="FFC00000"/>
      </font>
    </dxf>
    <dxf>
      <font>
        <color rgb="FF000099"/>
      </font>
    </dxf>
    <dxf>
      <font>
        <color rgb="FFFF0000"/>
      </font>
    </dxf>
    <dxf>
      <font>
        <color rgb="FF000099"/>
      </font>
    </dxf>
    <dxf>
      <font>
        <color rgb="FFC00000"/>
      </font>
    </dxf>
    <dxf>
      <font>
        <color rgb="FF000099"/>
      </font>
    </dxf>
    <dxf>
      <font>
        <color rgb="FFC00000"/>
      </font>
    </dxf>
    <dxf>
      <font>
        <color rgb="FF9C0006"/>
      </font>
    </dxf>
    <dxf>
      <font>
        <color rgb="FF9C0006"/>
      </font>
    </dxf>
    <dxf>
      <font>
        <color rgb="FF9C0006"/>
      </font>
    </dxf>
    <dxf>
      <font>
        <color rgb="FF9C0006"/>
      </font>
    </dxf>
    <dxf>
      <font>
        <color rgb="FF9C0006"/>
      </font>
    </dxf>
    <dxf>
      <font>
        <color rgb="FF9C0006"/>
      </font>
    </dxf>
    <dxf>
      <font>
        <color rgb="FF000099"/>
      </font>
    </dxf>
    <dxf>
      <font>
        <color rgb="FF9C0006"/>
      </font>
    </dxf>
    <dxf>
      <font>
        <color rgb="FF9C0006"/>
      </font>
    </dxf>
    <dxf>
      <font>
        <color rgb="FF9C0006"/>
      </font>
    </dxf>
    <dxf>
      <font>
        <color rgb="FF000099"/>
      </font>
    </dxf>
    <dxf>
      <font>
        <color rgb="FF9C0006"/>
      </font>
    </dxf>
    <dxf>
      <font>
        <color rgb="FF000099"/>
      </font>
    </dxf>
    <dxf>
      <font>
        <color rgb="FF9C0006"/>
      </font>
    </dxf>
    <dxf>
      <font>
        <color rgb="FF9C0006"/>
      </font>
    </dxf>
    <dxf>
      <font>
        <color rgb="FF9C0006"/>
      </font>
    </dxf>
    <dxf>
      <font>
        <color rgb="FF000099"/>
      </font>
    </dxf>
    <dxf>
      <font>
        <color rgb="FF000099"/>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3366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5" Type="http://schemas.openxmlformats.org/officeDocument/2006/relationships/worksheet" Target="worksheets/sheet15.xml"/><Relationship Id="rId26" Type="http://schemas.openxmlformats.org/officeDocument/2006/relationships/worksheet" Target="worksheets/sheet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Carta CEP - Calibração</a:t>
            </a:r>
            <a:r>
              <a:rPr lang="pt-BR" sz="1800" b="1" baseline="0">
                <a:solidFill>
                  <a:srgbClr val="000099"/>
                </a:solidFill>
              </a:rPr>
              <a:t> Alpine</a:t>
            </a:r>
            <a:endParaRPr lang="pt-BR" sz="1800" b="1">
              <a:solidFill>
                <a:srgbClr val="000099"/>
              </a:solidFill>
            </a:endParaRPr>
          </a:p>
        </c:rich>
      </c:tx>
      <c:layout>
        <c:manualLayout>
          <c:xMode val="edge"/>
          <c:yMode val="edge"/>
          <c:x val="0.34937082660408947"/>
          <c:y val="2.64684915111565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 Fina Alpine'!$B$6</c:f>
              <c:strCache>
                <c:ptCount val="1"/>
                <c:pt idx="0">
                  <c:v>66PN 670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Alpine'!$B$7:$B$17</c:f>
              <c:numCache>
                <c:formatCode>0.0</c:formatCode>
                <c:ptCount val="11"/>
                <c:pt idx="0">
                  <c:v>89.2</c:v>
                </c:pt>
                <c:pt idx="1">
                  <c:v>88.6</c:v>
                </c:pt>
                <c:pt idx="2">
                  <c:v>88.8</c:v>
                </c:pt>
                <c:pt idx="3">
                  <c:v>88.5</c:v>
                </c:pt>
                <c:pt idx="4">
                  <c:v>88.4</c:v>
                </c:pt>
                <c:pt idx="5">
                  <c:v>88.8</c:v>
                </c:pt>
                <c:pt idx="6">
                  <c:v>87.9</c:v>
                </c:pt>
                <c:pt idx="7">
                  <c:v>88.52</c:v>
                </c:pt>
              </c:numCache>
            </c:numRef>
          </c:val>
          <c:smooth val="0"/>
          <c:extLst>
            <c:ext xmlns:c16="http://schemas.microsoft.com/office/drawing/2014/chart" uri="{C3380CC4-5D6E-409C-BE32-E72D297353CC}">
              <c16:uniqueId val="{00000000-CEDC-4E86-9FE1-072E99BF58F7}"/>
            </c:ext>
          </c:extLst>
        </c:ser>
        <c:ser>
          <c:idx val="1"/>
          <c:order val="1"/>
          <c:tx>
            <c:strRef>
              <c:f>'Gran. Fina Alpine'!$D$6</c:f>
              <c:strCache>
                <c:ptCount val="1"/>
                <c:pt idx="0">
                  <c:v>66PN 671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Alpine'!$D$7:$D$17</c:f>
              <c:numCache>
                <c:formatCode>0.0</c:formatCode>
                <c:ptCount val="11"/>
                <c:pt idx="0">
                  <c:v>88.6</c:v>
                </c:pt>
                <c:pt idx="1">
                  <c:v>87.8</c:v>
                </c:pt>
                <c:pt idx="2">
                  <c:v>88.5</c:v>
                </c:pt>
                <c:pt idx="3">
                  <c:v>88.8</c:v>
                </c:pt>
                <c:pt idx="4">
                  <c:v>88.6</c:v>
                </c:pt>
                <c:pt idx="5">
                  <c:v>88.4</c:v>
                </c:pt>
                <c:pt idx="6">
                  <c:v>88</c:v>
                </c:pt>
                <c:pt idx="7">
                  <c:v>87.8</c:v>
                </c:pt>
              </c:numCache>
            </c:numRef>
          </c:val>
          <c:smooth val="0"/>
          <c:extLst>
            <c:ext xmlns:c16="http://schemas.microsoft.com/office/drawing/2014/chart" uri="{C3380CC4-5D6E-409C-BE32-E72D297353CC}">
              <c16:uniqueId val="{00000001-CEDC-4E86-9FE1-072E99BF58F7}"/>
            </c:ext>
          </c:extLst>
        </c:ser>
        <c:ser>
          <c:idx val="2"/>
          <c:order val="2"/>
          <c:tx>
            <c:strRef>
              <c:f>'Gran. Fina Alpine'!$I$6</c:f>
              <c:strCache>
                <c:ptCount val="1"/>
                <c:pt idx="0">
                  <c:v>Valor Nominal</c:v>
                </c:pt>
              </c:strCache>
            </c:strRef>
          </c:tx>
          <c:spPr>
            <a:ln w="28575" cap="rnd">
              <a:solidFill>
                <a:srgbClr val="00B050"/>
              </a:solidFill>
              <a:round/>
            </a:ln>
            <a:effectLst/>
          </c:spPr>
          <c:marker>
            <c:symbol val="circle"/>
            <c:size val="5"/>
            <c:spPr>
              <a:solidFill>
                <a:schemeClr val="accent3"/>
              </a:solidFill>
              <a:ln w="9525">
                <a:solidFill>
                  <a:schemeClr val="accent3"/>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Alpine'!$I$7:$I$21</c:f>
              <c:numCache>
                <c:formatCode>General</c:formatCode>
                <c:ptCount val="15"/>
                <c:pt idx="0">
                  <c:v>88.4</c:v>
                </c:pt>
                <c:pt idx="1">
                  <c:v>88.4</c:v>
                </c:pt>
                <c:pt idx="2">
                  <c:v>88.4</c:v>
                </c:pt>
                <c:pt idx="3">
                  <c:v>88.4</c:v>
                </c:pt>
                <c:pt idx="4">
                  <c:v>88.4</c:v>
                </c:pt>
                <c:pt idx="5">
                  <c:v>88.4</c:v>
                </c:pt>
                <c:pt idx="6">
                  <c:v>88.4</c:v>
                </c:pt>
                <c:pt idx="7">
                  <c:v>88.4</c:v>
                </c:pt>
                <c:pt idx="8">
                  <c:v>88.4</c:v>
                </c:pt>
                <c:pt idx="9">
                  <c:v>88.4</c:v>
                </c:pt>
                <c:pt idx="10">
                  <c:v>88.4</c:v>
                </c:pt>
                <c:pt idx="11">
                  <c:v>88.4</c:v>
                </c:pt>
                <c:pt idx="12">
                  <c:v>88.4</c:v>
                </c:pt>
                <c:pt idx="13">
                  <c:v>88.4</c:v>
                </c:pt>
                <c:pt idx="14">
                  <c:v>88.4</c:v>
                </c:pt>
              </c:numCache>
            </c:numRef>
          </c:val>
          <c:smooth val="0"/>
          <c:extLst>
            <c:ext xmlns:c16="http://schemas.microsoft.com/office/drawing/2014/chart" uri="{C3380CC4-5D6E-409C-BE32-E72D297353CC}">
              <c16:uniqueId val="{00000002-CEDC-4E86-9FE1-072E99BF58F7}"/>
            </c:ext>
          </c:extLst>
        </c:ser>
        <c:ser>
          <c:idx val="3"/>
          <c:order val="3"/>
          <c:tx>
            <c:strRef>
              <c:f>'Gran. Fina Alpine'!$J$6</c:f>
              <c:strCache>
                <c:ptCount val="1"/>
                <c:pt idx="0">
                  <c:v>Limite Inferior</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Alpine'!$J$7:$J$21</c:f>
              <c:numCache>
                <c:formatCode>General</c:formatCode>
                <c:ptCount val="15"/>
                <c:pt idx="0">
                  <c:v>87.4</c:v>
                </c:pt>
                <c:pt idx="1">
                  <c:v>87.4</c:v>
                </c:pt>
                <c:pt idx="2">
                  <c:v>87.4</c:v>
                </c:pt>
                <c:pt idx="3">
                  <c:v>87.4</c:v>
                </c:pt>
                <c:pt idx="4">
                  <c:v>87.4</c:v>
                </c:pt>
                <c:pt idx="5">
                  <c:v>87.4</c:v>
                </c:pt>
                <c:pt idx="6">
                  <c:v>87.4</c:v>
                </c:pt>
                <c:pt idx="7">
                  <c:v>87.4</c:v>
                </c:pt>
                <c:pt idx="8">
                  <c:v>87.4</c:v>
                </c:pt>
                <c:pt idx="9">
                  <c:v>87.4</c:v>
                </c:pt>
                <c:pt idx="10">
                  <c:v>87.4</c:v>
                </c:pt>
                <c:pt idx="11">
                  <c:v>87.4</c:v>
                </c:pt>
                <c:pt idx="12">
                  <c:v>87.4</c:v>
                </c:pt>
                <c:pt idx="13">
                  <c:v>87.4</c:v>
                </c:pt>
                <c:pt idx="14">
                  <c:v>87.4</c:v>
                </c:pt>
              </c:numCache>
            </c:numRef>
          </c:val>
          <c:smooth val="0"/>
          <c:extLst>
            <c:ext xmlns:c16="http://schemas.microsoft.com/office/drawing/2014/chart" uri="{C3380CC4-5D6E-409C-BE32-E72D297353CC}">
              <c16:uniqueId val="{00000003-CEDC-4E86-9FE1-072E99BF58F7}"/>
            </c:ext>
          </c:extLst>
        </c:ser>
        <c:ser>
          <c:idx val="4"/>
          <c:order val="4"/>
          <c:tx>
            <c:strRef>
              <c:f>'Gran. Fina Alpine'!$K$6</c:f>
              <c:strCache>
                <c:ptCount val="1"/>
                <c:pt idx="0">
                  <c:v>Limite Superior</c:v>
                </c:pt>
              </c:strCache>
            </c:strRef>
          </c:tx>
          <c:spPr>
            <a:ln w="28575" cap="rnd">
              <a:solidFill>
                <a:srgbClr val="FF0000"/>
              </a:solidFill>
              <a:round/>
            </a:ln>
            <a:effectLst/>
          </c:spPr>
          <c:marker>
            <c:symbol val="circle"/>
            <c:size val="5"/>
            <c:spPr>
              <a:solidFill>
                <a:schemeClr val="accent5"/>
              </a:solidFill>
              <a:ln w="9525">
                <a:solidFill>
                  <a:schemeClr val="accent5"/>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Alpine'!$K$7:$K$21</c:f>
              <c:numCache>
                <c:formatCode>General</c:formatCode>
                <c:ptCount val="15"/>
                <c:pt idx="0">
                  <c:v>89.4</c:v>
                </c:pt>
                <c:pt idx="1">
                  <c:v>89.4</c:v>
                </c:pt>
                <c:pt idx="2">
                  <c:v>89.4</c:v>
                </c:pt>
                <c:pt idx="3">
                  <c:v>89.4</c:v>
                </c:pt>
                <c:pt idx="4">
                  <c:v>89.4</c:v>
                </c:pt>
                <c:pt idx="5">
                  <c:v>89.4</c:v>
                </c:pt>
                <c:pt idx="6">
                  <c:v>89.4</c:v>
                </c:pt>
                <c:pt idx="7">
                  <c:v>89.4</c:v>
                </c:pt>
                <c:pt idx="8">
                  <c:v>89.4</c:v>
                </c:pt>
                <c:pt idx="9">
                  <c:v>89.4</c:v>
                </c:pt>
                <c:pt idx="10">
                  <c:v>89.4</c:v>
                </c:pt>
                <c:pt idx="11">
                  <c:v>89.4</c:v>
                </c:pt>
                <c:pt idx="12">
                  <c:v>89.4</c:v>
                </c:pt>
                <c:pt idx="13">
                  <c:v>89.4</c:v>
                </c:pt>
                <c:pt idx="14">
                  <c:v>89.4</c:v>
                </c:pt>
              </c:numCache>
            </c:numRef>
          </c:val>
          <c:smooth val="0"/>
          <c:extLst>
            <c:ext xmlns:c16="http://schemas.microsoft.com/office/drawing/2014/chart" uri="{C3380CC4-5D6E-409C-BE32-E72D297353CC}">
              <c16:uniqueId val="{00000004-CEDC-4E86-9FE1-072E99BF58F7}"/>
            </c:ext>
          </c:extLst>
        </c:ser>
        <c:ser>
          <c:idx val="5"/>
          <c:order val="5"/>
          <c:tx>
            <c:strRef>
              <c:f>'Gran. Fina Alpine'!$F$6</c:f>
              <c:strCache>
                <c:ptCount val="1"/>
                <c:pt idx="0">
                  <c:v>66PN 671</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Alpine'!$F$7:$F$17</c:f>
              <c:numCache>
                <c:formatCode>0.0</c:formatCode>
                <c:ptCount val="11"/>
                <c:pt idx="0">
                  <c:v>89</c:v>
                </c:pt>
                <c:pt idx="1">
                  <c:v>88.8</c:v>
                </c:pt>
                <c:pt idx="2">
                  <c:v>88.8</c:v>
                </c:pt>
                <c:pt idx="3">
                  <c:v>88.9</c:v>
                </c:pt>
                <c:pt idx="4">
                  <c:v>88.7</c:v>
                </c:pt>
                <c:pt idx="5">
                  <c:v>89</c:v>
                </c:pt>
                <c:pt idx="6">
                  <c:v>88.1</c:v>
                </c:pt>
                <c:pt idx="7">
                  <c:v>88.25</c:v>
                </c:pt>
              </c:numCache>
            </c:numRef>
          </c:val>
          <c:smooth val="0"/>
          <c:extLst>
            <c:ext xmlns:c16="http://schemas.microsoft.com/office/drawing/2014/chart" uri="{C3380CC4-5D6E-409C-BE32-E72D297353CC}">
              <c16:uniqueId val="{00000000-7939-43CC-97E5-15140BCD743A}"/>
            </c:ext>
          </c:extLst>
        </c:ser>
        <c:dLbls>
          <c:showLegendKey val="0"/>
          <c:showVal val="0"/>
          <c:showCatName val="0"/>
          <c:showSerName val="0"/>
          <c:showPercent val="0"/>
          <c:showBubbleSize val="0"/>
        </c:dLbls>
        <c:marker val="1"/>
        <c:smooth val="0"/>
        <c:axId val="1332690912"/>
        <c:axId val="1332694240"/>
      </c:lineChart>
      <c:catAx>
        <c:axId val="133269091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32694240"/>
        <c:crosses val="autoZero"/>
        <c:auto val="0"/>
        <c:lblAlgn val="ctr"/>
        <c:lblOffset val="100"/>
        <c:noMultiLvlLbl val="0"/>
      </c:catAx>
      <c:valAx>
        <c:axId val="1332694240"/>
        <c:scaling>
          <c:orientation val="minMax"/>
          <c:max val="90.5"/>
          <c:min val="86.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1332690912"/>
        <c:crosses val="autoZero"/>
        <c:crossBetween val="between"/>
      </c:valAx>
      <c:spPr>
        <a:noFill/>
        <a:ln>
          <a:noFill/>
        </a:ln>
        <a:effectLst/>
      </c:spPr>
    </c:plotArea>
    <c:legend>
      <c:legendPos val="b"/>
      <c:layout>
        <c:manualLayout>
          <c:xMode val="edge"/>
          <c:yMode val="edge"/>
          <c:x val="0.11604244177376083"/>
          <c:y val="0.84418286689174915"/>
          <c:w val="0.88395755822623923"/>
          <c:h val="0.1341212928443018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Calibração</a:t>
            </a:r>
            <a:r>
              <a:rPr lang="pt-BR" sz="1800" b="1" baseline="0">
                <a:solidFill>
                  <a:srgbClr val="000099"/>
                </a:solidFill>
              </a:rPr>
              <a:t> Permeabilímetros</a:t>
            </a:r>
            <a:endParaRPr lang="pt-BR" sz="1800"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'Calibração Blaine'!$E$5</c:f>
              <c:strCache>
                <c:ptCount val="1"/>
                <c:pt idx="0">
                  <c:v>Limite Inferior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Blaine'!$E$6:$E$35</c15:sqref>
                  </c15:fullRef>
                </c:ext>
              </c:extLst>
              <c:f>('Calibração Blaine'!$E$6:$E$20,'Calibração Blaine'!$E$22:$E$35)</c:f>
              <c:numCache>
                <c:formatCode>General</c:formatCode>
                <c:ptCount val="29"/>
                <c:pt idx="0">
                  <c:v>1986</c:v>
                </c:pt>
                <c:pt idx="1">
                  <c:v>1986</c:v>
                </c:pt>
                <c:pt idx="2">
                  <c:v>1986</c:v>
                </c:pt>
                <c:pt idx="3">
                  <c:v>1986</c:v>
                </c:pt>
                <c:pt idx="4">
                  <c:v>1986</c:v>
                </c:pt>
                <c:pt idx="5">
                  <c:v>1986</c:v>
                </c:pt>
                <c:pt idx="6">
                  <c:v>1986</c:v>
                </c:pt>
                <c:pt idx="7">
                  <c:v>1986</c:v>
                </c:pt>
                <c:pt idx="8">
                  <c:v>1986</c:v>
                </c:pt>
                <c:pt idx="9">
                  <c:v>1986</c:v>
                </c:pt>
                <c:pt idx="10">
                  <c:v>1986</c:v>
                </c:pt>
                <c:pt idx="11">
                  <c:v>1986</c:v>
                </c:pt>
                <c:pt idx="12">
                  <c:v>1986</c:v>
                </c:pt>
                <c:pt idx="13">
                  <c:v>1986</c:v>
                </c:pt>
                <c:pt idx="14">
                  <c:v>1986</c:v>
                </c:pt>
                <c:pt idx="15">
                  <c:v>1986</c:v>
                </c:pt>
                <c:pt idx="16">
                  <c:v>1986</c:v>
                </c:pt>
                <c:pt idx="17">
                  <c:v>1986</c:v>
                </c:pt>
                <c:pt idx="18">
                  <c:v>1986</c:v>
                </c:pt>
                <c:pt idx="19">
                  <c:v>1986</c:v>
                </c:pt>
                <c:pt idx="20">
                  <c:v>1986</c:v>
                </c:pt>
                <c:pt idx="21">
                  <c:v>1986</c:v>
                </c:pt>
                <c:pt idx="22">
                  <c:v>1986</c:v>
                </c:pt>
                <c:pt idx="23">
                  <c:v>1986</c:v>
                </c:pt>
                <c:pt idx="24">
                  <c:v>1986</c:v>
                </c:pt>
                <c:pt idx="25">
                  <c:v>1986</c:v>
                </c:pt>
                <c:pt idx="26">
                  <c:v>1986</c:v>
                </c:pt>
                <c:pt idx="27">
                  <c:v>1986</c:v>
                </c:pt>
                <c:pt idx="28">
                  <c:v>1986</c:v>
                </c:pt>
              </c:numCache>
            </c:numRef>
          </c:val>
          <c:smooth val="0"/>
          <c:extLst>
            <c:ext xmlns:c16="http://schemas.microsoft.com/office/drawing/2014/chart" uri="{C3380CC4-5D6E-409C-BE32-E72D297353CC}">
              <c16:uniqueId val="{00000001-2D86-4251-AB52-1BFA990DD47B}"/>
            </c:ext>
          </c:extLst>
        </c:ser>
        <c:ser>
          <c:idx val="1"/>
          <c:order val="1"/>
          <c:tx>
            <c:strRef>
              <c:f>'Calibração Blaine'!$F$5</c:f>
              <c:strCache>
                <c:ptCount val="1"/>
                <c:pt idx="0">
                  <c:v>Limite Superior</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Blaine'!$F$6:$F$53</c15:sqref>
                  </c15:fullRef>
                </c:ext>
              </c:extLst>
              <c:f>('Calibração Blaine'!$F$6:$F$20,'Calibração Blaine'!$F$22:$F$53)</c:f>
              <c:numCache>
                <c:formatCode>General</c:formatCode>
                <c:ptCount val="47"/>
                <c:pt idx="0">
                  <c:v>2074</c:v>
                </c:pt>
                <c:pt idx="1">
                  <c:v>2074</c:v>
                </c:pt>
                <c:pt idx="2">
                  <c:v>2074</c:v>
                </c:pt>
                <c:pt idx="3">
                  <c:v>2074</c:v>
                </c:pt>
                <c:pt idx="4">
                  <c:v>2074</c:v>
                </c:pt>
                <c:pt idx="5">
                  <c:v>2074</c:v>
                </c:pt>
                <c:pt idx="6">
                  <c:v>2074</c:v>
                </c:pt>
                <c:pt idx="7">
                  <c:v>2074</c:v>
                </c:pt>
                <c:pt idx="8">
                  <c:v>2074</c:v>
                </c:pt>
                <c:pt idx="9">
                  <c:v>2074</c:v>
                </c:pt>
                <c:pt idx="10">
                  <c:v>2074</c:v>
                </c:pt>
                <c:pt idx="11">
                  <c:v>2074</c:v>
                </c:pt>
                <c:pt idx="12">
                  <c:v>2074</c:v>
                </c:pt>
                <c:pt idx="13">
                  <c:v>2074</c:v>
                </c:pt>
                <c:pt idx="14">
                  <c:v>2074</c:v>
                </c:pt>
                <c:pt idx="15">
                  <c:v>2074</c:v>
                </c:pt>
                <c:pt idx="16">
                  <c:v>2074</c:v>
                </c:pt>
                <c:pt idx="17">
                  <c:v>2074</c:v>
                </c:pt>
                <c:pt idx="18">
                  <c:v>2074</c:v>
                </c:pt>
                <c:pt idx="19">
                  <c:v>2074</c:v>
                </c:pt>
                <c:pt idx="20">
                  <c:v>2074</c:v>
                </c:pt>
                <c:pt idx="21">
                  <c:v>2074</c:v>
                </c:pt>
                <c:pt idx="22">
                  <c:v>2074</c:v>
                </c:pt>
                <c:pt idx="23">
                  <c:v>2074</c:v>
                </c:pt>
                <c:pt idx="24">
                  <c:v>2074</c:v>
                </c:pt>
                <c:pt idx="25">
                  <c:v>2074</c:v>
                </c:pt>
                <c:pt idx="26">
                  <c:v>2074</c:v>
                </c:pt>
                <c:pt idx="27">
                  <c:v>2074</c:v>
                </c:pt>
                <c:pt idx="28">
                  <c:v>2074</c:v>
                </c:pt>
                <c:pt idx="29">
                  <c:v>2074</c:v>
                </c:pt>
                <c:pt idx="30">
                  <c:v>2074</c:v>
                </c:pt>
                <c:pt idx="31">
                  <c:v>2074</c:v>
                </c:pt>
                <c:pt idx="32">
                  <c:v>2074</c:v>
                </c:pt>
                <c:pt idx="33">
                  <c:v>2074</c:v>
                </c:pt>
                <c:pt idx="34">
                  <c:v>2074</c:v>
                </c:pt>
                <c:pt idx="35">
                  <c:v>2074</c:v>
                </c:pt>
                <c:pt idx="36">
                  <c:v>2074</c:v>
                </c:pt>
                <c:pt idx="37">
                  <c:v>2074</c:v>
                </c:pt>
                <c:pt idx="38">
                  <c:v>2074</c:v>
                </c:pt>
                <c:pt idx="39">
                  <c:v>2074</c:v>
                </c:pt>
                <c:pt idx="40">
                  <c:v>2074</c:v>
                </c:pt>
                <c:pt idx="41">
                  <c:v>2074</c:v>
                </c:pt>
                <c:pt idx="42">
                  <c:v>2074</c:v>
                </c:pt>
                <c:pt idx="43">
                  <c:v>2074</c:v>
                </c:pt>
                <c:pt idx="44">
                  <c:v>2074</c:v>
                </c:pt>
                <c:pt idx="45">
                  <c:v>2074</c:v>
                </c:pt>
                <c:pt idx="46">
                  <c:v>2074</c:v>
                </c:pt>
              </c:numCache>
            </c:numRef>
          </c:val>
          <c:smooth val="0"/>
          <c:extLst>
            <c:ext xmlns:c16="http://schemas.microsoft.com/office/drawing/2014/chart" uri="{C3380CC4-5D6E-409C-BE32-E72D297353CC}">
              <c16:uniqueId val="{00000003-2D86-4251-AB52-1BFA990DD47B}"/>
            </c:ext>
          </c:extLst>
        </c:ser>
        <c:ser>
          <c:idx val="2"/>
          <c:order val="2"/>
          <c:tx>
            <c:strRef>
              <c:f>'Calibração Blaine'!$G$5</c:f>
              <c:strCache>
                <c:ptCount val="1"/>
                <c:pt idx="0">
                  <c:v>Valor Nominal</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Blaine'!$G$6:$G$35</c15:sqref>
                  </c15:fullRef>
                </c:ext>
              </c:extLst>
              <c:f>('Calibração Blaine'!$G$6:$G$20,'Calibração Blaine'!$G$22:$G$35)</c:f>
              <c:numCache>
                <c:formatCode>General</c:formatCode>
                <c:ptCount val="29"/>
                <c:pt idx="0">
                  <c:v>2030</c:v>
                </c:pt>
                <c:pt idx="1">
                  <c:v>2030</c:v>
                </c:pt>
                <c:pt idx="2">
                  <c:v>2030</c:v>
                </c:pt>
                <c:pt idx="3">
                  <c:v>2030</c:v>
                </c:pt>
                <c:pt idx="4">
                  <c:v>2030</c:v>
                </c:pt>
                <c:pt idx="5">
                  <c:v>2030</c:v>
                </c:pt>
                <c:pt idx="6">
                  <c:v>2030</c:v>
                </c:pt>
                <c:pt idx="7">
                  <c:v>2030</c:v>
                </c:pt>
                <c:pt idx="8">
                  <c:v>2030</c:v>
                </c:pt>
                <c:pt idx="9">
                  <c:v>2030</c:v>
                </c:pt>
                <c:pt idx="10">
                  <c:v>2030</c:v>
                </c:pt>
                <c:pt idx="11">
                  <c:v>2030</c:v>
                </c:pt>
                <c:pt idx="12">
                  <c:v>2030</c:v>
                </c:pt>
                <c:pt idx="13">
                  <c:v>2030</c:v>
                </c:pt>
                <c:pt idx="14">
                  <c:v>2030</c:v>
                </c:pt>
                <c:pt idx="15">
                  <c:v>2030</c:v>
                </c:pt>
                <c:pt idx="16">
                  <c:v>2030</c:v>
                </c:pt>
                <c:pt idx="17">
                  <c:v>2030</c:v>
                </c:pt>
                <c:pt idx="18">
                  <c:v>2030</c:v>
                </c:pt>
                <c:pt idx="19">
                  <c:v>2030</c:v>
                </c:pt>
                <c:pt idx="20">
                  <c:v>2030</c:v>
                </c:pt>
                <c:pt idx="21">
                  <c:v>2030</c:v>
                </c:pt>
                <c:pt idx="22">
                  <c:v>2030</c:v>
                </c:pt>
                <c:pt idx="23">
                  <c:v>2030</c:v>
                </c:pt>
                <c:pt idx="24">
                  <c:v>2030</c:v>
                </c:pt>
                <c:pt idx="25">
                  <c:v>2030</c:v>
                </c:pt>
                <c:pt idx="26">
                  <c:v>2030</c:v>
                </c:pt>
                <c:pt idx="27">
                  <c:v>2030</c:v>
                </c:pt>
                <c:pt idx="28">
                  <c:v>2030</c:v>
                </c:pt>
              </c:numCache>
            </c:numRef>
          </c:val>
          <c:smooth val="0"/>
          <c:extLst>
            <c:ext xmlns:c16="http://schemas.microsoft.com/office/drawing/2014/chart" uri="{C3380CC4-5D6E-409C-BE32-E72D297353CC}">
              <c16:uniqueId val="{00000005-2D86-4251-AB52-1BFA990DD47B}"/>
            </c:ext>
          </c:extLst>
        </c:ser>
        <c:ser>
          <c:idx val="3"/>
          <c:order val="3"/>
          <c:tx>
            <c:strRef>
              <c:f>'Calibração Blaine'!$H$5</c:f>
              <c:strCache>
                <c:ptCount val="1"/>
                <c:pt idx="0">
                  <c:v> Blaine Manual</c:v>
                </c:pt>
              </c:strCache>
            </c:strRef>
          </c:tx>
          <c:spPr>
            <a:ln w="28575" cap="rnd">
              <a:solidFill>
                <a:srgbClr val="000099"/>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Blaine'!$H$6:$H$35</c15:sqref>
                  </c15:fullRef>
                </c:ext>
              </c:extLst>
              <c:f>('Calibração Blaine'!$H$6:$H$20,'Calibração Blaine'!$H$22:$H$35)</c:f>
              <c:numCache>
                <c:formatCode>0</c:formatCode>
                <c:ptCount val="29"/>
                <c:pt idx="0">
                  <c:v>2018</c:v>
                </c:pt>
                <c:pt idx="1">
                  <c:v>2022</c:v>
                </c:pt>
                <c:pt idx="2">
                  <c:v>2022</c:v>
                </c:pt>
                <c:pt idx="3">
                  <c:v>2023</c:v>
                </c:pt>
                <c:pt idx="4">
                  <c:v>2020</c:v>
                </c:pt>
                <c:pt idx="5">
                  <c:v>2011</c:v>
                </c:pt>
                <c:pt idx="6">
                  <c:v>2016</c:v>
                </c:pt>
                <c:pt idx="7">
                  <c:v>2022</c:v>
                </c:pt>
                <c:pt idx="8">
                  <c:v>2014</c:v>
                </c:pt>
                <c:pt idx="9">
                  <c:v>2002</c:v>
                </c:pt>
                <c:pt idx="10">
                  <c:v>2013</c:v>
                </c:pt>
                <c:pt idx="11">
                  <c:v>2022</c:v>
                </c:pt>
                <c:pt idx="12">
                  <c:v>2014</c:v>
                </c:pt>
                <c:pt idx="13">
                  <c:v>2010</c:v>
                </c:pt>
                <c:pt idx="14">
                  <c:v>2005</c:v>
                </c:pt>
                <c:pt idx="15">
                  <c:v>2049</c:v>
                </c:pt>
                <c:pt idx="16">
                  <c:v>2025</c:v>
                </c:pt>
                <c:pt idx="17">
                  <c:v>2033</c:v>
                </c:pt>
                <c:pt idx="18">
                  <c:v>2047</c:v>
                </c:pt>
                <c:pt idx="19">
                  <c:v>2036</c:v>
                </c:pt>
                <c:pt idx="20">
                  <c:v>2033</c:v>
                </c:pt>
                <c:pt idx="21" formatCode="General">
                  <c:v>2016</c:v>
                </c:pt>
                <c:pt idx="22" formatCode="General">
                  <c:v>2028</c:v>
                </c:pt>
                <c:pt idx="23" formatCode="General">
                  <c:v>2014</c:v>
                </c:pt>
                <c:pt idx="24" formatCode="General">
                  <c:v>2016</c:v>
                </c:pt>
                <c:pt idx="25" formatCode="General">
                  <c:v>2041</c:v>
                </c:pt>
                <c:pt idx="26" formatCode="General">
                  <c:v>2036</c:v>
                </c:pt>
                <c:pt idx="27" formatCode="General">
                  <c:v>2027</c:v>
                </c:pt>
                <c:pt idx="28" formatCode="General">
                  <c:v>2019</c:v>
                </c:pt>
              </c:numCache>
            </c:numRef>
          </c:val>
          <c:smooth val="0"/>
          <c:extLst>
            <c:ext xmlns:c16="http://schemas.microsoft.com/office/drawing/2014/chart" uri="{C3380CC4-5D6E-409C-BE32-E72D297353CC}">
              <c16:uniqueId val="{00000007-2D86-4251-AB52-1BFA990DD47B}"/>
            </c:ext>
          </c:extLst>
        </c:ser>
        <c:dLbls>
          <c:showLegendKey val="0"/>
          <c:showVal val="0"/>
          <c:showCatName val="0"/>
          <c:showSerName val="0"/>
          <c:showPercent val="0"/>
          <c:showBubbleSize val="0"/>
        </c:dLbls>
        <c:smooth val="0"/>
        <c:axId val="257959432"/>
        <c:axId val="257961480"/>
      </c:lineChart>
      <c:catAx>
        <c:axId val="25795943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257961480"/>
        <c:crosses val="autoZero"/>
        <c:auto val="0"/>
        <c:lblAlgn val="ctr"/>
        <c:lblOffset val="100"/>
        <c:noMultiLvlLbl val="0"/>
      </c:catAx>
      <c:valAx>
        <c:axId val="257961480"/>
        <c:scaling>
          <c:orientation val="minMax"/>
          <c:max val="2090"/>
          <c:min val="19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BR"/>
          </a:p>
        </c:txPr>
        <c:crossAx val="257959432"/>
        <c:crosses val="autoZero"/>
        <c:crossBetween val="between"/>
        <c:majorUnit val="20"/>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BR"/>
              <a:t>Comparativo Permeabilímetro Fisher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lotArea>
      <c:layout/>
      <c:barChart>
        <c:barDir val="col"/>
        <c:grouping val="clustered"/>
        <c:varyColors val="0"/>
        <c:ser>
          <c:idx val="0"/>
          <c:order val="0"/>
          <c:tx>
            <c:strRef>
              <c:f>'Comparativo Fisher'!$D$6</c:f>
              <c:strCache>
                <c:ptCount val="1"/>
                <c:pt idx="0">
                  <c:v>66PB01</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Fisher'!$D$8:$D$12</c:f>
              <c:numCache>
                <c:formatCode>0</c:formatCode>
                <c:ptCount val="5"/>
              </c:numCache>
            </c:numRef>
          </c:val>
          <c:extLst>
            <c:ext xmlns:c16="http://schemas.microsoft.com/office/drawing/2014/chart" uri="{C3380CC4-5D6E-409C-BE32-E72D297353CC}">
              <c16:uniqueId val="{00000000-1940-4DDE-BDA9-D1ABE915E798}"/>
            </c:ext>
          </c:extLst>
        </c:ser>
        <c:ser>
          <c:idx val="1"/>
          <c:order val="1"/>
          <c:tx>
            <c:strRef>
              <c:f>'Comparativo Fisher'!$E$6</c:f>
              <c:strCache>
                <c:ptCount val="1"/>
                <c:pt idx="0">
                  <c:v>66PB09</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Fisher'!$E$8:$E$12</c:f>
              <c:numCache>
                <c:formatCode>0</c:formatCode>
                <c:ptCount val="5"/>
              </c:numCache>
            </c:numRef>
          </c:val>
          <c:extLst>
            <c:ext xmlns:c16="http://schemas.microsoft.com/office/drawing/2014/chart" uri="{C3380CC4-5D6E-409C-BE32-E72D297353CC}">
              <c16:uniqueId val="{00000001-1940-4DDE-BDA9-D1ABE915E798}"/>
            </c:ext>
          </c:extLst>
        </c:ser>
        <c:dLbls>
          <c:showLegendKey val="0"/>
          <c:showVal val="0"/>
          <c:showCatName val="0"/>
          <c:showSerName val="0"/>
          <c:showPercent val="0"/>
          <c:showBubbleSize val="0"/>
        </c:dLbls>
        <c:gapWidth val="150"/>
        <c:axId val="415483567"/>
        <c:axId val="415468175"/>
      </c:barChart>
      <c:catAx>
        <c:axId val="41548356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68175"/>
        <c:crosses val="autoZero"/>
        <c:auto val="1"/>
        <c:lblAlgn val="ctr"/>
        <c:lblOffset val="100"/>
        <c:noMultiLvlLbl val="0"/>
      </c:catAx>
      <c:valAx>
        <c:axId val="415468175"/>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83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600" b="1">
                <a:solidFill>
                  <a:srgbClr val="002060"/>
                </a:solidFill>
              </a:rPr>
              <a:t>Comparativo Tambor de Abrasão LTF X LCE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'[1]Tamb Kg x Tamb 15,0Kg'!$U$10:$U$14</c:f>
              <c:strCache>
                <c:ptCount val="5"/>
                <c:pt idx="0">
                  <c:v>#VALOR!</c:v>
                </c:pt>
                <c:pt idx="1">
                  <c:v>#VALOR!</c:v>
                </c:pt>
                <c:pt idx="2">
                  <c:v>#VALOR!</c:v>
                </c:pt>
                <c:pt idx="3">
                  <c:v>#VALOR!</c:v>
                </c:pt>
                <c:pt idx="4">
                  <c:v>#VALOR!</c:v>
                </c:pt>
              </c:strCache>
            </c:strRef>
          </c:tx>
          <c:spPr>
            <a:ln w="28575" cap="rnd">
              <a:solidFill>
                <a:srgbClr val="FF0000"/>
              </a:solidFill>
              <a:round/>
            </a:ln>
            <a:effectLst/>
          </c:spPr>
          <c:marker>
            <c:symbol val="circle"/>
            <c:size val="5"/>
            <c:spPr>
              <a:solidFill>
                <a:schemeClr val="accent1"/>
              </a:solidFill>
              <a:ln w="9525">
                <a:solidFill>
                  <a:srgbClr val="FF0000"/>
                </a:solidFill>
              </a:ln>
              <a:effectLst/>
            </c:spPr>
          </c:marker>
          <c:cat>
            <c:strRef>
              <c:f>'[1]Tamb Kg x Tamb 15,0Kg'!$R$10:$R$14</c:f>
              <c:strCache>
                <c:ptCount val="5"/>
                <c:pt idx="0">
                  <c:v>45778</c:v>
                </c:pt>
                <c:pt idx="1">
                  <c:v>0</c:v>
                </c:pt>
                <c:pt idx="2">
                  <c:v>0</c:v>
                </c:pt>
                <c:pt idx="3">
                  <c:v>0</c:v>
                </c:pt>
                <c:pt idx="4">
                  <c:v>0</c:v>
                </c:pt>
              </c:strCache>
            </c:strRef>
          </c:cat>
          <c:val>
            <c:numRef>
              <c:f>'[1]Tamb Kg x Tamb 15,0Kg'!$U$10:$U$14</c:f>
              <c:numCache>
                <c:formatCode>General</c:formatCode>
                <c:ptCount val="5"/>
              </c:numCache>
            </c:numRef>
          </c:val>
          <c:smooth val="0"/>
          <c:extLst>
            <c:ext xmlns:c16="http://schemas.microsoft.com/office/drawing/2014/chart" uri="{C3380CC4-5D6E-409C-BE32-E72D297353CC}">
              <c16:uniqueId val="{00000000-DDF1-488A-AE85-5BE3275A0AF5}"/>
            </c:ext>
          </c:extLst>
        </c:ser>
        <c:ser>
          <c:idx val="1"/>
          <c:order val="1"/>
          <c:tx>
            <c:strRef>
              <c:f>'[1]Tamb Kg x Tamb 15,0Kg'!$V$8</c:f>
              <c:strCache>
                <c:ptCount val="1"/>
                <c:pt idx="0">
                  <c:v>Dif. Aceitável</c:v>
                </c:pt>
              </c:strCache>
            </c:strRef>
          </c:tx>
          <c:spPr>
            <a:ln w="28575" cap="rnd">
              <a:solidFill>
                <a:srgbClr val="FFFF00"/>
              </a:solidFill>
              <a:round/>
            </a:ln>
            <a:effectLst/>
          </c:spPr>
          <c:marker>
            <c:symbol val="circle"/>
            <c:size val="5"/>
            <c:spPr>
              <a:solidFill>
                <a:schemeClr val="accent2"/>
              </a:solidFill>
              <a:ln w="9525">
                <a:solidFill>
                  <a:srgbClr val="FFFF00"/>
                </a:solidFill>
              </a:ln>
              <a:effectLst/>
            </c:spPr>
          </c:marker>
          <c:val>
            <c:numRef>
              <c:f>'[1]Tamb Kg x Tamb 15,0Kg'!$V$10:$V$14</c:f>
              <c:numCache>
                <c:formatCode>General</c:formatCode>
                <c:ptCount val="5"/>
                <c:pt idx="0">
                  <c:v>0.5</c:v>
                </c:pt>
                <c:pt idx="1">
                  <c:v>0.5</c:v>
                </c:pt>
                <c:pt idx="2">
                  <c:v>0.5</c:v>
                </c:pt>
                <c:pt idx="3">
                  <c:v>0.5</c:v>
                </c:pt>
                <c:pt idx="4">
                  <c:v>0.5</c:v>
                </c:pt>
              </c:numCache>
            </c:numRef>
          </c:val>
          <c:smooth val="0"/>
          <c:extLst>
            <c:ext xmlns:c16="http://schemas.microsoft.com/office/drawing/2014/chart" uri="{C3380CC4-5D6E-409C-BE32-E72D297353CC}">
              <c16:uniqueId val="{00000001-DDF1-488A-AE85-5BE3275A0AF5}"/>
            </c:ext>
          </c:extLst>
        </c:ser>
        <c:dLbls>
          <c:showLegendKey val="0"/>
          <c:showVal val="0"/>
          <c:showCatName val="0"/>
          <c:showSerName val="0"/>
          <c:showPercent val="0"/>
          <c:showBubbleSize val="0"/>
        </c:dLbls>
        <c:marker val="1"/>
        <c:smooth val="0"/>
        <c:axId val="1319113504"/>
        <c:axId val="1319114752"/>
      </c:lineChart>
      <c:catAx>
        <c:axId val="131911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pt-BR"/>
          </a:p>
        </c:txPr>
        <c:crossAx val="1319114752"/>
        <c:crosses val="autoZero"/>
        <c:auto val="0"/>
        <c:lblAlgn val="ctr"/>
        <c:lblOffset val="100"/>
        <c:noMultiLvlLbl val="0"/>
      </c:catAx>
      <c:valAx>
        <c:axId val="1319114752"/>
        <c:scaling>
          <c:orientation val="minMax"/>
          <c:max val="0.8"/>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1911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Calibração Compressão Kgf/pel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lotArea>
      <c:layout/>
      <c:lineChart>
        <c:grouping val="standard"/>
        <c:varyColors val="0"/>
        <c:ser>
          <c:idx val="0"/>
          <c:order val="0"/>
          <c:tx>
            <c:strRef>
              <c:f>'Resultados 1'!$C$21</c:f>
              <c:strCache>
                <c:ptCount val="1"/>
                <c:pt idx="0">
                  <c:v>Comp. média</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1'!$C$22:$C$25</c:f>
              <c:numCache>
                <c:formatCode>0</c:formatCode>
                <c:ptCount val="4"/>
                <c:pt idx="0">
                  <c:v>367.33333333333331</c:v>
                </c:pt>
                <c:pt idx="1">
                  <c:v>0</c:v>
                </c:pt>
                <c:pt idx="2">
                  <c:v>362.33333333333331</c:v>
                </c:pt>
                <c:pt idx="3">
                  <c:v>15.826666666666666</c:v>
                </c:pt>
              </c:numCache>
            </c:numRef>
          </c:val>
          <c:smooth val="0"/>
          <c:extLst>
            <c:ext xmlns:c16="http://schemas.microsoft.com/office/drawing/2014/chart" uri="{C3380CC4-5D6E-409C-BE32-E72D297353CC}">
              <c16:uniqueId val="{00000000-EE79-456F-B123-3B7BE5AF1AB9}"/>
            </c:ext>
          </c:extLst>
        </c:ser>
        <c:ser>
          <c:idx val="1"/>
          <c:order val="1"/>
          <c:tx>
            <c:strRef>
              <c:f>'Resultados 1'!$D$21</c:f>
              <c:strCache>
                <c:ptCount val="1"/>
                <c:pt idx="0">
                  <c:v>Lim. Inf</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1'!$D$22:$D$25</c:f>
              <c:numCache>
                <c:formatCode>0</c:formatCode>
                <c:ptCount val="4"/>
                <c:pt idx="0">
                  <c:v>280</c:v>
                </c:pt>
                <c:pt idx="1">
                  <c:v>280</c:v>
                </c:pt>
                <c:pt idx="2">
                  <c:v>280</c:v>
                </c:pt>
                <c:pt idx="3">
                  <c:v>280</c:v>
                </c:pt>
              </c:numCache>
            </c:numRef>
          </c:val>
          <c:smooth val="0"/>
          <c:extLst>
            <c:ext xmlns:c16="http://schemas.microsoft.com/office/drawing/2014/chart" uri="{C3380CC4-5D6E-409C-BE32-E72D297353CC}">
              <c16:uniqueId val="{00000001-EE79-456F-B123-3B7BE5AF1AB9}"/>
            </c:ext>
          </c:extLst>
        </c:ser>
        <c:ser>
          <c:idx val="2"/>
          <c:order val="2"/>
          <c:tx>
            <c:strRef>
              <c:f>'Resultados 1'!$E$21</c:f>
              <c:strCache>
                <c:ptCount val="1"/>
                <c:pt idx="0">
                  <c:v>Lim. Sup.</c:v>
                </c:pt>
              </c:strCache>
            </c:strRef>
          </c:tx>
          <c:spPr>
            <a:ln w="31750" cap="rnd">
              <a:solidFill>
                <a:schemeClr val="accent3"/>
              </a:solidFill>
              <a:round/>
            </a:ln>
            <a:effectLst/>
          </c:spPr>
          <c:marker>
            <c:symbol val="circle"/>
            <c:size val="17"/>
            <c:spPr>
              <a:solidFill>
                <a:schemeClr val="accent3"/>
              </a:solidFill>
              <a:ln>
                <a:noFill/>
              </a:ln>
              <a:effectLst/>
            </c:spPr>
          </c:marker>
          <c:dPt>
            <c:idx val="1"/>
            <c:marker>
              <c:symbol val="circle"/>
              <c:size val="17"/>
              <c:spPr>
                <a:solidFill>
                  <a:schemeClr val="accent3"/>
                </a:solidFill>
                <a:ln>
                  <a:noFill/>
                </a:ln>
                <a:effectLst/>
              </c:spPr>
            </c:marker>
            <c:bubble3D val="0"/>
            <c:extLst>
              <c:ext xmlns:c16="http://schemas.microsoft.com/office/drawing/2014/chart" uri="{C3380CC4-5D6E-409C-BE32-E72D297353CC}">
                <c16:uniqueId val="{00000006-8BA9-42B9-9D5A-B50803CD99D5}"/>
              </c:ext>
            </c:extLst>
          </c:dPt>
          <c:dPt>
            <c:idx val="2"/>
            <c:marker>
              <c:symbol val="circle"/>
              <c:size val="17"/>
              <c:spPr>
                <a:solidFill>
                  <a:schemeClr val="accent3"/>
                </a:solidFill>
                <a:ln>
                  <a:noFill/>
                </a:ln>
                <a:effectLst/>
              </c:spPr>
            </c:marker>
            <c:bubble3D val="0"/>
            <c:extLst>
              <c:ext xmlns:c16="http://schemas.microsoft.com/office/drawing/2014/chart" uri="{C3380CC4-5D6E-409C-BE32-E72D297353CC}">
                <c16:uniqueId val="{00000005-EE79-456F-B123-3B7BE5AF1AB9}"/>
              </c:ext>
            </c:extLst>
          </c:dPt>
          <c:dPt>
            <c:idx val="3"/>
            <c:marker>
              <c:symbol val="circle"/>
              <c:size val="17"/>
              <c:spPr>
                <a:solidFill>
                  <a:schemeClr val="accent3"/>
                </a:solidFill>
                <a:ln>
                  <a:noFill/>
                </a:ln>
                <a:effectLst/>
              </c:spPr>
            </c:marker>
            <c:bubble3D val="0"/>
            <c:extLst>
              <c:ext xmlns:c16="http://schemas.microsoft.com/office/drawing/2014/chart" uri="{C3380CC4-5D6E-409C-BE32-E72D297353CC}">
                <c16:uniqueId val="{00000007-EE79-456F-B123-3B7BE5AF1AB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1'!$E$22:$E$25</c:f>
              <c:numCache>
                <c:formatCode>0</c:formatCode>
                <c:ptCount val="4"/>
                <c:pt idx="0">
                  <c:v>340</c:v>
                </c:pt>
                <c:pt idx="1">
                  <c:v>340</c:v>
                </c:pt>
                <c:pt idx="2">
                  <c:v>340</c:v>
                </c:pt>
                <c:pt idx="3">
                  <c:v>340</c:v>
                </c:pt>
              </c:numCache>
            </c:numRef>
          </c:val>
          <c:smooth val="0"/>
          <c:extLst>
            <c:ext xmlns:c16="http://schemas.microsoft.com/office/drawing/2014/chart" uri="{C3380CC4-5D6E-409C-BE32-E72D297353CC}">
              <c16:uniqueId val="{00000008-EE79-456F-B123-3B7BE5AF1AB9}"/>
            </c:ext>
          </c:extLst>
        </c:ser>
        <c:dLbls>
          <c:dLblPos val="ctr"/>
          <c:showLegendKey val="0"/>
          <c:showVal val="1"/>
          <c:showCatName val="0"/>
          <c:showSerName val="0"/>
          <c:showPercent val="0"/>
          <c:showBubbleSize val="0"/>
        </c:dLbls>
        <c:marker val="1"/>
        <c:smooth val="0"/>
        <c:axId val="1279715856"/>
        <c:axId val="1279714608"/>
      </c:lineChart>
      <c:catAx>
        <c:axId val="12797158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1279714608"/>
        <c:crosses val="autoZero"/>
        <c:auto val="1"/>
        <c:lblAlgn val="ctr"/>
        <c:lblOffset val="100"/>
        <c:noMultiLvlLbl val="0"/>
      </c:catAx>
      <c:valAx>
        <c:axId val="1279714608"/>
        <c:scaling>
          <c:orientation val="minMax"/>
          <c:min val="27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27971585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Calibração</a:t>
            </a:r>
            <a:r>
              <a:rPr lang="pt-BR" b="1" baseline="0">
                <a:solidFill>
                  <a:srgbClr val="000099"/>
                </a:solidFill>
              </a:rPr>
              <a:t> Permeabilímetros</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bar"/>
        <c:grouping val="clustered"/>
        <c:varyColors val="0"/>
        <c:ser>
          <c:idx val="0"/>
          <c:order val="0"/>
          <c:tx>
            <c:strRef>
              <c:f>'Resultados 1'!$C$12</c:f>
              <c:strCache>
                <c:ptCount val="1"/>
                <c:pt idx="0">
                  <c:v>Sup. Específica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1'!$C$13:$C$14</c:f>
              <c:numCache>
                <c:formatCode>0</c:formatCode>
                <c:ptCount val="2"/>
                <c:pt idx="0">
                  <c:v>2021.5714285714287</c:v>
                </c:pt>
              </c:numCache>
            </c:numRef>
          </c:val>
          <c:extLst>
            <c:ext xmlns:c16="http://schemas.microsoft.com/office/drawing/2014/chart" uri="{C3380CC4-5D6E-409C-BE32-E72D297353CC}">
              <c16:uniqueId val="{00000000-C3BD-4A38-A75F-61395395EFC9}"/>
            </c:ext>
          </c:extLst>
        </c:ser>
        <c:ser>
          <c:idx val="1"/>
          <c:order val="1"/>
          <c:tx>
            <c:strRef>
              <c:f>'Resultados 1'!$D$12</c:f>
              <c:strCache>
                <c:ptCount val="1"/>
                <c:pt idx="0">
                  <c:v>Meta</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1'!$D$13:$D$14</c:f>
              <c:numCache>
                <c:formatCode>General</c:formatCode>
                <c:ptCount val="2"/>
                <c:pt idx="0">
                  <c:v>2030</c:v>
                </c:pt>
              </c:numCache>
            </c:numRef>
          </c:val>
          <c:extLst>
            <c:ext xmlns:c16="http://schemas.microsoft.com/office/drawing/2014/chart" uri="{C3380CC4-5D6E-409C-BE32-E72D297353CC}">
              <c16:uniqueId val="{00000001-C3BD-4A38-A75F-61395395EFC9}"/>
            </c:ext>
          </c:extLst>
        </c:ser>
        <c:ser>
          <c:idx val="2"/>
          <c:order val="2"/>
          <c:tx>
            <c:strRef>
              <c:f>'Resultados 1'!$E$12</c:f>
              <c:strCache>
                <c:ptCount val="1"/>
                <c:pt idx="0">
                  <c:v>Lim. Inf</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1'!$E$13:$E$14</c:f>
              <c:numCache>
                <c:formatCode>General</c:formatCode>
                <c:ptCount val="2"/>
                <c:pt idx="0">
                  <c:v>1986</c:v>
                </c:pt>
              </c:numCache>
            </c:numRef>
          </c:val>
          <c:extLst>
            <c:ext xmlns:c16="http://schemas.microsoft.com/office/drawing/2014/chart" uri="{C3380CC4-5D6E-409C-BE32-E72D297353CC}">
              <c16:uniqueId val="{00000002-C3BD-4A38-A75F-61395395EFC9}"/>
            </c:ext>
          </c:extLst>
        </c:ser>
        <c:ser>
          <c:idx val="3"/>
          <c:order val="3"/>
          <c:tx>
            <c:strRef>
              <c:f>'Resultados 1'!$F$12</c:f>
              <c:strCache>
                <c:ptCount val="1"/>
                <c:pt idx="0">
                  <c:v>Lim. Sup.</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1'!$F$13:$F$14</c:f>
              <c:numCache>
                <c:formatCode>General</c:formatCode>
                <c:ptCount val="2"/>
                <c:pt idx="0">
                  <c:v>2074</c:v>
                </c:pt>
              </c:numCache>
            </c:numRef>
          </c:val>
          <c:extLst>
            <c:ext xmlns:c16="http://schemas.microsoft.com/office/drawing/2014/chart" uri="{C3380CC4-5D6E-409C-BE32-E72D297353CC}">
              <c16:uniqueId val="{00000003-C3BD-4A38-A75F-61395395EFC9}"/>
            </c:ext>
          </c:extLst>
        </c:ser>
        <c:dLbls>
          <c:showLegendKey val="0"/>
          <c:showVal val="0"/>
          <c:showCatName val="0"/>
          <c:showSerName val="0"/>
          <c:showPercent val="0"/>
          <c:showBubbleSize val="0"/>
        </c:dLbls>
        <c:gapWidth val="182"/>
        <c:axId val="1266926688"/>
        <c:axId val="1266932512"/>
      </c:barChart>
      <c:catAx>
        <c:axId val="126692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266932512"/>
        <c:crosses val="autoZero"/>
        <c:auto val="1"/>
        <c:lblAlgn val="ctr"/>
        <c:lblOffset val="100"/>
        <c:noMultiLvlLbl val="0"/>
      </c:catAx>
      <c:valAx>
        <c:axId val="1266932512"/>
        <c:scaling>
          <c:orientation val="minMax"/>
          <c:max val="2100"/>
          <c:min val="194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126692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Calibração</a:t>
            </a:r>
            <a:r>
              <a:rPr lang="pt-BR" b="1" baseline="0">
                <a:solidFill>
                  <a:srgbClr val="000099"/>
                </a:solidFill>
              </a:rPr>
              <a:t> Tambor de Abrasão</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stacked"/>
        <c:varyColors val="0"/>
        <c:ser>
          <c:idx val="0"/>
          <c:order val="0"/>
          <c:tx>
            <c:strRef>
              <c:f>'Resultados 1'!$N$12</c:f>
              <c:strCache>
                <c:ptCount val="1"/>
                <c:pt idx="0">
                  <c:v>RPM Médio</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0-5BDF-4C39-8C8B-BE94E1DC657A}"/>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1-5BDF-4C39-8C8B-BE94E1DC657A}"/>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2-5BDF-4C39-8C8B-BE94E1DC657A}"/>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3-5BDF-4C39-8C8B-BE94E1DC657A}"/>
                </c:ext>
              </c:extLst>
            </c:dLbl>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4-5BDF-4C39-8C8B-BE94E1DC65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1'!$N$13:$N$17</c:f>
              <c:numCache>
                <c:formatCode>0.0</c:formatCode>
                <c:ptCount val="5"/>
                <c:pt idx="0">
                  <c:v>24.644047389366815</c:v>
                </c:pt>
                <c:pt idx="1">
                  <c:v>24.738680446639371</c:v>
                </c:pt>
                <c:pt idx="2">
                  <c:v>24.844986744795026</c:v>
                </c:pt>
                <c:pt idx="3">
                  <c:v>24.660121904650985</c:v>
                </c:pt>
              </c:numCache>
            </c:numRef>
          </c:val>
          <c:extLst>
            <c:ext xmlns:c16="http://schemas.microsoft.com/office/drawing/2014/chart" uri="{C3380CC4-5D6E-409C-BE32-E72D297353CC}">
              <c16:uniqueId val="{00000005-5BDF-4C39-8C8B-BE94E1DC657A}"/>
            </c:ext>
          </c:extLst>
        </c:ser>
        <c:ser>
          <c:idx val="1"/>
          <c:order val="1"/>
          <c:tx>
            <c:strRef>
              <c:f>'Resultados 1'!$O$12</c:f>
              <c:strCache>
                <c:ptCount val="1"/>
                <c:pt idx="0">
                  <c:v>Meta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1'!$O$13:$O$17</c:f>
              <c:numCache>
                <c:formatCode>0.0</c:formatCode>
                <c:ptCount val="5"/>
                <c:pt idx="0">
                  <c:v>25</c:v>
                </c:pt>
                <c:pt idx="1">
                  <c:v>25</c:v>
                </c:pt>
                <c:pt idx="2">
                  <c:v>25</c:v>
                </c:pt>
                <c:pt idx="3">
                  <c:v>25</c:v>
                </c:pt>
              </c:numCache>
            </c:numRef>
          </c:val>
          <c:extLst>
            <c:ext xmlns:c16="http://schemas.microsoft.com/office/drawing/2014/chart" uri="{C3380CC4-5D6E-409C-BE32-E72D297353CC}">
              <c16:uniqueId val="{00000006-5BDF-4C39-8C8B-BE94E1DC657A}"/>
            </c:ext>
          </c:extLst>
        </c:ser>
        <c:ser>
          <c:idx val="2"/>
          <c:order val="2"/>
          <c:tx>
            <c:strRef>
              <c:f>'Resultados 1'!$P$12</c:f>
              <c:strCache>
                <c:ptCount val="1"/>
                <c:pt idx="0">
                  <c:v>Lim. Inf</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1'!$P$13:$P$17</c:f>
              <c:numCache>
                <c:formatCode>0.0</c:formatCode>
                <c:ptCount val="5"/>
                <c:pt idx="0">
                  <c:v>24</c:v>
                </c:pt>
                <c:pt idx="1">
                  <c:v>24</c:v>
                </c:pt>
                <c:pt idx="2">
                  <c:v>24</c:v>
                </c:pt>
                <c:pt idx="3">
                  <c:v>24</c:v>
                </c:pt>
              </c:numCache>
            </c:numRef>
          </c:val>
          <c:extLst>
            <c:ext xmlns:c16="http://schemas.microsoft.com/office/drawing/2014/chart" uri="{C3380CC4-5D6E-409C-BE32-E72D297353CC}">
              <c16:uniqueId val="{00000007-5BDF-4C39-8C8B-BE94E1DC657A}"/>
            </c:ext>
          </c:extLst>
        </c:ser>
        <c:ser>
          <c:idx val="3"/>
          <c:order val="3"/>
          <c:tx>
            <c:strRef>
              <c:f>'Resultados 1'!$Q$12</c:f>
              <c:strCache>
                <c:ptCount val="1"/>
                <c:pt idx="0">
                  <c:v>Lim. Sup.</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1'!$Q$13:$Q$17</c:f>
              <c:numCache>
                <c:formatCode>0.0</c:formatCode>
                <c:ptCount val="5"/>
                <c:pt idx="0">
                  <c:v>26</c:v>
                </c:pt>
                <c:pt idx="1">
                  <c:v>26</c:v>
                </c:pt>
                <c:pt idx="2">
                  <c:v>26</c:v>
                </c:pt>
                <c:pt idx="3">
                  <c:v>26</c:v>
                </c:pt>
              </c:numCache>
            </c:numRef>
          </c:val>
          <c:extLst>
            <c:ext xmlns:c16="http://schemas.microsoft.com/office/drawing/2014/chart" uri="{C3380CC4-5D6E-409C-BE32-E72D297353CC}">
              <c16:uniqueId val="{00000008-5BDF-4C39-8C8B-BE94E1DC657A}"/>
            </c:ext>
          </c:extLst>
        </c:ser>
        <c:dLbls>
          <c:showLegendKey val="0"/>
          <c:showVal val="0"/>
          <c:showCatName val="0"/>
          <c:showSerName val="0"/>
          <c:showPercent val="0"/>
          <c:showBubbleSize val="0"/>
        </c:dLbls>
        <c:gapWidth val="150"/>
        <c:overlap val="100"/>
        <c:axId val="999429664"/>
        <c:axId val="999431328"/>
      </c:barChart>
      <c:catAx>
        <c:axId val="99942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pt-BR"/>
          </a:p>
        </c:txPr>
        <c:crossAx val="999431328"/>
        <c:crosses val="autoZero"/>
        <c:auto val="1"/>
        <c:lblAlgn val="ctr"/>
        <c:lblOffset val="100"/>
        <c:noMultiLvlLbl val="0"/>
      </c:catAx>
      <c:valAx>
        <c:axId val="999431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99942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Diferença</a:t>
            </a:r>
            <a:r>
              <a:rPr lang="pt-BR" b="1" baseline="0">
                <a:solidFill>
                  <a:srgbClr val="000099"/>
                </a:solidFill>
              </a:rPr>
              <a:t> Aceitável Comparativel  PQ</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clustered"/>
        <c:varyColors val="0"/>
        <c:ser>
          <c:idx val="0"/>
          <c:order val="0"/>
          <c:tx>
            <c:strRef>
              <c:f>'Resultados 1'!$M$21</c:f>
              <c:strCache>
                <c:ptCount val="1"/>
                <c:pt idx="0">
                  <c:v>Diferença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1'!$N$21:$P$21</c:f>
              <c:numCache>
                <c:formatCode>0.00</c:formatCode>
                <c:ptCount val="3"/>
                <c:pt idx="0">
                  <c:v>0</c:v>
                </c:pt>
                <c:pt idx="1">
                  <c:v>0</c:v>
                </c:pt>
                <c:pt idx="2">
                  <c:v>0</c:v>
                </c:pt>
              </c:numCache>
            </c:numRef>
          </c:val>
          <c:extLst>
            <c:ext xmlns:c16="http://schemas.microsoft.com/office/drawing/2014/chart" uri="{C3380CC4-5D6E-409C-BE32-E72D297353CC}">
              <c16:uniqueId val="{00000000-0D6D-4147-AC88-184F61D742EC}"/>
            </c:ext>
          </c:extLst>
        </c:ser>
        <c:ser>
          <c:idx val="1"/>
          <c:order val="1"/>
          <c:tx>
            <c:strRef>
              <c:f>'Resultados 1'!$M$22</c:f>
              <c:strCache>
                <c:ptCount val="1"/>
                <c:pt idx="0">
                  <c:v>Diferença Aceitável</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1'!$N$22:$P$22</c:f>
              <c:numCache>
                <c:formatCode>0.00</c:formatCode>
                <c:ptCount val="3"/>
                <c:pt idx="0">
                  <c:v>0.15</c:v>
                </c:pt>
                <c:pt idx="1">
                  <c:v>0.3</c:v>
                </c:pt>
                <c:pt idx="2">
                  <c:v>0.5</c:v>
                </c:pt>
              </c:numCache>
            </c:numRef>
          </c:val>
          <c:extLst>
            <c:ext xmlns:c16="http://schemas.microsoft.com/office/drawing/2014/chart" uri="{C3380CC4-5D6E-409C-BE32-E72D297353CC}">
              <c16:uniqueId val="{00000001-0D6D-4147-AC88-184F61D742EC}"/>
            </c:ext>
          </c:extLst>
        </c:ser>
        <c:dLbls>
          <c:showLegendKey val="0"/>
          <c:showVal val="0"/>
          <c:showCatName val="0"/>
          <c:showSerName val="0"/>
          <c:showPercent val="0"/>
          <c:showBubbleSize val="0"/>
        </c:dLbls>
        <c:gapWidth val="219"/>
        <c:overlap val="-27"/>
        <c:axId val="1702930847"/>
        <c:axId val="1702931263"/>
      </c:barChart>
      <c:catAx>
        <c:axId val="170293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pt-BR"/>
          </a:p>
        </c:txPr>
        <c:crossAx val="1702931263"/>
        <c:crosses val="autoZero"/>
        <c:auto val="1"/>
        <c:lblAlgn val="ctr"/>
        <c:lblOffset val="100"/>
        <c:noMultiLvlLbl val="0"/>
      </c:catAx>
      <c:valAx>
        <c:axId val="17029312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pt-BR"/>
          </a:p>
        </c:txPr>
        <c:crossAx val="1702930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Comparativo</a:t>
            </a:r>
            <a:r>
              <a:rPr lang="pt-BR" b="1" baseline="0">
                <a:solidFill>
                  <a:srgbClr val="000099"/>
                </a:solidFill>
              </a:rPr>
              <a:t> Umidade - Analisador de umidade</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1-ECD1-46C0-AAE1-CC541BECD544}"/>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ECD1-46C0-AAE1-CC541BECD544}"/>
              </c:ext>
            </c:extLst>
          </c:dPt>
          <c:cat>
            <c:strRef>
              <c:f>'Resultados 1'!$M$5:$M$7</c:f>
              <c:strCache>
                <c:ptCount val="3"/>
                <c:pt idx="0">
                  <c:v>Balança 66AN 10</c:v>
                </c:pt>
                <c:pt idx="1">
                  <c:v>Balança 66AN 11</c:v>
                </c:pt>
                <c:pt idx="2">
                  <c:v>Balança 66AN 12</c:v>
                </c:pt>
              </c:strCache>
            </c:strRef>
          </c:cat>
          <c:val>
            <c:numRef>
              <c:f>'Resultados 1'!$N$5:$N$7</c:f>
              <c:numCache>
                <c:formatCode>0.00</c:formatCode>
                <c:ptCount val="3"/>
                <c:pt idx="0">
                  <c:v>0</c:v>
                </c:pt>
                <c:pt idx="1">
                  <c:v>11.876714285714284</c:v>
                </c:pt>
                <c:pt idx="2">
                  <c:v>11.877571428571429</c:v>
                </c:pt>
              </c:numCache>
            </c:numRef>
          </c:val>
          <c:extLst>
            <c:ext xmlns:c16="http://schemas.microsoft.com/office/drawing/2014/chart" uri="{C3380CC4-5D6E-409C-BE32-E72D297353CC}">
              <c16:uniqueId val="{00000004-ECD1-46C0-AAE1-CC541BECD544}"/>
            </c:ext>
          </c:extLst>
        </c:ser>
        <c:dLbls>
          <c:showLegendKey val="0"/>
          <c:showVal val="0"/>
          <c:showCatName val="0"/>
          <c:showSerName val="0"/>
          <c:showPercent val="0"/>
          <c:showBubbleSize val="0"/>
        </c:dLbls>
        <c:gapWidth val="85"/>
        <c:overlap val="3"/>
        <c:axId val="2089302591"/>
        <c:axId val="1784193871"/>
      </c:barChart>
      <c:lineChart>
        <c:grouping val="standard"/>
        <c:varyColors val="0"/>
        <c:ser>
          <c:idx val="1"/>
          <c:order val="1"/>
          <c:tx>
            <c:strRef>
              <c:f>'Resultados 1'!$O$4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'Resultados 1'!$M$5:$M$7</c:f>
              <c:strCache>
                <c:ptCount val="3"/>
                <c:pt idx="0">
                  <c:v>Balança 66AN 10</c:v>
                </c:pt>
                <c:pt idx="1">
                  <c:v>Balança 66AN 11</c:v>
                </c:pt>
                <c:pt idx="2">
                  <c:v>Balança 66AN 12</c:v>
                </c:pt>
              </c:strCache>
            </c:strRef>
          </c:cat>
          <c:val>
            <c:numRef>
              <c:f>'Resultados 1'!$O$5:$O$7</c:f>
              <c:numCache>
                <c:formatCode>0.00</c:formatCode>
                <c:ptCount val="3"/>
                <c:pt idx="0">
                  <c:v>11.748571428571429</c:v>
                </c:pt>
                <c:pt idx="1">
                  <c:v>11.748571428571429</c:v>
                </c:pt>
                <c:pt idx="2">
                  <c:v>11.748571428571429</c:v>
                </c:pt>
              </c:numCache>
            </c:numRef>
          </c:val>
          <c:smooth val="0"/>
          <c:extLst>
            <c:ext xmlns:c16="http://schemas.microsoft.com/office/drawing/2014/chart" uri="{C3380CC4-5D6E-409C-BE32-E72D297353CC}">
              <c16:uniqueId val="{00000005-ECD1-46C0-AAE1-CC541BECD544}"/>
            </c:ext>
          </c:extLst>
        </c:ser>
        <c:ser>
          <c:idx val="2"/>
          <c:order val="2"/>
          <c:tx>
            <c:strRef>
              <c:f>'Resultados 1'!$P$4</c:f>
              <c:strCache>
                <c:ptCount val="1"/>
                <c:pt idx="0">
                  <c:v>Lim. Inf</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'Resultados 1'!$M$5:$M$7</c:f>
              <c:strCache>
                <c:ptCount val="3"/>
                <c:pt idx="0">
                  <c:v>Balança 66AN 10</c:v>
                </c:pt>
                <c:pt idx="1">
                  <c:v>Balança 66AN 11</c:v>
                </c:pt>
                <c:pt idx="2">
                  <c:v>Balança 66AN 12</c:v>
                </c:pt>
              </c:strCache>
            </c:strRef>
          </c:cat>
          <c:val>
            <c:numRef>
              <c:f>'Resultados 1'!$P$5:$P$7</c:f>
              <c:numCache>
                <c:formatCode>0.00</c:formatCode>
                <c:ptCount val="3"/>
                <c:pt idx="0">
                  <c:v>11.54857142857143</c:v>
                </c:pt>
                <c:pt idx="1">
                  <c:v>11.54857142857143</c:v>
                </c:pt>
                <c:pt idx="2">
                  <c:v>11.54857142857143</c:v>
                </c:pt>
              </c:numCache>
            </c:numRef>
          </c:val>
          <c:smooth val="0"/>
          <c:extLst>
            <c:ext xmlns:c16="http://schemas.microsoft.com/office/drawing/2014/chart" uri="{C3380CC4-5D6E-409C-BE32-E72D297353CC}">
              <c16:uniqueId val="{00000006-ECD1-46C0-AAE1-CC541BECD544}"/>
            </c:ext>
          </c:extLst>
        </c:ser>
        <c:ser>
          <c:idx val="3"/>
          <c:order val="3"/>
          <c:tx>
            <c:strRef>
              <c:f>'Resultados 1'!$Q$4</c:f>
              <c:strCache>
                <c:ptCount val="1"/>
                <c:pt idx="0">
                  <c:v>Lim. Sup.</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'Resultados 1'!$M$5:$M$7</c:f>
              <c:strCache>
                <c:ptCount val="3"/>
                <c:pt idx="0">
                  <c:v>Balança 66AN 10</c:v>
                </c:pt>
                <c:pt idx="1">
                  <c:v>Balança 66AN 11</c:v>
                </c:pt>
                <c:pt idx="2">
                  <c:v>Balança 66AN 12</c:v>
                </c:pt>
              </c:strCache>
            </c:strRef>
          </c:cat>
          <c:val>
            <c:numRef>
              <c:f>'Resultados 1'!$Q$5:$Q$7</c:f>
              <c:numCache>
                <c:formatCode>0.00</c:formatCode>
                <c:ptCount val="3"/>
                <c:pt idx="0">
                  <c:v>11.948571428571428</c:v>
                </c:pt>
                <c:pt idx="1">
                  <c:v>11.948571428571428</c:v>
                </c:pt>
                <c:pt idx="2">
                  <c:v>11.948571428571428</c:v>
                </c:pt>
              </c:numCache>
            </c:numRef>
          </c:val>
          <c:smooth val="0"/>
          <c:extLst>
            <c:ext xmlns:c16="http://schemas.microsoft.com/office/drawing/2014/chart" uri="{C3380CC4-5D6E-409C-BE32-E72D297353CC}">
              <c16:uniqueId val="{00000007-ECD1-46C0-AAE1-CC541BECD544}"/>
            </c:ext>
          </c:extLst>
        </c:ser>
        <c:dLbls>
          <c:showLegendKey val="0"/>
          <c:showVal val="0"/>
          <c:showCatName val="0"/>
          <c:showSerName val="0"/>
          <c:showPercent val="0"/>
          <c:showBubbleSize val="0"/>
        </c:dLbls>
        <c:marker val="1"/>
        <c:smooth val="0"/>
        <c:axId val="2089302591"/>
        <c:axId val="1784193871"/>
      </c:lineChart>
      <c:catAx>
        <c:axId val="20893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784193871"/>
        <c:crosses val="autoZero"/>
        <c:auto val="1"/>
        <c:lblAlgn val="ctr"/>
        <c:lblOffset val="100"/>
        <c:noMultiLvlLbl val="0"/>
      </c:catAx>
      <c:valAx>
        <c:axId val="1784193871"/>
        <c:scaling>
          <c:orientation val="minMax"/>
          <c:max val="11.5"/>
          <c:min val="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2089302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b="1">
                <a:solidFill>
                  <a:srgbClr val="000099"/>
                </a:solidFill>
              </a:rPr>
              <a:t>Calibração</a:t>
            </a:r>
            <a:r>
              <a:rPr lang="pt-BR" b="1" baseline="0">
                <a:solidFill>
                  <a:srgbClr val="000099"/>
                </a:solidFill>
              </a:rPr>
              <a:t> Alpines - 325#</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barChart>
        <c:barDir val="col"/>
        <c:grouping val="clustered"/>
        <c:varyColors val="0"/>
        <c:ser>
          <c:idx val="0"/>
          <c:order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dLbl>
              <c:idx val="0"/>
              <c:layout>
                <c:manualLayout>
                  <c:x val="2.6749884785929063E-3"/>
                  <c:y val="-5.01044006063816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76C-494E-8584-5FB1F7C2227C}"/>
                </c:ext>
              </c:extLst>
            </c:dLbl>
            <c:dLbl>
              <c:idx val="1"/>
              <c:layout>
                <c:manualLayout>
                  <c:x val="-9.8081777832673622E-17"/>
                  <c:y val="-4.59290338891831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76C-494E-8584-5FB1F7C2227C}"/>
                </c:ext>
              </c:extLst>
            </c:dLbl>
            <c:dLbl>
              <c:idx val="2"/>
              <c:layout>
                <c:manualLayout>
                  <c:x val="0"/>
                  <c:y val="-3.7578300454786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76C-494E-8584-5FB1F7C2227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'Resultados 1'!$B$5:$B$7</c:f>
              <c:strCache>
                <c:ptCount val="3"/>
                <c:pt idx="0">
                  <c:v>Alpine 09</c:v>
                </c:pt>
                <c:pt idx="1">
                  <c:v>Alpine 10</c:v>
                </c:pt>
                <c:pt idx="2">
                  <c:v>Alpine 11</c:v>
                </c:pt>
              </c:strCache>
            </c:strRef>
          </c:cat>
          <c:val>
            <c:numRef>
              <c:f>'Resultados 1'!$C$5:$C$7</c:f>
              <c:numCache>
                <c:formatCode>0.0</c:formatCode>
                <c:ptCount val="3"/>
                <c:pt idx="0">
                  <c:v>88.589999999999989</c:v>
                </c:pt>
                <c:pt idx="1">
                  <c:v>88.312499999999986</c:v>
                </c:pt>
                <c:pt idx="2">
                  <c:v>88.693750000000009</c:v>
                </c:pt>
              </c:numCache>
            </c:numRef>
          </c:val>
          <c:extLst>
            <c:ext xmlns:c16="http://schemas.microsoft.com/office/drawing/2014/chart" uri="{C3380CC4-5D6E-409C-BE32-E72D297353CC}">
              <c16:uniqueId val="{00000000-276C-494E-8584-5FB1F7C2227C}"/>
            </c:ext>
          </c:extLst>
        </c:ser>
        <c:dLbls>
          <c:showLegendKey val="0"/>
          <c:showVal val="0"/>
          <c:showCatName val="0"/>
          <c:showSerName val="0"/>
          <c:showPercent val="0"/>
          <c:showBubbleSize val="0"/>
        </c:dLbls>
        <c:gapWidth val="99"/>
        <c:axId val="1994155983"/>
        <c:axId val="1994164303"/>
      </c:barChart>
      <c:lineChart>
        <c:grouping val="standard"/>
        <c:varyColors val="0"/>
        <c:ser>
          <c:idx val="1"/>
          <c:order val="1"/>
          <c:tx>
            <c:strRef>
              <c:f>'Resultados 1'!$D$4</c:f>
              <c:strCache>
                <c:ptCount val="1"/>
                <c:pt idx="0">
                  <c:v>Meta</c:v>
                </c:pt>
              </c:strCache>
            </c:strRef>
          </c:tx>
          <c:spPr>
            <a:ln w="15875" cap="rnd">
              <a:solidFill>
                <a:schemeClr val="accent2"/>
              </a:solidFill>
              <a:round/>
            </a:ln>
            <a:effectLst>
              <a:outerShdw blurRad="40000" dist="20000" dir="5400000" rotWithShape="0">
                <a:srgbClr val="000000">
                  <a:alpha val="38000"/>
                </a:srgbClr>
              </a:outerShdw>
            </a:effectLst>
          </c:spPr>
          <c:marker>
            <c:symbol val="circle"/>
            <c:size val="5"/>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1'!$D$5:$D$7</c:f>
              <c:numCache>
                <c:formatCode>0.0</c:formatCode>
                <c:ptCount val="3"/>
                <c:pt idx="0">
                  <c:v>88.4</c:v>
                </c:pt>
                <c:pt idx="1">
                  <c:v>88.4</c:v>
                </c:pt>
                <c:pt idx="2">
                  <c:v>88.4</c:v>
                </c:pt>
              </c:numCache>
            </c:numRef>
          </c:val>
          <c:smooth val="0"/>
          <c:extLst>
            <c:ext xmlns:c16="http://schemas.microsoft.com/office/drawing/2014/chart" uri="{C3380CC4-5D6E-409C-BE32-E72D297353CC}">
              <c16:uniqueId val="{00000001-276C-494E-8584-5FB1F7C2227C}"/>
            </c:ext>
          </c:extLst>
        </c:ser>
        <c:ser>
          <c:idx val="2"/>
          <c:order val="2"/>
          <c:tx>
            <c:strRef>
              <c:f>'Resultados 1'!$E$4</c:f>
              <c:strCache>
                <c:ptCount val="1"/>
                <c:pt idx="0">
                  <c:v>Lim. Inf</c:v>
                </c:pt>
              </c:strCache>
            </c:strRef>
          </c:tx>
          <c:spPr>
            <a:ln w="15875" cap="rnd">
              <a:solidFill>
                <a:schemeClr val="accent3"/>
              </a:solidFill>
              <a:round/>
            </a:ln>
            <a:effectLst>
              <a:outerShdw blurRad="40000" dist="20000" dir="5400000" rotWithShape="0">
                <a:srgbClr val="000000">
                  <a:alpha val="38000"/>
                </a:srgbClr>
              </a:outerShdw>
            </a:effectLst>
          </c:spPr>
          <c:marker>
            <c:symbol val="circle"/>
            <c:size val="5"/>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1'!$E$5:$E$7</c:f>
              <c:numCache>
                <c:formatCode>General</c:formatCode>
                <c:ptCount val="3"/>
                <c:pt idx="0">
                  <c:v>87.4</c:v>
                </c:pt>
                <c:pt idx="1">
                  <c:v>87.4</c:v>
                </c:pt>
                <c:pt idx="2">
                  <c:v>87.4</c:v>
                </c:pt>
              </c:numCache>
            </c:numRef>
          </c:val>
          <c:smooth val="0"/>
          <c:extLst>
            <c:ext xmlns:c16="http://schemas.microsoft.com/office/drawing/2014/chart" uri="{C3380CC4-5D6E-409C-BE32-E72D297353CC}">
              <c16:uniqueId val="{00000002-276C-494E-8584-5FB1F7C2227C}"/>
            </c:ext>
          </c:extLst>
        </c:ser>
        <c:ser>
          <c:idx val="3"/>
          <c:order val="3"/>
          <c:tx>
            <c:strRef>
              <c:f>'Resultados 1'!$F$4</c:f>
              <c:strCache>
                <c:ptCount val="1"/>
                <c:pt idx="0">
                  <c:v>Lim. Sup.</c:v>
                </c:pt>
              </c:strCache>
            </c:strRef>
          </c:tx>
          <c:spPr>
            <a:ln w="15875" cap="rnd">
              <a:solidFill>
                <a:schemeClr val="accent4"/>
              </a:solidFill>
              <a:round/>
            </a:ln>
            <a:effectLst>
              <a:outerShdw blurRad="40000" dist="20000" dir="5400000" rotWithShape="0">
                <a:srgbClr val="000000">
                  <a:alpha val="38000"/>
                </a:srgbClr>
              </a:outerShdw>
            </a:effectLst>
          </c:spPr>
          <c:marker>
            <c:symbol val="circle"/>
            <c:size val="5"/>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1'!$F$5:$F$7</c:f>
              <c:numCache>
                <c:formatCode>General</c:formatCode>
                <c:ptCount val="3"/>
                <c:pt idx="0">
                  <c:v>89.4</c:v>
                </c:pt>
                <c:pt idx="1">
                  <c:v>89.4</c:v>
                </c:pt>
                <c:pt idx="2">
                  <c:v>89.4</c:v>
                </c:pt>
              </c:numCache>
            </c:numRef>
          </c:val>
          <c:smooth val="0"/>
          <c:extLst>
            <c:ext xmlns:c16="http://schemas.microsoft.com/office/drawing/2014/chart" uri="{C3380CC4-5D6E-409C-BE32-E72D297353CC}">
              <c16:uniqueId val="{00000003-276C-494E-8584-5FB1F7C2227C}"/>
            </c:ext>
          </c:extLst>
        </c:ser>
        <c:dLbls>
          <c:showLegendKey val="0"/>
          <c:showVal val="0"/>
          <c:showCatName val="0"/>
          <c:showSerName val="0"/>
          <c:showPercent val="0"/>
          <c:showBubbleSize val="0"/>
        </c:dLbls>
        <c:marker val="1"/>
        <c:smooth val="0"/>
        <c:axId val="1994155983"/>
        <c:axId val="1994164303"/>
      </c:lineChart>
      <c:catAx>
        <c:axId val="199415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pt-BR"/>
          </a:p>
        </c:txPr>
        <c:crossAx val="1994164303"/>
        <c:crosses val="autoZero"/>
        <c:auto val="1"/>
        <c:lblAlgn val="ctr"/>
        <c:lblOffset val="100"/>
        <c:noMultiLvlLbl val="0"/>
      </c:catAx>
      <c:valAx>
        <c:axId val="1994164303"/>
        <c:scaling>
          <c:orientation val="minMax"/>
          <c:max val="90"/>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1994155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Grafico 1'!A1"/><Relationship Id="rId2" Type="http://schemas.openxmlformats.org/officeDocument/2006/relationships/image" Target="../media/image1.jpeg"/><Relationship Id="rId1" Type="http://schemas.openxmlformats.org/officeDocument/2006/relationships/hyperlink" Target="#UMIDADE!A1"/><Relationship Id="rId6" Type="http://schemas.openxmlformats.org/officeDocument/2006/relationships/hyperlink" Target="#'Tamb Kg x Tamb 15,0Kg'!A1"/><Relationship Id="rId5" Type="http://schemas.openxmlformats.org/officeDocument/2006/relationships/hyperlink" Target="#Granulometria!A1"/><Relationship Id="rId4" Type="http://schemas.openxmlformats.org/officeDocument/2006/relationships/hyperlink" Target="#Compress&#227;o!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menu!A1"/><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hyperlink" Target="#menu!A1"/><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292388</xdr:colOff>
      <xdr:row>12</xdr:row>
      <xdr:rowOff>55820</xdr:rowOff>
    </xdr:from>
    <xdr:to>
      <xdr:col>5</xdr:col>
      <xdr:colOff>520988</xdr:colOff>
      <xdr:row>16</xdr:row>
      <xdr:rowOff>13832</xdr:rowOff>
    </xdr:to>
    <xdr:sp macro="[0]!peneiramento" textlink="">
      <xdr:nvSpPr>
        <xdr:cNvPr id="3" name="Retângulo de cantos arredondados 2">
          <a:extLst>
            <a:ext uri="{FF2B5EF4-FFF2-40B4-BE49-F238E27FC236}">
              <a16:creationId xmlns:a16="http://schemas.microsoft.com/office/drawing/2014/main" id="{00000000-0008-0000-0000-000003000000}"/>
            </a:ext>
          </a:extLst>
        </xdr:cNvPr>
        <xdr:cNvSpPr/>
      </xdr:nvSpPr>
      <xdr:spPr>
        <a:xfrm>
          <a:off x="2217872" y="2595820"/>
          <a:ext cx="1512256" cy="695431"/>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en-US" sz="1200">
              <a:solidFill>
                <a:schemeClr val="lt1"/>
              </a:solidFill>
              <a:latin typeface="Stencil" panose="040409050D0802020404" pitchFamily="82" charset="0"/>
            </a:rPr>
            <a:t>Peneiramento de Finos</a:t>
          </a:r>
        </a:p>
      </xdr:txBody>
    </xdr:sp>
    <xdr:clientData/>
  </xdr:twoCellAnchor>
  <xdr:twoCellAnchor>
    <xdr:from>
      <xdr:col>6</xdr:col>
      <xdr:colOff>338448</xdr:colOff>
      <xdr:row>12</xdr:row>
      <xdr:rowOff>39643</xdr:rowOff>
    </xdr:from>
    <xdr:to>
      <xdr:col>8</xdr:col>
      <xdr:colOff>575864</xdr:colOff>
      <xdr:row>16</xdr:row>
      <xdr:rowOff>39643</xdr:rowOff>
    </xdr:to>
    <xdr:sp macro="[0]!Tambor" textlink="">
      <xdr:nvSpPr>
        <xdr:cNvPr id="5" name="Retângulo de cantos arredondados 4">
          <a:extLst>
            <a:ext uri="{FF2B5EF4-FFF2-40B4-BE49-F238E27FC236}">
              <a16:creationId xmlns:a16="http://schemas.microsoft.com/office/drawing/2014/main" id="{00000000-0008-0000-0000-000005000000}"/>
            </a:ext>
          </a:extLst>
        </xdr:cNvPr>
        <xdr:cNvSpPr/>
      </xdr:nvSpPr>
      <xdr:spPr>
        <a:xfrm>
          <a:off x="4189416" y="2579643"/>
          <a:ext cx="1521072" cy="737419"/>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Tambor de Abrasão</a:t>
          </a:r>
        </a:p>
      </xdr:txBody>
    </xdr:sp>
    <xdr:clientData/>
  </xdr:twoCellAnchor>
  <xdr:twoCellAnchor>
    <xdr:from>
      <xdr:col>2</xdr:col>
      <xdr:colOff>406909</xdr:colOff>
      <xdr:row>17</xdr:row>
      <xdr:rowOff>81457</xdr:rowOff>
    </xdr:from>
    <xdr:to>
      <xdr:col>4</xdr:col>
      <xdr:colOff>639755</xdr:colOff>
      <xdr:row>21</xdr:row>
      <xdr:rowOff>71932</xdr:rowOff>
    </xdr:to>
    <xdr:sp macro="[0]!verificação" textlink="">
      <xdr:nvSpPr>
        <xdr:cNvPr id="6" name="Retângulo de cantos arredondados 5">
          <a:extLst>
            <a:ext uri="{FF2B5EF4-FFF2-40B4-BE49-F238E27FC236}">
              <a16:creationId xmlns:a16="http://schemas.microsoft.com/office/drawing/2014/main" id="{00000000-0008-0000-0000-000006000000}"/>
            </a:ext>
            <a:ext uri="{147F2762-F138-4A5C-976F-8EAC2B608ADB}">
              <a16:predDERef xmlns:a16="http://schemas.microsoft.com/office/drawing/2014/main" pred="{81D43A4A-098F-47B7-950A-3A4A8C89902A}"/>
            </a:ext>
          </a:extLst>
        </xdr:cNvPr>
        <xdr:cNvSpPr/>
      </xdr:nvSpPr>
      <xdr:spPr>
        <a:xfrm>
          <a:off x="1690565" y="3543231"/>
          <a:ext cx="1516502" cy="727895"/>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Verificação de Peneiradores</a:t>
          </a:r>
        </a:p>
      </xdr:txBody>
    </xdr:sp>
    <xdr:clientData/>
  </xdr:twoCellAnchor>
  <xdr:twoCellAnchor>
    <xdr:from>
      <xdr:col>9</xdr:col>
      <xdr:colOff>385925</xdr:colOff>
      <xdr:row>12</xdr:row>
      <xdr:rowOff>91396</xdr:rowOff>
    </xdr:from>
    <xdr:to>
      <xdr:col>11</xdr:col>
      <xdr:colOff>579146</xdr:colOff>
      <xdr:row>16</xdr:row>
      <xdr:rowOff>39883</xdr:rowOff>
    </xdr:to>
    <xdr:sp macro="[0]!calibração"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6162377" y="2631396"/>
          <a:ext cx="1476877" cy="6859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Calibração Blaine</a:t>
          </a:r>
        </a:p>
      </xdr:txBody>
    </xdr:sp>
    <xdr:clientData/>
  </xdr:twoCellAnchor>
  <xdr:twoCellAnchor>
    <xdr:from>
      <xdr:col>7</xdr:col>
      <xdr:colOff>13253</xdr:colOff>
      <xdr:row>5</xdr:row>
      <xdr:rowOff>151571</xdr:rowOff>
    </xdr:from>
    <xdr:to>
      <xdr:col>11</xdr:col>
      <xdr:colOff>22778</xdr:colOff>
      <xdr:row>11</xdr:row>
      <xdr:rowOff>50987</xdr:rowOff>
    </xdr:to>
    <xdr:sp macro="" textlink="">
      <xdr:nvSpPr>
        <xdr:cNvPr id="8" name="Bisel 7">
          <a:extLst>
            <a:ext uri="{FF2B5EF4-FFF2-40B4-BE49-F238E27FC236}">
              <a16:creationId xmlns:a16="http://schemas.microsoft.com/office/drawing/2014/main" id="{00000000-0008-0000-0000-000008000000}"/>
            </a:ext>
          </a:extLst>
        </xdr:cNvPr>
        <xdr:cNvSpPr/>
      </xdr:nvSpPr>
      <xdr:spPr>
        <a:xfrm>
          <a:off x="4303644" y="1468506"/>
          <a:ext cx="2461177" cy="1042416"/>
        </a:xfrm>
        <a:prstGeom prst="bevel">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pt-BR" sz="1800">
              <a:latin typeface="Stencil" pitchFamily="82" charset="0"/>
            </a:rPr>
            <a:t>CALIBRAÇÕES</a:t>
          </a:r>
        </a:p>
      </xdr:txBody>
    </xdr:sp>
    <xdr:clientData/>
  </xdr:twoCellAnchor>
  <xdr:twoCellAnchor>
    <xdr:from>
      <xdr:col>5</xdr:col>
      <xdr:colOff>253335</xdr:colOff>
      <xdr:row>17</xdr:row>
      <xdr:rowOff>92625</xdr:rowOff>
    </xdr:from>
    <xdr:to>
      <xdr:col>7</xdr:col>
      <xdr:colOff>476966</xdr:colOff>
      <xdr:row>21</xdr:row>
      <xdr:rowOff>51212</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000-000002000000}"/>
            </a:ext>
            <a:ext uri="{147F2762-F138-4A5C-976F-8EAC2B608ADB}">
              <a16:predDERef xmlns:a16="http://schemas.microsoft.com/office/drawing/2014/main" pred="{84442CB3-D769-47B4-B5F0-CD32A9DC321A}"/>
            </a:ext>
          </a:extLst>
        </xdr:cNvPr>
        <xdr:cNvSpPr/>
      </xdr:nvSpPr>
      <xdr:spPr>
        <a:xfrm>
          <a:off x="3462475" y="3554399"/>
          <a:ext cx="1507287"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UMIDADE</a:t>
          </a:r>
        </a:p>
      </xdr:txBody>
    </xdr:sp>
    <xdr:clientData/>
  </xdr:twoCellAnchor>
  <xdr:twoCellAnchor editAs="oneCell">
    <xdr:from>
      <xdr:col>7</xdr:col>
      <xdr:colOff>190500</xdr:colOff>
      <xdr:row>0</xdr:row>
      <xdr:rowOff>95250</xdr:rowOff>
    </xdr:from>
    <xdr:to>
      <xdr:col>10</xdr:col>
      <xdr:colOff>371475</xdr:colOff>
      <xdr:row>2</xdr:row>
      <xdr:rowOff>266700</xdr:rowOff>
    </xdr:to>
    <xdr:pic>
      <xdr:nvPicPr>
        <xdr:cNvPr id="35396371" name="Imagem 10">
          <a:extLst>
            <a:ext uri="{FF2B5EF4-FFF2-40B4-BE49-F238E27FC236}">
              <a16:creationId xmlns:a16="http://schemas.microsoft.com/office/drawing/2014/main" id="{00000000-0008-0000-0000-0000131B1C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31065"/>
        <a:stretch>
          <a:fillRect/>
        </a:stretch>
      </xdr:blipFill>
      <xdr:spPr bwMode="auto">
        <a:xfrm>
          <a:off x="4457700" y="476250"/>
          <a:ext cx="20097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428029</xdr:colOff>
      <xdr:row>17</xdr:row>
      <xdr:rowOff>111442</xdr:rowOff>
    </xdr:from>
    <xdr:to>
      <xdr:col>15</xdr:col>
      <xdr:colOff>566721</xdr:colOff>
      <xdr:row>21</xdr:row>
      <xdr:rowOff>70029</xdr:rowOff>
    </xdr:to>
    <xdr:sp macro="" textlink="">
      <xdr:nvSpPr>
        <xdr:cNvPr id="9" name="Retângulo de cantos arredondados 1">
          <a:hlinkClick xmlns:r="http://schemas.openxmlformats.org/officeDocument/2006/relationships" r:id="rId3"/>
          <a:extLst>
            <a:ext uri="{FF2B5EF4-FFF2-40B4-BE49-F238E27FC236}">
              <a16:creationId xmlns:a16="http://schemas.microsoft.com/office/drawing/2014/main" id="{00000000-0008-0000-0000-000009000000}"/>
            </a:ext>
            <a:ext uri="{147F2762-F138-4A5C-976F-8EAC2B608ADB}">
              <a16:predDERef xmlns:a16="http://schemas.microsoft.com/office/drawing/2014/main" pred="{F064FE04-74AD-4C62-A3E3-BDDA6D1B5707}"/>
            </a:ext>
          </a:extLst>
        </xdr:cNvPr>
        <xdr:cNvSpPr/>
      </xdr:nvSpPr>
      <xdr:spPr>
        <a:xfrm>
          <a:off x="8771792" y="3573216"/>
          <a:ext cx="1422348"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GRÁFICOS</a:t>
          </a:r>
        </a:p>
      </xdr:txBody>
    </xdr:sp>
    <xdr:clientData/>
  </xdr:twoCellAnchor>
  <xdr:twoCellAnchor>
    <xdr:from>
      <xdr:col>8</xdr:col>
      <xdr:colOff>131523</xdr:colOff>
      <xdr:row>17</xdr:row>
      <xdr:rowOff>101611</xdr:rowOff>
    </xdr:from>
    <xdr:to>
      <xdr:col>10</xdr:col>
      <xdr:colOff>324746</xdr:colOff>
      <xdr:row>21</xdr:row>
      <xdr:rowOff>50098</xdr:rowOff>
    </xdr:to>
    <xdr:sp macro="" textlink="">
      <xdr:nvSpPr>
        <xdr:cNvPr id="10" name="Retângulo Arredondado 9">
          <a:hlinkClick xmlns:r="http://schemas.openxmlformats.org/officeDocument/2006/relationships" r:id="rId4"/>
          <a:extLst>
            <a:ext uri="{FF2B5EF4-FFF2-40B4-BE49-F238E27FC236}">
              <a16:creationId xmlns:a16="http://schemas.microsoft.com/office/drawing/2014/main" id="{00000000-0008-0000-0000-00000A000000}"/>
            </a:ext>
            <a:ext uri="{147F2762-F138-4A5C-976F-8EAC2B608ADB}">
              <a16:predDERef xmlns:a16="http://schemas.microsoft.com/office/drawing/2014/main" pred="{FB69D370-9371-44F4-AF8A-5A03F7F0A7F2}"/>
            </a:ext>
          </a:extLst>
        </xdr:cNvPr>
        <xdr:cNvSpPr/>
      </xdr:nvSpPr>
      <xdr:spPr>
        <a:xfrm>
          <a:off x="5266147" y="3563385"/>
          <a:ext cx="1476879" cy="6859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COMPRESSÃO</a:t>
          </a:r>
        </a:p>
      </xdr:txBody>
    </xdr:sp>
    <xdr:clientData/>
  </xdr:twoCellAnchor>
  <xdr:twoCellAnchor>
    <xdr:from>
      <xdr:col>12</xdr:col>
      <xdr:colOff>465601</xdr:colOff>
      <xdr:row>12</xdr:row>
      <xdr:rowOff>73936</xdr:rowOff>
    </xdr:from>
    <xdr:to>
      <xdr:col>15</xdr:col>
      <xdr:colOff>81936</xdr:colOff>
      <xdr:row>16</xdr:row>
      <xdr:rowOff>32523</xdr:rowOff>
    </xdr:to>
    <xdr:sp macro="" textlink="">
      <xdr:nvSpPr>
        <xdr:cNvPr id="11" name="Retângulo de cantos arredondados 1">
          <a:hlinkClick xmlns:r="http://schemas.openxmlformats.org/officeDocument/2006/relationships" r:id="rId5"/>
          <a:extLst>
            <a:ext uri="{FF2B5EF4-FFF2-40B4-BE49-F238E27FC236}">
              <a16:creationId xmlns:a16="http://schemas.microsoft.com/office/drawing/2014/main" id="{00000000-0008-0000-0000-00000B000000}"/>
            </a:ext>
            <a:ext uri="{147F2762-F138-4A5C-976F-8EAC2B608ADB}">
              <a16:predDERef xmlns:a16="http://schemas.microsoft.com/office/drawing/2014/main" pred="{F064FE04-74AD-4C62-A3E3-BDDA6D1B5707}"/>
            </a:ext>
          </a:extLst>
        </xdr:cNvPr>
        <xdr:cNvSpPr/>
      </xdr:nvSpPr>
      <xdr:spPr>
        <a:xfrm>
          <a:off x="8167536" y="2613936"/>
          <a:ext cx="1541819" cy="6960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gRANULOMEtria</a:t>
          </a:r>
        </a:p>
      </xdr:txBody>
    </xdr:sp>
    <xdr:clientData/>
  </xdr:twoCellAnchor>
  <xdr:twoCellAnchor>
    <xdr:from>
      <xdr:col>10</xdr:col>
      <xdr:colOff>635000</xdr:colOff>
      <xdr:row>17</xdr:row>
      <xdr:rowOff>115957</xdr:rowOff>
    </xdr:from>
    <xdr:to>
      <xdr:col>13</xdr:col>
      <xdr:colOff>187700</xdr:colOff>
      <xdr:row>21</xdr:row>
      <xdr:rowOff>64444</xdr:rowOff>
    </xdr:to>
    <xdr:sp macro="" textlink="">
      <xdr:nvSpPr>
        <xdr:cNvPr id="13" name="Retângulo Arredondado 12">
          <a:hlinkClick xmlns:r="http://schemas.openxmlformats.org/officeDocument/2006/relationships" r:id="rId6"/>
          <a:extLst>
            <a:ext uri="{FF2B5EF4-FFF2-40B4-BE49-F238E27FC236}">
              <a16:creationId xmlns:a16="http://schemas.microsoft.com/office/drawing/2014/main" id="{00000000-0008-0000-0000-00000D000000}"/>
            </a:ext>
            <a:ext uri="{147F2762-F138-4A5C-976F-8EAC2B608ADB}">
              <a16:predDERef xmlns:a16="http://schemas.microsoft.com/office/drawing/2014/main" pred="{FB69D370-9371-44F4-AF8A-5A03F7F0A7F2}"/>
            </a:ext>
          </a:extLst>
        </xdr:cNvPr>
        <xdr:cNvSpPr/>
      </xdr:nvSpPr>
      <xdr:spPr>
        <a:xfrm>
          <a:off x="7040217" y="3909392"/>
          <a:ext cx="1474266" cy="67735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TAMB.</a:t>
          </a:r>
          <a:r>
            <a:rPr lang="pt-BR" sz="1200" baseline="0">
              <a:solidFill>
                <a:schemeClr val="lt1"/>
              </a:solidFill>
              <a:latin typeface="Stencil" pitchFamily="82" charset="0"/>
              <a:ea typeface="+mn-ea"/>
              <a:cs typeface="+mn-cs"/>
            </a:rPr>
            <a:t> 5Kg x15kg</a:t>
          </a:r>
          <a:endParaRPr lang="pt-BR" sz="1200">
            <a:solidFill>
              <a:schemeClr val="lt1"/>
            </a:solidFill>
            <a:latin typeface="Stencil" pitchFamily="8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161925</xdr:colOff>
      <xdr:row>0</xdr:row>
      <xdr:rowOff>0</xdr:rowOff>
    </xdr:from>
    <xdr:to>
      <xdr:col>17</xdr:col>
      <xdr:colOff>361950</xdr:colOff>
      <xdr:row>1</xdr:row>
      <xdr:rowOff>238126</xdr:rowOff>
    </xdr:to>
    <xdr:sp macro="[0]!ocultar_UMIDADE" textlink="">
      <xdr:nvSpPr>
        <xdr:cNvPr id="8" name="Seta para a esquerda 3">
          <a:hlinkClick xmlns:r="http://schemas.openxmlformats.org/officeDocument/2006/relationships" r:id="rId1"/>
          <a:extLst>
            <a:ext uri="{FF2B5EF4-FFF2-40B4-BE49-F238E27FC236}">
              <a16:creationId xmlns:a16="http://schemas.microsoft.com/office/drawing/2014/main" id="{00000000-0008-0000-0200-000008000000}"/>
            </a:ext>
          </a:extLst>
        </xdr:cNvPr>
        <xdr:cNvSpPr/>
      </xdr:nvSpPr>
      <xdr:spPr>
        <a:xfrm>
          <a:off x="9858375" y="0"/>
          <a:ext cx="1038225"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0</xdr:colOff>
      <xdr:row>0</xdr:row>
      <xdr:rowOff>0</xdr:rowOff>
    </xdr:from>
    <xdr:to>
      <xdr:col>1</xdr:col>
      <xdr:colOff>600075</xdr:colOff>
      <xdr:row>1</xdr:row>
      <xdr:rowOff>257175</xdr:rowOff>
    </xdr:to>
    <xdr:pic>
      <xdr:nvPicPr>
        <xdr:cNvPr id="35492213" name="Imagem 8">
          <a:extLst>
            <a:ext uri="{FF2B5EF4-FFF2-40B4-BE49-F238E27FC236}">
              <a16:creationId xmlns:a16="http://schemas.microsoft.com/office/drawing/2014/main" id="{00000000-0008-0000-0200-000075911D02}"/>
            </a:ext>
            <a:ext uri="{147F2762-F138-4A5C-976F-8EAC2B608ADB}">
              <a16:predDERef xmlns:a16="http://schemas.microsoft.com/office/drawing/2014/main" pred="{00000000-0008-0000-03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5732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50947</xdr:colOff>
      <xdr:row>0</xdr:row>
      <xdr:rowOff>34999</xdr:rowOff>
    </xdr:from>
    <xdr:to>
      <xdr:col>1</xdr:col>
      <xdr:colOff>133867</xdr:colOff>
      <xdr:row>0</xdr:row>
      <xdr:rowOff>396766</xdr:rowOff>
    </xdr:to>
    <xdr:pic>
      <xdr:nvPicPr>
        <xdr:cNvPr id="35050947" name="Imagem 1">
          <a:extLst>
            <a:ext uri="{FF2B5EF4-FFF2-40B4-BE49-F238E27FC236}">
              <a16:creationId xmlns:a16="http://schemas.microsoft.com/office/drawing/2014/main" id="{00000000-0008-0000-0300-0000C3D5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947" y="34999"/>
          <a:ext cx="1178295" cy="3617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676815</xdr:colOff>
      <xdr:row>0</xdr:row>
      <xdr:rowOff>148270</xdr:rowOff>
    </xdr:from>
    <xdr:to>
      <xdr:col>7</xdr:col>
      <xdr:colOff>1543403</xdr:colOff>
      <xdr:row>0</xdr:row>
      <xdr:rowOff>493889</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7750009" y="148270"/>
          <a:ext cx="866588" cy="345619"/>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252433</xdr:colOff>
      <xdr:row>3</xdr:row>
      <xdr:rowOff>78054</xdr:rowOff>
    </xdr:from>
    <xdr:to>
      <xdr:col>14</xdr:col>
      <xdr:colOff>511175</xdr:colOff>
      <xdr:row>16</xdr:row>
      <xdr:rowOff>22226</xdr:rowOff>
    </xdr:to>
    <xdr:graphicFrame macro="">
      <xdr:nvGraphicFramePr>
        <xdr:cNvPr id="2" name="Gráfico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220041</xdr:colOff>
      <xdr:row>0</xdr:row>
      <xdr:rowOff>12148</xdr:rowOff>
    </xdr:from>
    <xdr:to>
      <xdr:col>2</xdr:col>
      <xdr:colOff>207065</xdr:colOff>
      <xdr:row>1</xdr:row>
      <xdr:rowOff>182935</xdr:rowOff>
    </xdr:to>
    <xdr:pic>
      <xdr:nvPicPr>
        <xdr:cNvPr id="35041715" name="Imagem 1">
          <a:extLst>
            <a:ext uri="{FF2B5EF4-FFF2-40B4-BE49-F238E27FC236}">
              <a16:creationId xmlns:a16="http://schemas.microsoft.com/office/drawing/2014/main" id="{00000000-0008-0000-0400-0000B3B1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041" y="12148"/>
          <a:ext cx="1222513" cy="364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208447</xdr:colOff>
      <xdr:row>0</xdr:row>
      <xdr:rowOff>20017</xdr:rowOff>
    </xdr:from>
    <xdr:to>
      <xdr:col>13</xdr:col>
      <xdr:colOff>890380</xdr:colOff>
      <xdr:row>1</xdr:row>
      <xdr:rowOff>138044</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7345295" y="20017"/>
          <a:ext cx="681933" cy="311288"/>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14</xdr:col>
      <xdr:colOff>352425</xdr:colOff>
      <xdr:row>5</xdr:row>
      <xdr:rowOff>133350</xdr:rowOff>
    </xdr:from>
    <xdr:to>
      <xdr:col>26</xdr:col>
      <xdr:colOff>333375</xdr:colOff>
      <xdr:row>22</xdr:row>
      <xdr:rowOff>171450</xdr:rowOff>
    </xdr:to>
    <xdr:graphicFrame macro="">
      <xdr:nvGraphicFramePr>
        <xdr:cNvPr id="3" name="Gráfico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454025</xdr:colOff>
      <xdr:row>3</xdr:row>
      <xdr:rowOff>114300</xdr:rowOff>
    </xdr:from>
    <xdr:to>
      <xdr:col>12</xdr:col>
      <xdr:colOff>511175</xdr:colOff>
      <xdr:row>12</xdr:row>
      <xdr:rowOff>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44450</xdr:colOff>
      <xdr:row>3</xdr:row>
      <xdr:rowOff>44450</xdr:rowOff>
    </xdr:from>
    <xdr:to>
      <xdr:col>1</xdr:col>
      <xdr:colOff>305964</xdr:colOff>
      <xdr:row>3</xdr:row>
      <xdr:rowOff>330017</xdr:rowOff>
    </xdr:to>
    <xdr:pic>
      <xdr:nvPicPr>
        <xdr:cNvPr id="3" name="Imagem 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50" y="730250"/>
          <a:ext cx="972714" cy="2855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30</xdr:col>
      <xdr:colOff>19050</xdr:colOff>
      <xdr:row>2</xdr:row>
      <xdr:rowOff>28575</xdr:rowOff>
    </xdr:from>
    <xdr:to>
      <xdr:col>31</xdr:col>
      <xdr:colOff>0</xdr:colOff>
      <xdr:row>3</xdr:row>
      <xdr:rowOff>1384</xdr:rowOff>
    </xdr:to>
    <xdr:sp macro="" textlink="">
      <xdr:nvSpPr>
        <xdr:cNvPr id="5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513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F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215818</xdr:rowOff>
    </xdr:to>
    <xdr:sp macro="" textlink="">
      <xdr:nvSpPr>
        <xdr:cNvPr id="513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513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1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138" name="Drop Down 18" hidden="1">
          <a:extLst>
            <a:ext uri="{63B3BB69-23CF-44E3-9099-C40C66FF867C}">
              <a14:compatExt xmlns:a14="http://schemas.microsoft.com/office/drawing/2010/main"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139"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140"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141"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93</xdr:row>
      <xdr:rowOff>0</xdr:rowOff>
    </xdr:from>
    <xdr:to>
      <xdr:col>31</xdr:col>
      <xdr:colOff>0</xdr:colOff>
      <xdr:row>93</xdr:row>
      <xdr:rowOff>206293</xdr:rowOff>
    </xdr:to>
    <xdr:sp macro="" textlink="">
      <xdr:nvSpPr>
        <xdr:cNvPr id="5142"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103</xdr:row>
      <xdr:rowOff>0</xdr:rowOff>
    </xdr:from>
    <xdr:to>
      <xdr:col>31</xdr:col>
      <xdr:colOff>0</xdr:colOff>
      <xdr:row>103</xdr:row>
      <xdr:rowOff>206293</xdr:rowOff>
    </xdr:to>
    <xdr:sp macro="" textlink="">
      <xdr:nvSpPr>
        <xdr:cNvPr id="5143" name="Drop Down 23" hidden="1">
          <a:extLst>
            <a:ext uri="{63B3BB69-23CF-44E3-9099-C40C66FF867C}">
              <a14:compatExt xmlns:a14="http://schemas.microsoft.com/office/drawing/2010/main"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113</xdr:row>
      <xdr:rowOff>0</xdr:rowOff>
    </xdr:from>
    <xdr:to>
      <xdr:col>31</xdr:col>
      <xdr:colOff>0</xdr:colOff>
      <xdr:row>113</xdr:row>
      <xdr:rowOff>206295</xdr:rowOff>
    </xdr:to>
    <xdr:sp macro="" textlink="">
      <xdr:nvSpPr>
        <xdr:cNvPr id="5144" name="Drop Down 24" hidden="1">
          <a:extLst>
            <a:ext uri="{63B3BB69-23CF-44E3-9099-C40C66FF867C}">
              <a14:compatExt xmlns:a14="http://schemas.microsoft.com/office/drawing/2010/main"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0</xdr:colOff>
      <xdr:row>132</xdr:row>
      <xdr:rowOff>0</xdr:rowOff>
    </xdr:from>
    <xdr:to>
      <xdr:col>30</xdr:col>
      <xdr:colOff>1009650</xdr:colOff>
      <xdr:row>133</xdr:row>
      <xdr:rowOff>9525</xdr:rowOff>
    </xdr:to>
    <xdr:sp macro="" textlink="">
      <xdr:nvSpPr>
        <xdr:cNvPr id="5147" name="Drop Down 27" hidden="1">
          <a:extLst>
            <a:ext uri="{63B3BB69-23CF-44E3-9099-C40C66FF867C}">
              <a14:compatExt xmlns:a14="http://schemas.microsoft.com/office/drawing/2010/main" spid="_x0000_s5147"/>
            </a:ext>
            <a:ext uri="{FF2B5EF4-FFF2-40B4-BE49-F238E27FC236}">
              <a16:creationId xmlns:a16="http://schemas.microsoft.com/office/drawing/2014/main" id="{00000000-0008-0000-0600-00001B140000}"/>
            </a:ext>
            <a:ext uri="{147F2762-F138-4A5C-976F-8EAC2B608ADB}">
              <a16:predDERef xmlns:a16="http://schemas.microsoft.com/office/drawing/2014/main" pred="{00000000-0008-0000-04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132</xdr:row>
      <xdr:rowOff>0</xdr:rowOff>
    </xdr:from>
    <xdr:to>
      <xdr:col>31</xdr:col>
      <xdr:colOff>0</xdr:colOff>
      <xdr:row>133</xdr:row>
      <xdr:rowOff>19050</xdr:rowOff>
    </xdr:to>
    <xdr:sp macro="" textlink="">
      <xdr:nvSpPr>
        <xdr:cNvPr id="5184" name="Drop Down 64" hidden="1">
          <a:extLst>
            <a:ext uri="{63B3BB69-23CF-44E3-9099-C40C66FF867C}">
              <a14:compatExt xmlns:a14="http://schemas.microsoft.com/office/drawing/2010/main" spid="_x0000_s5184"/>
            </a:ext>
            <a:ext uri="{FF2B5EF4-FFF2-40B4-BE49-F238E27FC236}">
              <a16:creationId xmlns:a16="http://schemas.microsoft.com/office/drawing/2014/main" id="{00000000-0008-0000-0600-000040140000}"/>
            </a:ext>
            <a:ext uri="{147F2762-F138-4A5C-976F-8EAC2B608ADB}">
              <a16:predDERef xmlns:a16="http://schemas.microsoft.com/office/drawing/2014/main" pred="{00000000-0008-0000-0400-00001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259"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8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123</xdr:row>
      <xdr:rowOff>19050</xdr:rowOff>
    </xdr:from>
    <xdr:to>
      <xdr:col>31</xdr:col>
      <xdr:colOff>0</xdr:colOff>
      <xdr:row>123</xdr:row>
      <xdr:rowOff>225345</xdr:rowOff>
    </xdr:to>
    <xdr:sp macro="" textlink="">
      <xdr:nvSpPr>
        <xdr:cNvPr id="5360" name="Drop Down 240" hidden="1">
          <a:extLst>
            <a:ext uri="{63B3BB69-23CF-44E3-9099-C40C66FF867C}">
              <a14:compatExt xmlns:a14="http://schemas.microsoft.com/office/drawing/2010/main" spid="_x0000_s5360"/>
            </a:ext>
            <a:ext uri="{FF2B5EF4-FFF2-40B4-BE49-F238E27FC236}">
              <a16:creationId xmlns:a16="http://schemas.microsoft.com/office/drawing/2014/main" id="{00000000-0008-0000-06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28575</xdr:colOff>
      <xdr:row>132</xdr:row>
      <xdr:rowOff>0</xdr:rowOff>
    </xdr:from>
    <xdr:to>
      <xdr:col>31</xdr:col>
      <xdr:colOff>9525</xdr:colOff>
      <xdr:row>133</xdr:row>
      <xdr:rowOff>9525</xdr:rowOff>
    </xdr:to>
    <xdr:sp macro="" textlink="">
      <xdr:nvSpPr>
        <xdr:cNvPr id="5361" name="Drop Down 241" hidden="1">
          <a:extLst>
            <a:ext uri="{63B3BB69-23CF-44E3-9099-C40C66FF867C}">
              <a14:compatExt xmlns:a14="http://schemas.microsoft.com/office/drawing/2010/main" spid="_x0000_s5361"/>
            </a:ext>
            <a:ext uri="{FF2B5EF4-FFF2-40B4-BE49-F238E27FC236}">
              <a16:creationId xmlns:a16="http://schemas.microsoft.com/office/drawing/2014/main" id="{00000000-0008-0000-0600-0000F1140000}"/>
            </a:ext>
            <a:ext uri="{147F2762-F138-4A5C-976F-8EAC2B608ADB}">
              <a16:predDERef xmlns:a16="http://schemas.microsoft.com/office/drawing/2014/main" pred="{00000000-0008-0000-04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238125</xdr:colOff>
      <xdr:row>1</xdr:row>
      <xdr:rowOff>0</xdr:rowOff>
    </xdr:from>
    <xdr:to>
      <xdr:col>12</xdr:col>
      <xdr:colOff>0</xdr:colOff>
      <xdr:row>1</xdr:row>
      <xdr:rowOff>0</xdr:rowOff>
    </xdr:to>
    <xdr:pic>
      <xdr:nvPicPr>
        <xdr:cNvPr id="35326300" name="Imagem 22">
          <a:extLst>
            <a:ext uri="{FF2B5EF4-FFF2-40B4-BE49-F238E27FC236}">
              <a16:creationId xmlns:a16="http://schemas.microsoft.com/office/drawing/2014/main" id="{00000000-0008-0000-0600-00005C091B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523875"/>
          <a:ext cx="51339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19050</xdr:colOff>
      <xdr:row>124</xdr:row>
      <xdr:rowOff>0</xdr:rowOff>
    </xdr:from>
    <xdr:to>
      <xdr:col>31</xdr:col>
      <xdr:colOff>0</xdr:colOff>
      <xdr:row>125</xdr:row>
      <xdr:rowOff>19048</xdr:rowOff>
    </xdr:to>
    <xdr:sp macro="" textlink="">
      <xdr:nvSpPr>
        <xdr:cNvPr id="18652803" name="Drop Down 8835" hidden="1">
          <a:extLst>
            <a:ext uri="{63B3BB69-23CF-44E3-9099-C40C66FF867C}">
              <a14:compatExt xmlns:a14="http://schemas.microsoft.com/office/drawing/2010/main" spid="_x0000_s18652803"/>
            </a:ext>
            <a:ext uri="{FF2B5EF4-FFF2-40B4-BE49-F238E27FC236}">
              <a16:creationId xmlns:a16="http://schemas.microsoft.com/office/drawing/2014/main" id="{00000000-0008-0000-0600-0000839E1C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342900</xdr:colOff>
      <xdr:row>0</xdr:row>
      <xdr:rowOff>28575</xdr:rowOff>
    </xdr:from>
    <xdr:to>
      <xdr:col>2</xdr:col>
      <xdr:colOff>247650</xdr:colOff>
      <xdr:row>0</xdr:row>
      <xdr:rowOff>485775</xdr:rowOff>
    </xdr:to>
    <xdr:pic>
      <xdr:nvPicPr>
        <xdr:cNvPr id="35326301" name="Imagem 22">
          <a:extLst>
            <a:ext uri="{FF2B5EF4-FFF2-40B4-BE49-F238E27FC236}">
              <a16:creationId xmlns:a16="http://schemas.microsoft.com/office/drawing/2014/main" id="{00000000-0008-0000-0600-00005D091B0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28575"/>
          <a:ext cx="20193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27</xdr:col>
      <xdr:colOff>441244</xdr:colOff>
      <xdr:row>0</xdr:row>
      <xdr:rowOff>32564</xdr:rowOff>
    </xdr:from>
    <xdr:to>
      <xdr:col>28</xdr:col>
      <xdr:colOff>643141</xdr:colOff>
      <xdr:row>0</xdr:row>
      <xdr:rowOff>439615</xdr:rowOff>
    </xdr:to>
    <xdr:sp macro="[0]!ocultar_UMIDADE" textlink="">
      <xdr:nvSpPr>
        <xdr:cNvPr id="24" name="Seta para a esquerda 3">
          <a:hlinkClick xmlns:r="http://schemas.openxmlformats.org/officeDocument/2006/relationships" r:id="rId3"/>
          <a:extLst>
            <a:ext uri="{FF2B5EF4-FFF2-40B4-BE49-F238E27FC236}">
              <a16:creationId xmlns:a16="http://schemas.microsoft.com/office/drawing/2014/main" id="{00000000-0008-0000-0600-000018000000}"/>
            </a:ext>
            <a:ext uri="{147F2762-F138-4A5C-976F-8EAC2B608ADB}">
              <a16:predDERef xmlns:a16="http://schemas.microsoft.com/office/drawing/2014/main" pred="{00000000-0008-0000-0500-00005D091B02}"/>
            </a:ext>
          </a:extLst>
        </xdr:cNvPr>
        <xdr:cNvSpPr/>
      </xdr:nvSpPr>
      <xdr:spPr>
        <a:xfrm>
          <a:off x="10633808" y="32564"/>
          <a:ext cx="771769" cy="40705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7000000}"/>
            </a:ext>
            <a:ext uri="{147F2762-F138-4A5C-976F-8EAC2B608ADB}">
              <a16:predDERef xmlns:a16="http://schemas.microsoft.com/office/drawing/2014/main" pred="{C577EBE9-8001-449C-84FB-420AEDBEB505}"/>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28575</xdr:rowOff>
    </xdr:from>
    <xdr:to>
      <xdr:col>31</xdr:col>
      <xdr:colOff>0</xdr:colOff>
      <xdr:row>13</xdr:row>
      <xdr:rowOff>236255</xdr:rowOff>
    </xdr:to>
    <xdr:sp macro="" textlink="">
      <xdr:nvSpPr>
        <xdr:cNvPr id="2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9000000}"/>
            </a:ext>
            <a:ext uri="{147F2762-F138-4A5C-976F-8EAC2B608ADB}">
              <a16:predDERef xmlns:a16="http://schemas.microsoft.com/office/drawing/2014/main" pred="{00000000-0008-0000-0400-000017000000}"/>
            </a:ext>
          </a:extLst>
        </xdr:cNvPr>
        <xdr:cNvSpPr/>
      </xdr:nvSpPr>
      <xdr:spPr bwMode="auto">
        <a:xfrm>
          <a:off x="10925175" y="7905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2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A000000}"/>
            </a:ext>
            <a:ext uri="{147F2762-F138-4A5C-976F-8EAC2B608ADB}">
              <a16:predDERef xmlns:a16="http://schemas.microsoft.com/office/drawing/2014/main" pred="{B4202E36-B685-4EE9-9A43-8E2710610374}"/>
            </a:ext>
          </a:extLst>
        </xdr:cNvPr>
        <xdr:cNvSpPr/>
      </xdr:nvSpPr>
      <xdr:spPr bwMode="auto">
        <a:xfrm>
          <a:off x="10925175" y="7620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B000000}"/>
            </a:ext>
            <a:ext uri="{147F2762-F138-4A5C-976F-8EAC2B608ADB}">
              <a16:predDERef xmlns:a16="http://schemas.microsoft.com/office/drawing/2014/main" pred="{6F00EF50-DF9D-476E-8CC1-70AF04983198}"/>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C000000}"/>
            </a:ext>
            <a:ext uri="{147F2762-F138-4A5C-976F-8EAC2B608ADB}">
              <a16:predDERef xmlns:a16="http://schemas.microsoft.com/office/drawing/2014/main" pred="{A7264DFF-5C53-4554-B716-5C260D051F39}"/>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D000000}"/>
            </a:ext>
            <a:ext uri="{147F2762-F138-4A5C-976F-8EAC2B608ADB}">
              <a16:predDERef xmlns:a16="http://schemas.microsoft.com/office/drawing/2014/main" pred="{CD881C2C-F77C-469A-A2E6-7AC663DCFE99}"/>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0"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1E000000}"/>
            </a:ext>
            <a:ext uri="{147F2762-F138-4A5C-976F-8EAC2B608ADB}">
              <a16:predDERef xmlns:a16="http://schemas.microsoft.com/office/drawing/2014/main" pred="{2F2514F0-D623-422F-B12E-59F7F3B46A5E}"/>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F000000}"/>
            </a:ext>
            <a:ext uri="{147F2762-F138-4A5C-976F-8EAC2B608ADB}">
              <a16:predDERef xmlns:a16="http://schemas.microsoft.com/office/drawing/2014/main" pred="{DD12533E-16B6-46F0-BFA1-490DA8B70795}"/>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236252</xdr:rowOff>
    </xdr:to>
    <xdr:sp macro="" textlink="">
      <xdr:nvSpPr>
        <xdr:cNvPr id="3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0000000}"/>
            </a:ext>
            <a:ext uri="{147F2762-F138-4A5C-976F-8EAC2B608ADB}">
              <a16:predDERef xmlns:a16="http://schemas.microsoft.com/office/drawing/2014/main" pred="{7016AC22-74A4-42B0-8F6A-0E41CF79176C}"/>
            </a:ext>
          </a:extLst>
        </xdr:cNvPr>
        <xdr:cNvSpPr/>
      </xdr:nvSpPr>
      <xdr:spPr bwMode="auto">
        <a:xfrm>
          <a:off x="10925175" y="49911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1000000}"/>
            </a:ext>
            <a:ext uri="{147F2762-F138-4A5C-976F-8EAC2B608ADB}">
              <a16:predDERef xmlns:a16="http://schemas.microsoft.com/office/drawing/2014/main" pred="{FBDB330C-D8E4-41C4-B019-1036BAF824F9}"/>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215819</xdr:rowOff>
    </xdr:to>
    <xdr:sp macro="" textlink="">
      <xdr:nvSpPr>
        <xdr:cNvPr id="34"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2000000}"/>
            </a:ext>
            <a:ext uri="{147F2762-F138-4A5C-976F-8EAC2B608ADB}">
              <a16:predDERef xmlns:a16="http://schemas.microsoft.com/office/drawing/2014/main" pred="{11A95F35-3FA7-4208-9803-B49636EE5150}"/>
            </a:ext>
          </a:extLst>
        </xdr:cNvPr>
        <xdr:cNvSpPr/>
      </xdr:nvSpPr>
      <xdr:spPr bwMode="auto">
        <a:xfrm>
          <a:off x="10925175" y="687705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3000000}"/>
            </a:ext>
            <a:ext uri="{147F2762-F138-4A5C-976F-8EAC2B608ADB}">
              <a16:predDERef xmlns:a16="http://schemas.microsoft.com/office/drawing/2014/main" pred="{3EFC1EB0-B2F4-4FEB-BA3E-9B1C35C9C4A3}"/>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4000000}"/>
            </a:ext>
            <a:ext uri="{147F2762-F138-4A5C-976F-8EAC2B608ADB}">
              <a16:predDERef xmlns:a16="http://schemas.microsoft.com/office/drawing/2014/main" pred="{3FEF1C1E-7958-46C1-B50C-52AE5AF0584E}"/>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28575</xdr:rowOff>
    </xdr:from>
    <xdr:to>
      <xdr:col>31</xdr:col>
      <xdr:colOff>0</xdr:colOff>
      <xdr:row>43</xdr:row>
      <xdr:rowOff>236254</xdr:rowOff>
    </xdr:to>
    <xdr:sp macro="" textlink="">
      <xdr:nvSpPr>
        <xdr:cNvPr id="3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5000000}"/>
            </a:ext>
            <a:ext uri="{147F2762-F138-4A5C-976F-8EAC2B608ADB}">
              <a16:predDERef xmlns:a16="http://schemas.microsoft.com/office/drawing/2014/main" pred="{0E71B7DC-21BE-473C-8077-B41BB0639EA9}"/>
            </a:ext>
          </a:extLst>
        </xdr:cNvPr>
        <xdr:cNvSpPr/>
      </xdr:nvSpPr>
      <xdr:spPr bwMode="auto">
        <a:xfrm>
          <a:off x="10925175" y="69056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6000000}"/>
            </a:ext>
            <a:ext uri="{147F2762-F138-4A5C-976F-8EAC2B608ADB}">
              <a16:predDERef xmlns:a16="http://schemas.microsoft.com/office/drawing/2014/main" pred="{66E5D397-186F-461D-B47D-B3ABA755A7D7}"/>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39"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7000000}"/>
            </a:ext>
            <a:ext uri="{147F2762-F138-4A5C-976F-8EAC2B608ADB}">
              <a16:predDERef xmlns:a16="http://schemas.microsoft.com/office/drawing/2014/main" pred="{CFDB1395-355A-4538-98FD-F6BB13D1D7BD}"/>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0"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8000000}"/>
            </a:ext>
            <a:ext uri="{147F2762-F138-4A5C-976F-8EAC2B608ADB}">
              <a16:predDERef xmlns:a16="http://schemas.microsoft.com/office/drawing/2014/main" pred="{38D8B965-8044-4461-B70A-744CB31C7AD2}"/>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1"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9000000}"/>
            </a:ext>
            <a:ext uri="{147F2762-F138-4A5C-976F-8EAC2B608ADB}">
              <a16:predDERef xmlns:a16="http://schemas.microsoft.com/office/drawing/2014/main" pred="{236F8453-A024-4C2F-BC8F-7DCAD021F32F}"/>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A000000}"/>
            </a:ext>
            <a:ext uri="{147F2762-F138-4A5C-976F-8EAC2B608ADB}">
              <a16:predDERef xmlns:a16="http://schemas.microsoft.com/office/drawing/2014/main" pred="{AB1A292E-4242-4255-B8AE-E74E2EDFE7A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B000000}"/>
            </a:ext>
            <a:ext uri="{147F2762-F138-4A5C-976F-8EAC2B608ADB}">
              <a16:predDERef xmlns:a16="http://schemas.microsoft.com/office/drawing/2014/main" pred="{33A6C1E2-7C67-47FF-B638-43DA76D8C4A9}"/>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C000000}"/>
            </a:ext>
            <a:ext uri="{147F2762-F138-4A5C-976F-8EAC2B608ADB}">
              <a16:predDERef xmlns:a16="http://schemas.microsoft.com/office/drawing/2014/main" pred="{D5E77B17-D1DE-4BAD-8424-1FD90E15CE35}"/>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5"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D000000}"/>
            </a:ext>
            <a:ext uri="{147F2762-F138-4A5C-976F-8EAC2B608ADB}">
              <a16:predDERef xmlns:a16="http://schemas.microsoft.com/office/drawing/2014/main" pred="{CE2BDAC6-C3B5-438E-BE03-CCCE36C3C4EC}"/>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E000000}"/>
            </a:ext>
            <a:ext uri="{147F2762-F138-4A5C-976F-8EAC2B608ADB}">
              <a16:predDERef xmlns:a16="http://schemas.microsoft.com/office/drawing/2014/main" pred="{CBBB0E7F-70E6-4409-B6AC-262EFFD24016}"/>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7"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F000000}"/>
            </a:ext>
            <a:ext uri="{147F2762-F138-4A5C-976F-8EAC2B608ADB}">
              <a16:predDERef xmlns:a16="http://schemas.microsoft.com/office/drawing/2014/main" pred="{2196EA32-A1A4-4F7E-B5D7-E70D1ECE3BB2}"/>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0000000}"/>
            </a:ext>
            <a:ext uri="{147F2762-F138-4A5C-976F-8EAC2B608ADB}">
              <a16:predDERef xmlns:a16="http://schemas.microsoft.com/office/drawing/2014/main" pred="{DF4AFB71-3C15-4A32-BB2A-40482324778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1000000}"/>
            </a:ext>
            <a:ext uri="{147F2762-F138-4A5C-976F-8EAC2B608ADB}">
              <a16:predDERef xmlns:a16="http://schemas.microsoft.com/office/drawing/2014/main" pred="{F8D0288D-D6F6-41EC-8763-6134C7DFA76E}"/>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2000000}"/>
            </a:ext>
            <a:ext uri="{147F2762-F138-4A5C-976F-8EAC2B608ADB}">
              <a16:predDERef xmlns:a16="http://schemas.microsoft.com/office/drawing/2014/main" pred="{A847254C-AC29-4B34-97B5-646E30928E90}"/>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3000000}"/>
            </a:ext>
            <a:ext uri="{147F2762-F138-4A5C-976F-8EAC2B608ADB}">
              <a16:predDERef xmlns:a16="http://schemas.microsoft.com/office/drawing/2014/main" pred="{A0601C66-15AB-4A9C-8538-8E7A648E942D}"/>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5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4000000}"/>
            </a:ext>
            <a:ext uri="{147F2762-F138-4A5C-976F-8EAC2B608ADB}">
              <a16:predDERef xmlns:a16="http://schemas.microsoft.com/office/drawing/2014/main" pred="{47F7FE84-2B84-4BFC-9EDD-B45E124D05CE}"/>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5000000}"/>
            </a:ext>
            <a:ext uri="{147F2762-F138-4A5C-976F-8EAC2B608ADB}">
              <a16:predDERef xmlns:a16="http://schemas.microsoft.com/office/drawing/2014/main" pred="{9A1C9D58-9B3A-4E9C-9554-C12BD84780B3}"/>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4"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6000000}"/>
            </a:ext>
            <a:ext uri="{147F2762-F138-4A5C-976F-8EAC2B608ADB}">
              <a16:predDERef xmlns:a16="http://schemas.microsoft.com/office/drawing/2014/main" pred="{7A5A4E6F-3204-43C2-A083-907B8E43074D}"/>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5"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7000000}"/>
            </a:ext>
            <a:ext uri="{147F2762-F138-4A5C-976F-8EAC2B608ADB}">
              <a16:predDERef xmlns:a16="http://schemas.microsoft.com/office/drawing/2014/main" pred="{42ECF725-854D-4791-90F3-A5031B34FEB8}"/>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6"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38000000}"/>
            </a:ext>
            <a:ext uri="{147F2762-F138-4A5C-976F-8EAC2B608ADB}">
              <a16:predDERef xmlns:a16="http://schemas.microsoft.com/office/drawing/2014/main" pred="{00000000-0008-0000-0400-000037000000}"/>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7"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9000000}"/>
            </a:ext>
            <a:ext uri="{147F2762-F138-4A5C-976F-8EAC2B608ADB}">
              <a16:predDERef xmlns:a16="http://schemas.microsoft.com/office/drawing/2014/main" pred="{6FF98324-7A86-4FD8-A070-EBD0B4FABC72}"/>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8"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A000000}"/>
            </a:ext>
            <a:ext uri="{147F2762-F138-4A5C-976F-8EAC2B608ADB}">
              <a16:predDERef xmlns:a16="http://schemas.microsoft.com/office/drawing/2014/main" pred="{E2C07A81-F16F-4585-96BE-1CE23059B97B}"/>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06719" cy="214434"/>
    <xdr:sp macro="" textlink="">
      <xdr:nvSpPr>
        <xdr:cNvPr id="5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3B000000}"/>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C000000}"/>
            </a:ext>
            <a:ext uri="{147F2762-F138-4A5C-976F-8EAC2B608ADB}">
              <a16:predDERef xmlns:a16="http://schemas.microsoft.com/office/drawing/2014/main" pred="{6F00EF50-DF9D-476E-8CC1-70AF04983198}"/>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D000000}"/>
            </a:ext>
            <a:ext uri="{147F2762-F138-4A5C-976F-8EAC2B608ADB}">
              <a16:predDERef xmlns:a16="http://schemas.microsoft.com/office/drawing/2014/main" pred="{A7264DFF-5C53-4554-B716-5C260D051F39}"/>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E000000}"/>
            </a:ext>
            <a:ext uri="{147F2762-F138-4A5C-976F-8EAC2B608ADB}">
              <a16:predDERef xmlns:a16="http://schemas.microsoft.com/office/drawing/2014/main" pred="{CD881C2C-F77C-469A-A2E6-7AC663DCFE99}"/>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F000000}"/>
            </a:ext>
            <a:ext uri="{147F2762-F138-4A5C-976F-8EAC2B608ADB}">
              <a16:predDERef xmlns:a16="http://schemas.microsoft.com/office/drawing/2014/main" pred="{A0601C66-15AB-4A9C-8538-8E7A648E942D}"/>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0000000}"/>
            </a:ext>
            <a:ext uri="{147F2762-F138-4A5C-976F-8EAC2B608ADB}">
              <a16:predDERef xmlns:a16="http://schemas.microsoft.com/office/drawing/2014/main" pred="{47F7FE84-2B84-4BFC-9EDD-B45E124D05CE}"/>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1000000}"/>
            </a:ext>
            <a:ext uri="{147F2762-F138-4A5C-976F-8EAC2B608ADB}">
              <a16:predDERef xmlns:a16="http://schemas.microsoft.com/office/drawing/2014/main" pred="{9A1C9D58-9B3A-4E9C-9554-C12BD84780B3}"/>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28575</xdr:rowOff>
    </xdr:from>
    <xdr:ext cx="1006719" cy="223960"/>
    <xdr:sp macro="" textlink="">
      <xdr:nvSpPr>
        <xdr:cNvPr id="6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6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7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7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28575</xdr:rowOff>
    </xdr:from>
    <xdr:ext cx="1006719" cy="223960"/>
    <xdr:sp macro="" textlink="">
      <xdr:nvSpPr>
        <xdr:cNvPr id="7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B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28575</xdr:rowOff>
    </xdr:from>
    <xdr:ext cx="1006719" cy="223960"/>
    <xdr:sp macro="" textlink="">
      <xdr:nvSpPr>
        <xdr:cNvPr id="7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C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D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7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28575</xdr:rowOff>
    </xdr:from>
    <xdr:ext cx="1006719" cy="223960"/>
    <xdr:sp macro="" textlink="">
      <xdr:nvSpPr>
        <xdr:cNvPr id="7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F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0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1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28575</xdr:rowOff>
    </xdr:from>
    <xdr:ext cx="1006719" cy="223960"/>
    <xdr:sp macro="" textlink="">
      <xdr:nvSpPr>
        <xdr:cNvPr id="8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2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3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28575</xdr:rowOff>
    </xdr:from>
    <xdr:ext cx="1006719" cy="223960"/>
    <xdr:sp macro="" textlink="">
      <xdr:nvSpPr>
        <xdr:cNvPr id="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5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6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28575</xdr:rowOff>
    </xdr:from>
    <xdr:ext cx="1006719" cy="223960"/>
    <xdr:sp macro="" textlink="">
      <xdr:nvSpPr>
        <xdr:cNvPr id="8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0"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5A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1"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5B000000}"/>
            </a:ext>
            <a:ext uri="{147F2762-F138-4A5C-976F-8EAC2B608ADB}">
              <a16:predDERef xmlns:a16="http://schemas.microsoft.com/office/drawing/2014/main" pred="{00000000-0008-0000-0400-000037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2"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5C000000}"/>
            </a:ext>
            <a:ext uri="{147F2762-F138-4A5C-976F-8EAC2B608ADB}">
              <a16:predDERef xmlns:a16="http://schemas.microsoft.com/office/drawing/2014/main" pred="{6FF98324-7A86-4FD8-A070-EBD0B4FABC72}"/>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3"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5D000000}"/>
            </a:ext>
            <a:ext uri="{147F2762-F138-4A5C-976F-8EAC2B608ADB}">
              <a16:predDERef xmlns:a16="http://schemas.microsoft.com/office/drawing/2014/main" pred="{E2C07A81-F16F-4585-96BE-1CE23059B97B}"/>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E000000}"/>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9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F000000}"/>
            </a:ext>
            <a:ext uri="{147F2762-F138-4A5C-976F-8EAC2B608ADB}">
              <a16:predDERef xmlns:a16="http://schemas.microsoft.com/office/drawing/2014/main" pred="{00000000-0008-0000-0400-000017000000}"/>
            </a:ext>
          </a:extLst>
        </xdr:cNvPr>
        <xdr:cNvSpPr/>
      </xdr:nvSpPr>
      <xdr:spPr bwMode="auto">
        <a:xfrm>
          <a:off x="11510108" y="16807229"/>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0000000}"/>
            </a:ext>
            <a:ext uri="{147F2762-F138-4A5C-976F-8EAC2B608ADB}">
              <a16:predDERef xmlns:a16="http://schemas.microsoft.com/office/drawing/2014/main" pred="{B4202E36-B685-4EE9-9A43-8E2710610374}"/>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9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1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9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2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9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3000000}"/>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28575</xdr:rowOff>
    </xdr:from>
    <xdr:ext cx="1063707" cy="215820"/>
    <xdr:sp macro="" textlink="">
      <xdr:nvSpPr>
        <xdr:cNvPr id="10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4000000}"/>
            </a:ext>
            <a:ext uri="{147F2762-F138-4A5C-976F-8EAC2B608ADB}">
              <a16:predDERef xmlns:a16="http://schemas.microsoft.com/office/drawing/2014/main" pred="{00000000-0008-0000-0400-000017000000}"/>
            </a:ext>
          </a:extLst>
        </xdr:cNvPr>
        <xdr:cNvSpPr/>
      </xdr:nvSpPr>
      <xdr:spPr bwMode="auto">
        <a:xfrm>
          <a:off x="16113858" y="3048896"/>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10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5000000}"/>
            </a:ext>
            <a:ext uri="{147F2762-F138-4A5C-976F-8EAC2B608ADB}">
              <a16:predDERef xmlns:a16="http://schemas.microsoft.com/office/drawing/2014/main" pred="{B4202E36-B685-4EE9-9A43-8E2710610374}"/>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6000000}"/>
            </a:ext>
          </a:extLst>
        </xdr:cNvPr>
        <xdr:cNvSpPr/>
      </xdr:nvSpPr>
      <xdr:spPr bwMode="auto">
        <a:xfrm>
          <a:off x="16113858" y="280466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7000000}"/>
            </a:ext>
            <a:ext uri="{147F2762-F138-4A5C-976F-8EAC2B608ADB}">
              <a16:predDERef xmlns:a16="http://schemas.microsoft.com/office/drawing/2014/main" pred="{C577EBE9-8001-449C-84FB-420AEDBEB505}"/>
            </a:ext>
          </a:extLst>
        </xdr:cNvPr>
        <xdr:cNvSpPr/>
      </xdr:nvSpPr>
      <xdr:spPr bwMode="auto">
        <a:xfrm>
          <a:off x="16113858" y="277609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10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10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10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10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28575</xdr:rowOff>
    </xdr:from>
    <xdr:ext cx="1063707" cy="225181"/>
    <xdr:sp macro="" textlink="">
      <xdr:nvSpPr>
        <xdr:cNvPr id="11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E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0</xdr:rowOff>
    </xdr:from>
    <xdr:ext cx="1063707" cy="209550"/>
    <xdr:sp macro="" textlink="">
      <xdr:nvSpPr>
        <xdr:cNvPr id="11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F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1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0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1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1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28575</xdr:rowOff>
    </xdr:from>
    <xdr:ext cx="1063707" cy="225181"/>
    <xdr:sp macro="" textlink="">
      <xdr:nvSpPr>
        <xdr:cNvPr id="11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2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0</xdr:rowOff>
    </xdr:from>
    <xdr:ext cx="1063707" cy="209550"/>
    <xdr:sp macro="" textlink="">
      <xdr:nvSpPr>
        <xdr:cNvPr id="1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3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28575</xdr:rowOff>
    </xdr:from>
    <xdr:ext cx="1063707" cy="225181"/>
    <xdr:sp macro="" textlink="">
      <xdr:nvSpPr>
        <xdr:cNvPr id="1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4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0</xdr:rowOff>
    </xdr:from>
    <xdr:ext cx="1063707" cy="209550"/>
    <xdr:sp macro="" textlink="">
      <xdr:nvSpPr>
        <xdr:cNvPr id="1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5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28575</xdr:rowOff>
    </xdr:from>
    <xdr:ext cx="1063707" cy="225181"/>
    <xdr:sp macro="" textlink="">
      <xdr:nvSpPr>
        <xdr:cNvPr id="1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6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0</xdr:rowOff>
    </xdr:from>
    <xdr:ext cx="1063707" cy="209550"/>
    <xdr:sp macro="" textlink="">
      <xdr:nvSpPr>
        <xdr:cNvPr id="1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7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28575</xdr:rowOff>
    </xdr:from>
    <xdr:ext cx="1063707" cy="225181"/>
    <xdr:sp macro="" textlink="">
      <xdr:nvSpPr>
        <xdr:cNvPr id="1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0</xdr:rowOff>
    </xdr:from>
    <xdr:ext cx="1063707" cy="209550"/>
    <xdr:sp macro="" textlink="">
      <xdr:nvSpPr>
        <xdr:cNvPr id="1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28575</xdr:rowOff>
    </xdr:from>
    <xdr:ext cx="1063707" cy="225181"/>
    <xdr:sp macro="" textlink="">
      <xdr:nvSpPr>
        <xdr:cNvPr id="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0</xdr:rowOff>
    </xdr:from>
    <xdr:ext cx="1063707" cy="209550"/>
    <xdr:sp macro="" textlink="">
      <xdr:nvSpPr>
        <xdr:cNvPr id="1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28575</xdr:rowOff>
    </xdr:from>
    <xdr:ext cx="1063707" cy="225181"/>
    <xdr:sp macro="" textlink="">
      <xdr:nvSpPr>
        <xdr:cNvPr id="12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0</xdr:rowOff>
    </xdr:from>
    <xdr:ext cx="1063707" cy="209550"/>
    <xdr:sp macro="" textlink="">
      <xdr:nvSpPr>
        <xdr:cNvPr id="12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63707" cy="206293"/>
    <xdr:sp macro="" textlink="">
      <xdr:nvSpPr>
        <xdr:cNvPr id="126"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7E000000}"/>
            </a:ext>
          </a:extLst>
        </xdr:cNvPr>
        <xdr:cNvSpPr/>
      </xdr:nvSpPr>
      <xdr:spPr bwMode="auto">
        <a:xfrm>
          <a:off x="16113858" y="19106987"/>
          <a:ext cx="1063707"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F000000}"/>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1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0000000}"/>
            </a:ext>
            <a:ext uri="{147F2762-F138-4A5C-976F-8EAC2B608ADB}">
              <a16:predDERef xmlns:a16="http://schemas.microsoft.com/office/drawing/2014/main" pred="{00000000-0008-0000-0400-000017000000}"/>
            </a:ext>
          </a:extLst>
        </xdr:cNvPr>
        <xdr:cNvSpPr/>
      </xdr:nvSpPr>
      <xdr:spPr bwMode="auto">
        <a:xfrm>
          <a:off x="16113858" y="19135562"/>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1000000}"/>
            </a:ext>
            <a:ext uri="{147F2762-F138-4A5C-976F-8EAC2B608ADB}">
              <a16:predDERef xmlns:a16="http://schemas.microsoft.com/office/drawing/2014/main" pred="{B4202E36-B685-4EE9-9A43-8E2710610374}"/>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28575</xdr:rowOff>
    </xdr:from>
    <xdr:ext cx="1063707" cy="225181"/>
    <xdr:sp macro="" textlink="">
      <xdr:nvSpPr>
        <xdr:cNvPr id="13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2000000}"/>
            </a:ext>
          </a:extLst>
        </xdr:cNvPr>
        <xdr:cNvSpPr/>
      </xdr:nvSpPr>
      <xdr:spPr bwMode="auto">
        <a:xfrm>
          <a:off x="16113858" y="188913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0</xdr:rowOff>
    </xdr:from>
    <xdr:ext cx="1063707" cy="209550"/>
    <xdr:sp macro="" textlink="">
      <xdr:nvSpPr>
        <xdr:cNvPr id="1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3000000}"/>
            </a:ext>
            <a:ext uri="{147F2762-F138-4A5C-976F-8EAC2B608ADB}">
              <a16:predDERef xmlns:a16="http://schemas.microsoft.com/office/drawing/2014/main" pred="{C577EBE9-8001-449C-84FB-420AEDBEB505}"/>
            </a:ext>
          </a:extLst>
        </xdr:cNvPr>
        <xdr:cNvSpPr/>
      </xdr:nvSpPr>
      <xdr:spPr bwMode="auto">
        <a:xfrm>
          <a:off x="16113858" y="188627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12</xdr:row>
      <xdr:rowOff>28575</xdr:rowOff>
    </xdr:from>
    <xdr:to>
      <xdr:col>31</xdr:col>
      <xdr:colOff>0</xdr:colOff>
      <xdr:row>13</xdr:row>
      <xdr:rowOff>1383</xdr:rowOff>
    </xdr:to>
    <xdr:sp macro="" textlink="">
      <xdr:nvSpPr>
        <xdr:cNvPr id="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000000}"/>
            </a:ext>
            <a:ext uri="{147F2762-F138-4A5C-976F-8EAC2B608ADB}">
              <a16:predDERef xmlns:a16="http://schemas.microsoft.com/office/drawing/2014/main" pred="{00000000-0008-0000-0500-000083000000}"/>
            </a:ext>
          </a:extLst>
        </xdr:cNvPr>
        <xdr:cNvSpPr/>
      </xdr:nvSpPr>
      <xdr:spPr bwMode="auto">
        <a:xfrm>
          <a:off x="17021175" y="781050"/>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xdr:row>
      <xdr:rowOff>0</xdr:rowOff>
    </xdr:from>
    <xdr:to>
      <xdr:col>31</xdr:col>
      <xdr:colOff>0</xdr:colOff>
      <xdr:row>12</xdr:row>
      <xdr:rowOff>209550</xdr:rowOff>
    </xdr:to>
    <xdr:sp macro="" textlink="">
      <xdr:nvSpPr>
        <xdr:cNvPr id="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3000000}"/>
            </a:ext>
            <a:ext uri="{147F2762-F138-4A5C-976F-8EAC2B608ADB}">
              <a16:predDERef xmlns:a16="http://schemas.microsoft.com/office/drawing/2014/main" pred="{3A79F82F-E556-4CE4-9F52-354CF99766B5}"/>
            </a:ext>
          </a:extLst>
        </xdr:cNvPr>
        <xdr:cNvSpPr/>
      </xdr:nvSpPr>
      <xdr:spPr bwMode="auto">
        <a:xfrm>
          <a:off x="17021175" y="752475"/>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4"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04000000}"/>
            </a:ext>
            <a:ext uri="{147F2762-F138-4A5C-976F-8EAC2B608ADB}">
              <a16:predDERef xmlns:a16="http://schemas.microsoft.com/office/drawing/2014/main" pred="{3918615B-5D11-4F33-9F4E-B7182F49A7F1}"/>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5"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05000000}"/>
            </a:ext>
            <a:ext uri="{147F2762-F138-4A5C-976F-8EAC2B608ADB}">
              <a16:predDERef xmlns:a16="http://schemas.microsoft.com/office/drawing/2014/main" pred="{42ED3C0C-3CAF-4400-82B3-F24E750DF45D}"/>
            </a:ext>
          </a:extLst>
        </xdr:cNvPr>
        <xdr:cNvSpPr/>
      </xdr:nvSpPr>
      <xdr:spPr bwMode="auto">
        <a:xfrm>
          <a:off x="17021175" y="8905875"/>
          <a:ext cx="1009651"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6"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6000000}"/>
            </a:ext>
            <a:ext uri="{147F2762-F138-4A5C-976F-8EAC2B608ADB}">
              <a16:predDERef xmlns:a16="http://schemas.microsoft.com/office/drawing/2014/main" pred="{5703C56F-0CD9-4972-A839-4AE5E4A79485}"/>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7000000}"/>
            </a:ext>
            <a:ext uri="{147F2762-F138-4A5C-976F-8EAC2B608ADB}">
              <a16:predDERef xmlns:a16="http://schemas.microsoft.com/office/drawing/2014/main" pred="{9E4750CC-F7E9-4D1C-B9D3-8183E05651B7}"/>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8000000}"/>
            </a:ext>
            <a:ext uri="{147F2762-F138-4A5C-976F-8EAC2B608ADB}">
              <a16:predDERef xmlns:a16="http://schemas.microsoft.com/office/drawing/2014/main" pred="{12B89CAC-C24C-4114-9DE8-22E96CBEFC81}"/>
            </a:ext>
          </a:extLst>
        </xdr:cNvPr>
        <xdr:cNvSpPr/>
      </xdr:nvSpPr>
      <xdr:spPr bwMode="auto">
        <a:xfrm>
          <a:off x="17021175" y="8934450"/>
          <a:ext cx="1009651" cy="2001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9000000}"/>
            </a:ext>
            <a:ext uri="{147F2762-F138-4A5C-976F-8EAC2B608ADB}">
              <a16:predDERef xmlns:a16="http://schemas.microsoft.com/office/drawing/2014/main" pred="{8317097F-5A3F-4407-937E-347FBAC4244B}"/>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1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A000000}"/>
            </a:ext>
            <a:ext uri="{147F2762-F138-4A5C-976F-8EAC2B608ADB}">
              <a16:predDERef xmlns:a16="http://schemas.microsoft.com/office/drawing/2014/main" pred="{443B0A71-B49C-4F3C-AA06-FD2B0C4671B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1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B000000}"/>
            </a:ext>
            <a:ext uri="{147F2762-F138-4A5C-976F-8EAC2B608ADB}">
              <a16:predDERef xmlns:a16="http://schemas.microsoft.com/office/drawing/2014/main" pred="{16AEB0F4-6D98-480F-A31E-C127F5BF9CD5}"/>
            </a:ext>
          </a:extLst>
        </xdr:cNvPr>
        <xdr:cNvSpPr/>
      </xdr:nvSpPr>
      <xdr:spPr bwMode="auto">
        <a:xfrm>
          <a:off x="17021175" y="893445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1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C000000}"/>
            </a:ext>
            <a:ext uri="{147F2762-F138-4A5C-976F-8EAC2B608ADB}">
              <a16:predDERef xmlns:a16="http://schemas.microsoft.com/office/drawing/2014/main" pred="{0C9A13AE-C299-4C78-A2A2-65348E85B7C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D000000}"/>
            </a:ext>
            <a:ext uri="{147F2762-F138-4A5C-976F-8EAC2B608ADB}">
              <a16:predDERef xmlns:a16="http://schemas.microsoft.com/office/drawing/2014/main" pred="{DACEEAA5-AF16-4D75-90BA-7709C8BA2A81}"/>
            </a:ext>
          </a:extLst>
        </xdr:cNvPr>
        <xdr:cNvSpPr/>
      </xdr:nvSpPr>
      <xdr:spPr bwMode="auto">
        <a:xfrm>
          <a:off x="17021175" y="870585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000000}"/>
            </a:ext>
            <a:ext uri="{147F2762-F138-4A5C-976F-8EAC2B608ADB}">
              <a16:predDERef xmlns:a16="http://schemas.microsoft.com/office/drawing/2014/main" pred="{400D01C3-91E6-411B-8AE7-9B2C28C77266}"/>
            </a:ext>
          </a:extLst>
        </xdr:cNvPr>
        <xdr:cNvSpPr/>
      </xdr:nvSpPr>
      <xdr:spPr bwMode="auto">
        <a:xfrm>
          <a:off x="17021175" y="867727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3</xdr:row>
      <xdr:rowOff>0</xdr:rowOff>
    </xdr:from>
    <xdr:to>
      <xdr:col>31</xdr:col>
      <xdr:colOff>0</xdr:colOff>
      <xdr:row>3</xdr:row>
      <xdr:rowOff>206295</xdr:rowOff>
    </xdr:to>
    <xdr:sp macro="" textlink="">
      <xdr:nvSpPr>
        <xdr:cNvPr id="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F000000}"/>
            </a:ext>
            <a:ext uri="{147F2762-F138-4A5C-976F-8EAC2B608ADB}">
              <a16:predDERef xmlns:a16="http://schemas.microsoft.com/office/drawing/2014/main" pred="{6EC46FB4-6CD3-4862-85F0-0412E4DAC089}"/>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28575</xdr:rowOff>
    </xdr:from>
    <xdr:to>
      <xdr:col>31</xdr:col>
      <xdr:colOff>0</xdr:colOff>
      <xdr:row>3</xdr:row>
      <xdr:rowOff>236255</xdr:rowOff>
    </xdr:to>
    <xdr:sp macro="" textlink="">
      <xdr:nvSpPr>
        <xdr:cNvPr id="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0000000}"/>
            </a:ext>
            <a:ext uri="{147F2762-F138-4A5C-976F-8EAC2B608ADB}">
              <a16:predDERef xmlns:a16="http://schemas.microsoft.com/office/drawing/2014/main" pred="{AD6BB1CB-2F42-4F83-B263-CC31B8691E1B}"/>
            </a:ext>
          </a:extLst>
        </xdr:cNvPr>
        <xdr:cNvSpPr/>
      </xdr:nvSpPr>
      <xdr:spPr bwMode="auto">
        <a:xfrm>
          <a:off x="17021175" y="3057525"/>
          <a:ext cx="1009650" cy="20768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0</xdr:rowOff>
    </xdr:from>
    <xdr:to>
      <xdr:col>31</xdr:col>
      <xdr:colOff>0</xdr:colOff>
      <xdr:row>3</xdr:row>
      <xdr:rowOff>206295</xdr:rowOff>
    </xdr:to>
    <xdr:sp macro="" textlink="">
      <xdr:nvSpPr>
        <xdr:cNvPr id="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1000000}"/>
            </a:ext>
            <a:ext uri="{147F2762-F138-4A5C-976F-8EAC2B608ADB}">
              <a16:predDERef xmlns:a16="http://schemas.microsoft.com/office/drawing/2014/main" pred="{330F2D60-95B1-4607-A5BA-A4A4DD8167AF}"/>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2</xdr:row>
      <xdr:rowOff>28575</xdr:rowOff>
    </xdr:from>
    <xdr:ext cx="1063707" cy="225181"/>
    <xdr:sp macro="" textlink="">
      <xdr:nvSpPr>
        <xdr:cNvPr id="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2000000}"/>
            </a:ext>
            <a:ext uri="{147F2762-F138-4A5C-976F-8EAC2B608ADB}">
              <a16:predDERef xmlns:a16="http://schemas.microsoft.com/office/drawing/2014/main" pred="{1446F304-00A3-4DBE-B71C-FB511B3D6EFE}"/>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3000000}"/>
            </a:ext>
            <a:ext uri="{147F2762-F138-4A5C-976F-8EAC2B608ADB}">
              <a16:predDERef xmlns:a16="http://schemas.microsoft.com/office/drawing/2014/main" pred="{3CD619F5-9B6A-41D3-8AEC-FF8F6353E2D1}"/>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28575</xdr:rowOff>
    </xdr:from>
    <xdr:ext cx="1063707" cy="225181"/>
    <xdr:sp macro="" textlink="">
      <xdr:nvSpPr>
        <xdr:cNvPr id="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4000000}"/>
            </a:ext>
            <a:ext uri="{147F2762-F138-4A5C-976F-8EAC2B608ADB}">
              <a16:predDERef xmlns:a16="http://schemas.microsoft.com/office/drawing/2014/main" pred="{FA8F02DC-2FB3-4395-8472-1232A97338E1}"/>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5000000}"/>
            </a:ext>
            <a:ext uri="{147F2762-F138-4A5C-976F-8EAC2B608ADB}">
              <a16:predDERef xmlns:a16="http://schemas.microsoft.com/office/drawing/2014/main" pred="{905396AA-A509-4773-BAE8-517192EB075F}"/>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2</xdr:row>
      <xdr:rowOff>28575</xdr:rowOff>
    </xdr:from>
    <xdr:to>
      <xdr:col>31</xdr:col>
      <xdr:colOff>0</xdr:colOff>
      <xdr:row>3</xdr:row>
      <xdr:rowOff>1383</xdr:rowOff>
    </xdr:to>
    <xdr:sp macro="" textlink="">
      <xdr:nvSpPr>
        <xdr:cNvPr id="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6000000}"/>
            </a:ext>
            <a:ext uri="{147F2762-F138-4A5C-976F-8EAC2B608ADB}">
              <a16:predDERef xmlns:a16="http://schemas.microsoft.com/office/drawing/2014/main" pred="{A64239A8-44FE-4989-9AC1-BC8C37CD5F5E}"/>
            </a:ext>
          </a:extLst>
        </xdr:cNvPr>
        <xdr:cNvSpPr/>
      </xdr:nvSpPr>
      <xdr:spPr bwMode="auto">
        <a:xfrm>
          <a:off x="17021175" y="2819400"/>
          <a:ext cx="1009650" cy="21093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353262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0091B02}"/>
            </a:ext>
            <a:ext uri="{147F2762-F138-4A5C-976F-8EAC2B608ADB}">
              <a16:predDERef xmlns:a16="http://schemas.microsoft.com/office/drawing/2014/main" pred="{8AF3E2CD-96F7-48F7-925C-7A6935B0A606}"/>
            </a:ext>
          </a:extLst>
        </xdr:cNvPr>
        <xdr:cNvSpPr/>
      </xdr:nvSpPr>
      <xdr:spPr bwMode="auto">
        <a:xfrm>
          <a:off x="17021175" y="27908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3"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41091B02}"/>
            </a:ext>
            <a:ext uri="{147F2762-F138-4A5C-976F-8EAC2B608ADB}">
              <a16:predDERef xmlns:a16="http://schemas.microsoft.com/office/drawing/2014/main" pred="{3C261854-CA4A-4D32-8220-DE8C787CF888}"/>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91B02}"/>
            </a:ext>
            <a:ext uri="{147F2762-F138-4A5C-976F-8EAC2B608ADB}">
              <a16:predDERef xmlns:a16="http://schemas.microsoft.com/office/drawing/2014/main" pred="{F3868E8D-20FF-40BD-8F0B-494F47C3547E}"/>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91B02}"/>
            </a:ext>
            <a:ext uri="{147F2762-F138-4A5C-976F-8EAC2B608ADB}">
              <a16:predDERef xmlns:a16="http://schemas.microsoft.com/office/drawing/2014/main" pred="{F8A31597-96F6-417B-88E2-8869A7757ACE}"/>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91B02}"/>
            </a:ext>
            <a:ext uri="{147F2762-F138-4A5C-976F-8EAC2B608ADB}">
              <a16:predDERef xmlns:a16="http://schemas.microsoft.com/office/drawing/2014/main" pred="{6728B1FB-6FAE-407B-9110-4BD1C93BE71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91B02}"/>
            </a:ext>
            <a:ext uri="{147F2762-F138-4A5C-976F-8EAC2B608ADB}">
              <a16:predDERef xmlns:a16="http://schemas.microsoft.com/office/drawing/2014/main" pred="{B3AB355E-F67C-4F82-84D6-E48086EA2024}"/>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91B02}"/>
            </a:ext>
            <a:ext uri="{147F2762-F138-4A5C-976F-8EAC2B608ADB}">
              <a16:predDERef xmlns:a16="http://schemas.microsoft.com/office/drawing/2014/main" pred="{0BC92D33-E00D-4DCA-A91D-0BCFAF5389E6}"/>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91B02}"/>
            </a:ext>
            <a:ext uri="{147F2762-F138-4A5C-976F-8EAC2B608ADB}">
              <a16:predDERef xmlns:a16="http://schemas.microsoft.com/office/drawing/2014/main" pred="{92011538-D80B-44A5-836E-EB95E8C0338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63707" cy="206295"/>
    <xdr:sp macro="" textlink="">
      <xdr:nvSpPr>
        <xdr:cNvPr id="353262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91B02}"/>
            </a:ext>
            <a:ext uri="{147F2762-F138-4A5C-976F-8EAC2B608ADB}">
              <a16:predDERef xmlns:a16="http://schemas.microsoft.com/office/drawing/2014/main" pred="{098714B7-3DD6-463F-A31F-5FC12F0AAAFF}"/>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63707" cy="215820"/>
    <xdr:sp macro="" textlink="">
      <xdr:nvSpPr>
        <xdr:cNvPr id="3532628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91B02}"/>
            </a:ext>
            <a:ext uri="{147F2762-F138-4A5C-976F-8EAC2B608ADB}">
              <a16:predDERef xmlns:a16="http://schemas.microsoft.com/office/drawing/2014/main" pred="{EB028B2C-2966-450B-A67B-8F7B4F5BFFD1}"/>
            </a:ext>
          </a:extLst>
        </xdr:cNvPr>
        <xdr:cNvSpPr/>
      </xdr:nvSpPr>
      <xdr:spPr bwMode="auto">
        <a:xfrm>
          <a:off x="17021175" y="5086350"/>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63707" cy="206295"/>
    <xdr:sp macro="" textlink="">
      <xdr:nvSpPr>
        <xdr:cNvPr id="3532628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91B02}"/>
            </a:ext>
            <a:ext uri="{147F2762-F138-4A5C-976F-8EAC2B608ADB}">
              <a16:predDERef xmlns:a16="http://schemas.microsoft.com/office/drawing/2014/main" pred="{90E472EE-C945-478C-90CE-1EB5AC9798D4}"/>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B091B02}"/>
            </a:ext>
            <a:ext uri="{147F2762-F138-4A5C-976F-8EAC2B608ADB}">
              <a16:predDERef xmlns:a16="http://schemas.microsoft.com/office/drawing/2014/main" pred="{9CF5F3A0-8CDC-477D-A221-0A1516FE79D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C091B02}"/>
            </a:ext>
            <a:ext uri="{147F2762-F138-4A5C-976F-8EAC2B608ADB}">
              <a16:predDERef xmlns:a16="http://schemas.microsoft.com/office/drawing/2014/main" pred="{400C03E2-5DED-4330-997A-77136439F836}"/>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D091B02}"/>
            </a:ext>
            <a:ext uri="{147F2762-F138-4A5C-976F-8EAC2B608ADB}">
              <a16:predDERef xmlns:a16="http://schemas.microsoft.com/office/drawing/2014/main" pred="{7EF4A7B9-2775-406F-A3D1-A58647AEB85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91B02}"/>
            </a:ext>
            <a:ext uri="{147F2762-F138-4A5C-976F-8EAC2B608ADB}">
              <a16:predDERef xmlns:a16="http://schemas.microsoft.com/office/drawing/2014/main" pred="{3FE7644B-5E85-4C53-82DB-83EA97AB2B91}"/>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53</xdr:row>
      <xdr:rowOff>0</xdr:rowOff>
    </xdr:from>
    <xdr:to>
      <xdr:col>31</xdr:col>
      <xdr:colOff>0</xdr:colOff>
      <xdr:row>53</xdr:row>
      <xdr:rowOff>206294</xdr:rowOff>
    </xdr:to>
    <xdr:sp macro="" textlink="">
      <xdr:nvSpPr>
        <xdr:cNvPr id="3532628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4F091B02}"/>
            </a:ext>
            <a:ext uri="{147F2762-F138-4A5C-976F-8EAC2B608ADB}">
              <a16:predDERef xmlns:a16="http://schemas.microsoft.com/office/drawing/2014/main" pred="{1A739FCF-0A82-4241-AE02-6DBB2102A97E}"/>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35326288"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50091B02}"/>
            </a:ext>
            <a:ext uri="{147F2762-F138-4A5C-976F-8EAC2B608ADB}">
              <a16:predDERef xmlns:a16="http://schemas.microsoft.com/office/drawing/2014/main" pred="{1FA1F92B-7AAF-43B7-A01C-126DBF98F473}"/>
            </a:ext>
          </a:extLst>
        </xdr:cNvPr>
        <xdr:cNvSpPr/>
      </xdr:nvSpPr>
      <xdr:spPr bwMode="auto">
        <a:xfrm>
          <a:off x="17021175" y="9115425"/>
          <a:ext cx="1009650"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8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51091B02}"/>
            </a:ext>
            <a:ext uri="{147F2762-F138-4A5C-976F-8EAC2B608ADB}">
              <a16:predDERef xmlns:a16="http://schemas.microsoft.com/office/drawing/2014/main" pred="{7A8DC364-749D-4C25-ADE6-ED453CED9418}"/>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2091B02}"/>
            </a:ext>
            <a:ext uri="{147F2762-F138-4A5C-976F-8EAC2B608ADB}">
              <a16:predDERef xmlns:a16="http://schemas.microsoft.com/office/drawing/2014/main" pred="{785C65FC-58F2-4C46-99D8-8D136B906D25}"/>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236254</xdr:rowOff>
    </xdr:to>
    <xdr:sp macro="" textlink="">
      <xdr:nvSpPr>
        <xdr:cNvPr id="3532629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3091B02}"/>
            </a:ext>
            <a:ext uri="{147F2762-F138-4A5C-976F-8EAC2B608ADB}">
              <a16:predDERef xmlns:a16="http://schemas.microsoft.com/office/drawing/2014/main" pred="{AE074AC8-ECD4-4691-B542-31F03CC0D8DE}"/>
            </a:ext>
          </a:extLst>
        </xdr:cNvPr>
        <xdr:cNvSpPr/>
      </xdr:nvSpPr>
      <xdr:spPr bwMode="auto">
        <a:xfrm>
          <a:off x="17021175" y="9144000"/>
          <a:ext cx="1009650" cy="20767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91B02}"/>
            </a:ext>
            <a:ext uri="{147F2762-F138-4A5C-976F-8EAC2B608ADB}">
              <a16:predDERef xmlns:a16="http://schemas.microsoft.com/office/drawing/2014/main" pred="{AD0E889D-7592-44C6-AAE2-FD55160B60DD}"/>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3532629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5091B02}"/>
            </a:ext>
            <a:ext uri="{147F2762-F138-4A5C-976F-8EAC2B608ADB}">
              <a16:predDERef xmlns:a16="http://schemas.microsoft.com/office/drawing/2014/main" pred="{F81BF32D-BD25-4D2C-AEDA-FF0FBA87269B}"/>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3532629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6091B02}"/>
            </a:ext>
            <a:ext uri="{147F2762-F138-4A5C-976F-8EAC2B608ADB}">
              <a16:predDERef xmlns:a16="http://schemas.microsoft.com/office/drawing/2014/main" pred="{E42724CF-9ACE-4A5C-AFF3-14C737FE9404}"/>
            </a:ext>
          </a:extLst>
        </xdr:cNvPr>
        <xdr:cNvSpPr/>
      </xdr:nvSpPr>
      <xdr:spPr bwMode="auto">
        <a:xfrm>
          <a:off x="17021175" y="914400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3532629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91B02}"/>
            </a:ext>
            <a:ext uri="{147F2762-F138-4A5C-976F-8EAC2B608ADB}">
              <a16:predDERef xmlns:a16="http://schemas.microsoft.com/office/drawing/2014/main" pred="{A99D26F0-2BD1-4176-868A-BB1A424E75CC}"/>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3532629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91B02}"/>
            </a:ext>
            <a:ext uri="{147F2762-F138-4A5C-976F-8EAC2B608ADB}">
              <a16:predDERef xmlns:a16="http://schemas.microsoft.com/office/drawing/2014/main" pred="{D902BBA5-263D-484A-8D8B-5245A5A41519}"/>
            </a:ext>
          </a:extLst>
        </xdr:cNvPr>
        <xdr:cNvSpPr/>
      </xdr:nvSpPr>
      <xdr:spPr bwMode="auto">
        <a:xfrm>
          <a:off x="17021175" y="890587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3532629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91B02}"/>
            </a:ext>
            <a:ext uri="{147F2762-F138-4A5C-976F-8EAC2B608ADB}">
              <a16:predDERef xmlns:a16="http://schemas.microsoft.com/office/drawing/2014/main" pred="{6A1B000C-87B9-40B8-9DA3-DD4BEB1387A1}"/>
            </a:ext>
          </a:extLst>
        </xdr:cNvPr>
        <xdr:cNvSpPr/>
      </xdr:nvSpPr>
      <xdr:spPr bwMode="auto">
        <a:xfrm>
          <a:off x="17021175" y="887730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151830</xdr:colOff>
      <xdr:row>14</xdr:row>
      <xdr:rowOff>171450</xdr:rowOff>
    </xdr:from>
    <xdr:to>
      <xdr:col>3</xdr:col>
      <xdr:colOff>80329</xdr:colOff>
      <xdr:row>15</xdr:row>
      <xdr:rowOff>515245</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51830" y="4676775"/>
          <a:ext cx="1976374" cy="543820"/>
        </a:xfrm>
        <a:prstGeom prst="rect">
          <a:avLst/>
        </a:prstGeom>
      </xdr:spPr>
    </xdr:pic>
    <xdr:clientData/>
  </xdr:twoCellAnchor>
  <xdr:twoCellAnchor editAs="oneCell">
    <xdr:from>
      <xdr:col>1</xdr:col>
      <xdr:colOff>185729</xdr:colOff>
      <xdr:row>0</xdr:row>
      <xdr:rowOff>88416</xdr:rowOff>
    </xdr:from>
    <xdr:to>
      <xdr:col>3</xdr:col>
      <xdr:colOff>47161</xdr:colOff>
      <xdr:row>0</xdr:row>
      <xdr:rowOff>573668</xdr:rowOff>
    </xdr:to>
    <xdr:pic>
      <xdr:nvPicPr>
        <xdr:cNvPr id="3" name="Imagem 2">
          <a:extLst>
            <a:ext uri="{FF2B5EF4-FFF2-40B4-BE49-F238E27FC236}">
              <a16:creationId xmlns:a16="http://schemas.microsoft.com/office/drawing/2014/main" id="{00000000-0008-0000-0700-000003000000}"/>
            </a:ext>
            <a:ext uri="{147F2762-F138-4A5C-976F-8EAC2B608ADB}">
              <a16:predDERef xmlns:a16="http://schemas.microsoft.com/office/drawing/2014/main" pred="{00000000-0008-0000-0600-000002000000}"/>
            </a:ext>
          </a:extLst>
        </xdr:cNvPr>
        <xdr:cNvPicPr>
          <a:picLocks noChangeAspect="1"/>
        </xdr:cNvPicPr>
      </xdr:nvPicPr>
      <xdr:blipFill>
        <a:blip xmlns:r="http://schemas.openxmlformats.org/officeDocument/2006/relationships" r:embed="rId1"/>
        <a:stretch>
          <a:fillRect/>
        </a:stretch>
      </xdr:blipFill>
      <xdr:spPr>
        <a:xfrm>
          <a:off x="338129" y="88416"/>
          <a:ext cx="1756907" cy="4852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85726</xdr:rowOff>
    </xdr:from>
    <xdr:to>
      <xdr:col>2</xdr:col>
      <xdr:colOff>428625</xdr:colOff>
      <xdr:row>0</xdr:row>
      <xdr:rowOff>485776</xdr:rowOff>
    </xdr:to>
    <xdr:pic>
      <xdr:nvPicPr>
        <xdr:cNvPr id="5" name="Imagem 1">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85726"/>
          <a:ext cx="14573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523875</xdr:colOff>
      <xdr:row>0</xdr:row>
      <xdr:rowOff>95250</xdr:rowOff>
    </xdr:from>
    <xdr:to>
      <xdr:col>5</xdr:col>
      <xdr:colOff>533400</xdr:colOff>
      <xdr:row>0</xdr:row>
      <xdr:rowOff>457200</xdr:rowOff>
    </xdr:to>
    <xdr:sp macro="" textlink="">
      <xdr:nvSpPr>
        <xdr:cNvPr id="6" name="Seta para a esquerda 2">
          <a:hlinkClick xmlns:r="http://schemas.openxmlformats.org/officeDocument/2006/relationships" r:id="rId2"/>
          <a:extLst>
            <a:ext uri="{FF2B5EF4-FFF2-40B4-BE49-F238E27FC236}">
              <a16:creationId xmlns:a16="http://schemas.microsoft.com/office/drawing/2014/main" id="{00000000-0008-0000-0800-000006000000}"/>
            </a:ext>
            <a:ext uri="{147F2762-F138-4A5C-976F-8EAC2B608ADB}">
              <a16:predDERef xmlns:a16="http://schemas.microsoft.com/office/drawing/2014/main" pred="{C41ABAD5-15EC-4CC1-8B08-9898C2A93D97}"/>
            </a:ext>
          </a:extLst>
        </xdr:cNvPr>
        <xdr:cNvSpPr/>
      </xdr:nvSpPr>
      <xdr:spPr>
        <a:xfrm>
          <a:off x="2324100" y="95250"/>
          <a:ext cx="809625" cy="361950"/>
        </a:xfrm>
        <a:prstGeom prst="leftArrow">
          <a:avLst/>
        </a:prstGeom>
      </xdr:spPr>
      <xdr:style>
        <a:lnRef idx="3">
          <a:schemeClr val="lt1"/>
        </a:lnRef>
        <a:fillRef idx="1">
          <a:schemeClr val="accent1"/>
        </a:fillRef>
        <a:effectRef idx="1">
          <a:schemeClr val="accent1"/>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165100</xdr:colOff>
      <xdr:row>0</xdr:row>
      <xdr:rowOff>44450</xdr:rowOff>
    </xdr:from>
    <xdr:to>
      <xdr:col>15</xdr:col>
      <xdr:colOff>247650</xdr:colOff>
      <xdr:row>0</xdr:row>
      <xdr:rowOff>323850</xdr:rowOff>
    </xdr:to>
    <xdr:sp macro="[0]!ocultar_UMIDADE" textlink="">
      <xdr:nvSpPr>
        <xdr:cNvPr id="4" name="Seta para a esquerda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10420350" y="44450"/>
          <a:ext cx="692150" cy="2794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660401</xdr:colOff>
      <xdr:row>0</xdr:row>
      <xdr:rowOff>12701</xdr:rowOff>
    </xdr:from>
    <xdr:to>
      <xdr:col>2</xdr:col>
      <xdr:colOff>114301</xdr:colOff>
      <xdr:row>0</xdr:row>
      <xdr:rowOff>339665</xdr:rowOff>
    </xdr:to>
    <xdr:pic>
      <xdr:nvPicPr>
        <xdr:cNvPr id="32961513" name="Imagem 1">
          <a:extLst>
            <a:ext uri="{FF2B5EF4-FFF2-40B4-BE49-F238E27FC236}">
              <a16:creationId xmlns:a16="http://schemas.microsoft.com/office/drawing/2014/main" id="{00000000-0008-0000-0900-0000E9F3F6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0401" y="12701"/>
          <a:ext cx="1092200" cy="326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216133</xdr:colOff>
      <xdr:row>0</xdr:row>
      <xdr:rowOff>39263</xdr:rowOff>
    </xdr:from>
    <xdr:to>
      <xdr:col>2</xdr:col>
      <xdr:colOff>554708</xdr:colOff>
      <xdr:row>1</xdr:row>
      <xdr:rowOff>201342</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6499" y="39263"/>
          <a:ext cx="1376258" cy="3943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0]!ocultar_UMIDADE" textlink="">
      <xdr:nvSpPr>
        <xdr:cNvPr id="4" name="Seta para a esquerda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11812074" y="40746"/>
          <a:ext cx="849207" cy="42648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1</xdr:col>
      <xdr:colOff>216133</xdr:colOff>
      <xdr:row>0</xdr:row>
      <xdr:rowOff>39263</xdr:rowOff>
    </xdr:from>
    <xdr:to>
      <xdr:col>2</xdr:col>
      <xdr:colOff>554708</xdr:colOff>
      <xdr:row>1</xdr:row>
      <xdr:rowOff>201342</xdr:rowOff>
    </xdr:to>
    <xdr:pic>
      <xdr:nvPicPr>
        <xdr:cNvPr id="5" name="Imagem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7583" y="39263"/>
          <a:ext cx="1373625" cy="3970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1]!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A00-000006000000}"/>
            </a:ext>
          </a:extLst>
        </xdr:cNvPr>
        <xdr:cNvSpPr/>
      </xdr:nvSpPr>
      <xdr:spPr>
        <a:xfrm>
          <a:off x="11797051" y="40746"/>
          <a:ext cx="849207" cy="403714"/>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16</xdr:col>
      <xdr:colOff>476251</xdr:colOff>
      <xdr:row>15</xdr:row>
      <xdr:rowOff>69244</xdr:rowOff>
    </xdr:from>
    <xdr:to>
      <xdr:col>24</xdr:col>
      <xdr:colOff>476249</xdr:colOff>
      <xdr:row>24</xdr:row>
      <xdr:rowOff>354087</xdr:rowOff>
    </xdr:to>
    <xdr:graphicFrame macro="">
      <xdr:nvGraphicFramePr>
        <xdr:cNvPr id="7" name="Gráfico 6">
          <a:extLst>
            <a:ext uri="{FF2B5EF4-FFF2-40B4-BE49-F238E27FC236}">
              <a16:creationId xmlns:a16="http://schemas.microsoft.com/office/drawing/2014/main" id="{00000000-0008-0000-0A00-000007000000}"/>
            </a:ext>
            <a:ext uri="{147F2762-F138-4A5C-976F-8EAC2B608ADB}">
              <a16:predDERef xmlns:a16="http://schemas.microsoft.com/office/drawing/2014/main" pre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352425</xdr:colOff>
      <xdr:row>11</xdr:row>
      <xdr:rowOff>304800</xdr:rowOff>
    </xdr:from>
    <xdr:to>
      <xdr:col>9</xdr:col>
      <xdr:colOff>85725</xdr:colOff>
      <xdr:row>13</xdr:row>
      <xdr:rowOff>161926</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4867275" y="2400300"/>
          <a:ext cx="952500"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577851</xdr:colOff>
      <xdr:row>3</xdr:row>
      <xdr:rowOff>170376</xdr:rowOff>
    </xdr:from>
    <xdr:to>
      <xdr:col>24</xdr:col>
      <xdr:colOff>193879</xdr:colOff>
      <xdr:row>19</xdr:row>
      <xdr:rowOff>151795</xdr:rowOff>
    </xdr:to>
    <xdr:graphicFrame macro="">
      <xdr:nvGraphicFramePr>
        <xdr:cNvPr id="2" name="Gráfico 4">
          <a:extLst>
            <a:ext uri="{FF2B5EF4-FFF2-40B4-BE49-F238E27FC236}">
              <a16:creationId xmlns:a16="http://schemas.microsoft.com/office/drawing/2014/main" id="{00000000-0008-0000-0C00-000002000000}"/>
            </a:ext>
            <a:ext uri="{147F2762-F138-4A5C-976F-8EAC2B608ADB}">
              <a16:predDERef xmlns:a16="http://schemas.microsoft.com/office/drawing/2014/main" pre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114830</xdr:rowOff>
    </xdr:from>
    <xdr:to>
      <xdr:col>8</xdr:col>
      <xdr:colOff>233793</xdr:colOff>
      <xdr:row>37</xdr:row>
      <xdr:rowOff>97372</xdr:rowOff>
    </xdr:to>
    <xdr:graphicFrame macro="">
      <xdr:nvGraphicFramePr>
        <xdr:cNvPr id="9" name="Gráfico 9">
          <a:extLst>
            <a:ext uri="{FF2B5EF4-FFF2-40B4-BE49-F238E27FC236}">
              <a16:creationId xmlns:a16="http://schemas.microsoft.com/office/drawing/2014/main" id="{00000000-0008-0000-0C00-000009000000}"/>
            </a:ext>
            <a:ext uri="{147F2762-F138-4A5C-976F-8EAC2B608ADB}">
              <a16:predDERef xmlns:a16="http://schemas.microsoft.com/office/drawing/2014/main" pre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579343</xdr:colOff>
      <xdr:row>21</xdr:row>
      <xdr:rowOff>116053</xdr:rowOff>
    </xdr:from>
    <xdr:to>
      <xdr:col>16</xdr:col>
      <xdr:colOff>210568</xdr:colOff>
      <xdr:row>37</xdr:row>
      <xdr:rowOff>105049</xdr:rowOff>
    </xdr:to>
    <xdr:graphicFrame macro="">
      <xdr:nvGraphicFramePr>
        <xdr:cNvPr id="11" name="Gráfico 5">
          <a:extLst>
            <a:ext uri="{FF2B5EF4-FFF2-40B4-BE49-F238E27FC236}">
              <a16:creationId xmlns:a16="http://schemas.microsoft.com/office/drawing/2014/main" id="{00000000-0008-0000-0C00-00000B000000}"/>
            </a:ext>
            <a:ext uri="{147F2762-F138-4A5C-976F-8EAC2B608ADB}">
              <a16:predDERef xmlns:a16="http://schemas.microsoft.com/office/drawing/2014/main" pre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21</xdr:row>
      <xdr:rowOff>76200</xdr:rowOff>
    </xdr:from>
    <xdr:to>
      <xdr:col>24</xdr:col>
      <xdr:colOff>238125</xdr:colOff>
      <xdr:row>37</xdr:row>
      <xdr:rowOff>76200</xdr:rowOff>
    </xdr:to>
    <xdr:graphicFrame macro="">
      <xdr:nvGraphicFramePr>
        <xdr:cNvPr id="3" name="Gráfico 2">
          <a:extLst>
            <a:ext uri="{FF2B5EF4-FFF2-40B4-BE49-F238E27FC236}">
              <a16:creationId xmlns:a16="http://schemas.microsoft.com/office/drawing/2014/main" id="{00000000-0008-0000-0C00-000003000000}"/>
            </a:ext>
            <a:ext uri="{147F2762-F138-4A5C-976F-8EAC2B608ADB}">
              <a16:predDERef xmlns:a16="http://schemas.microsoft.com/office/drawing/2014/main" pre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342900</xdr:colOff>
      <xdr:row>0</xdr:row>
      <xdr:rowOff>1</xdr:rowOff>
    </xdr:from>
    <xdr:to>
      <xdr:col>9</xdr:col>
      <xdr:colOff>465667</xdr:colOff>
      <xdr:row>1</xdr:row>
      <xdr:rowOff>169334</xdr:rowOff>
    </xdr:to>
    <xdr:sp macro="[0]!ocultar_UMIDADE" textlink="">
      <xdr:nvSpPr>
        <xdr:cNvPr id="12" name="Seta para a esquerda 3">
          <a:hlinkClick xmlns:r="http://schemas.openxmlformats.org/officeDocument/2006/relationships" r:id="rId5"/>
          <a:extLst>
            <a:ext uri="{FF2B5EF4-FFF2-40B4-BE49-F238E27FC236}">
              <a16:creationId xmlns:a16="http://schemas.microsoft.com/office/drawing/2014/main" id="{00000000-0008-0000-0C00-00000C000000}"/>
            </a:ext>
          </a:extLst>
        </xdr:cNvPr>
        <xdr:cNvSpPr/>
      </xdr:nvSpPr>
      <xdr:spPr>
        <a:xfrm>
          <a:off x="5490633" y="1"/>
          <a:ext cx="766234" cy="3556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596900</xdr:colOff>
      <xdr:row>4</xdr:row>
      <xdr:rowOff>0</xdr:rowOff>
    </xdr:from>
    <xdr:to>
      <xdr:col>16</xdr:col>
      <xdr:colOff>211666</xdr:colOff>
      <xdr:row>20</xdr:row>
      <xdr:rowOff>8467</xdr:rowOff>
    </xdr:to>
    <xdr:graphicFrame macro="">
      <xdr:nvGraphicFramePr>
        <xdr:cNvPr id="4" name="Gráfico 1">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2116</xdr:colOff>
      <xdr:row>4</xdr:row>
      <xdr:rowOff>14816</xdr:rowOff>
    </xdr:from>
    <xdr:to>
      <xdr:col>8</xdr:col>
      <xdr:colOff>245534</xdr:colOff>
      <xdr:row>20</xdr:row>
      <xdr:rowOff>76199</xdr:rowOff>
    </xdr:to>
    <xdr:graphicFrame macro="">
      <xdr:nvGraphicFramePr>
        <xdr:cNvPr id="5" name="Gráfico 10">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3</xdr:col>
      <xdr:colOff>314324</xdr:colOff>
      <xdr:row>1</xdr:row>
      <xdr:rowOff>428435</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8575" y="219075"/>
          <a:ext cx="1504949" cy="3903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Calibra&#231;&#227;o%2006%20-%20Junho%20-%202025%20(1).xlsm?8E5DFB8A" TargetMode="External"/><Relationship Id="rId1" Type="http://schemas.openxmlformats.org/officeDocument/2006/relationships/externalLinkPath" Target="file:///\\8E5DFB8A\Calibra&#231;&#227;o%2006%20-%20Junho%20-%2020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Plan5"/>
      <sheetName val="Tambor de Abrasão"/>
      <sheetName val="Gran. Fina Alpine"/>
      <sheetName val="Calibração Blaine"/>
      <sheetName val="Verificação Peneiradores"/>
      <sheetName val="Compressão"/>
      <sheetName val="Granulometria"/>
      <sheetName val="Umidade"/>
      <sheetName val="Tamb Kg x Tamb 15,0Kg"/>
      <sheetName val="Resultados 1"/>
      <sheetName val="Grafico 1"/>
      <sheetName val="Calibração 06 - Junho - 2025 (1"/>
    </sheetNames>
    <definedNames>
      <definedName name="ocultar_UMIDADE"/>
    </definedNames>
    <sheetDataSet>
      <sheetData sheetId="0"/>
      <sheetData sheetId="1"/>
      <sheetData sheetId="2"/>
      <sheetData sheetId="3"/>
      <sheetData sheetId="4"/>
      <sheetData sheetId="5"/>
      <sheetData sheetId="6"/>
      <sheetData sheetId="7"/>
      <sheetData sheetId="8"/>
      <sheetData sheetId="9">
        <row r="8">
          <cell r="V8" t="str">
            <v>Dif. Aceitável</v>
          </cell>
        </row>
        <row r="10">
          <cell r="R10">
            <v>45778</v>
          </cell>
          <cell r="U10" t="e">
            <v>#VALUE!</v>
          </cell>
          <cell r="V10">
            <v>0.5</v>
          </cell>
        </row>
        <row r="11">
          <cell r="R11">
            <v>0</v>
          </cell>
          <cell r="U11" t="e">
            <v>#VALUE!</v>
          </cell>
          <cell r="V11">
            <v>0.5</v>
          </cell>
        </row>
        <row r="12">
          <cell r="R12">
            <v>0</v>
          </cell>
          <cell r="U12" t="e">
            <v>#VALUE!</v>
          </cell>
          <cell r="V12">
            <v>0.5</v>
          </cell>
        </row>
        <row r="13">
          <cell r="R13">
            <v>0</v>
          </cell>
          <cell r="U13" t="e">
            <v>#VALUE!</v>
          </cell>
          <cell r="V13">
            <v>0.5</v>
          </cell>
        </row>
        <row r="14">
          <cell r="R14">
            <v>0</v>
          </cell>
          <cell r="U14" t="e">
            <v>#VALUE!</v>
          </cell>
          <cell r="V14">
            <v>0.5</v>
          </cell>
        </row>
      </sheetData>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Leonardo Mattos Macedo" id="{C7B42666-BD70-4FF0-8DA1-3454708CBCE1}" userId="S::leonardo.macedo@samarco.com::67f380e5-cd01-4d73-8484-4c2878fe78b7" providerId="AD"/>
  <person displayName="Felipe Oliveira Rodrigues" id="{16B58F0F-0C3A-4EA9-9DBF-5602CD8FE4ED}" userId="S::felipe.rodrigues@samarco.com::e5658441-0d31-47b2-9519-3ec8cf4a1b97" providerId="AD"/>
</personList>
</file>

<file path=xl/tables/table1.xml><?xml version="1.0" encoding="utf-8"?>
<table xmlns="http://schemas.openxmlformats.org/spreadsheetml/2006/main" id="1" name="tbl_Afericoes" displayName="tbl_Afericoes" ref="A1:Q797" totalsRowShown="0">
  <autoFilter ref="A1:Q797"/>
  <tableColumns count="17">
    <tableColumn id="1" name="Ensaio"/>
    <tableColumn id="2" name="Tipo"/>
    <tableColumn id="3" name="Data"/>
    <tableColumn id="4" name="Equipamento"/>
    <tableColumn id="5" name="Parâmetro"/>
    <tableColumn id="6" name="Unidade"/>
    <tableColumn id="7" name="Valor"/>
    <tableColumn id="8" name="Referência"/>
    <tableColumn id="9" name="Diferença"/>
    <tableColumn id="10" name="Lim. Inferior"/>
    <tableColumn id="11" name="Lim. Superior"/>
    <tableColumn id="12" name="Tolerância"/>
    <tableColumn id="13" name="Resultado"/>
    <tableColumn id="14" name="Responsável"/>
    <tableColumn id="15" name="Letra"/>
    <tableColumn id="16" name="Observação"/>
    <tableColumn id="17" name="Origem"/>
  </tableColumns>
  <tableStyleInfo name="TableStyleMedium2" showFirstColumn="0" showLastColumn="0" showRowStripes="1" showColumnStripes="0"/>
</table>
</file>

<file path=xl/tables/table2.xml><?xml version="1.0" encoding="utf-8"?>
<table xmlns="http://schemas.openxmlformats.org/spreadsheetml/2006/main" id="2" name="tbl_Limites" displayName="tbl_Limites" ref="A1:I14" totalsRowShown="0">
  <autoFilter ref="A1:I14"/>
  <tableColumns count="9">
    <tableColumn id="1" name="Chave"/>
    <tableColumn id="2" name="Ensaio"/>
    <tableColumn id="3" name="Parâmetro"/>
    <tableColumn id="4" name="Unidade"/>
    <tableColumn id="5" name="Nominal"/>
    <tableColumn id="6" name="Lim. Inferior"/>
    <tableColumn id="7" name="Lim. Superior"/>
    <tableColumn id="8" name="Tolerância"/>
    <tableColumn id="9" name="Fonte"/>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6" dT="2026-09-10T04:58:01.21" personId="{C7B42666-BD70-4FF0-8DA1-3454708CBCE1}" id="{CB76805A-0E65-4301-B3F4-DB8ECAA48F46}">
    <text>TAMBOR SEM INVERSOR</text>
  </threadedComment>
</ThreadedComments>
</file>

<file path=xl/threadedComments/threadedComment2.xml><?xml version="1.0" encoding="utf-8"?>
<ThreadedComments xmlns="http://schemas.microsoft.com/office/spreadsheetml/2018/threadedcomments" xmlns:x="http://schemas.openxmlformats.org/spreadsheetml/2006/main">
  <threadedComment ref="I6" dT="2025-11-09T20:13:31.80" personId="{16B58F0F-0C3A-4EA9-9DBF-5602CD8FE4ED}" id="{B91D7FE9-A1E8-4391-9062-299C790C79EC}">
    <text>EM MANUTENÇÃO</text>
  </threadedComment>
</ThreadedComments>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drawing" Target="../drawings/drawing1.xml"/><Relationship Id="rId21" Type="http://schemas.openxmlformats.org/officeDocument/2006/relationships/printerSettings" Target="../printerSettings/printerSettings21.bin"/><Relationship Id="rId34" Type="http://schemas.openxmlformats.org/officeDocument/2006/relationships/printerSettings" Target="../printerSettings/printerSettings34.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printerSettings" Target="../printerSettings/printerSettings33.bin"/><Relationship Id="rId38" Type="http://schemas.openxmlformats.org/officeDocument/2006/relationships/printerSettings" Target="../printerSettings/printerSettings38.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37" Type="http://schemas.openxmlformats.org/officeDocument/2006/relationships/printerSettings" Target="../printerSettings/printerSettings37.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printerSettings" Target="../printerSettings/printerSettings36.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printerSettings" Target="../printerSettings/printerSettings35.bin"/><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51.bin"/><Relationship Id="rId18" Type="http://schemas.openxmlformats.org/officeDocument/2006/relationships/printerSettings" Target="../printerSettings/printerSettings56.bin"/><Relationship Id="rId26" Type="http://schemas.openxmlformats.org/officeDocument/2006/relationships/printerSettings" Target="../printerSettings/printerSettings64.bin"/><Relationship Id="rId39" Type="http://schemas.openxmlformats.org/officeDocument/2006/relationships/comments" Target="../comments1.xml"/><Relationship Id="rId21" Type="http://schemas.openxmlformats.org/officeDocument/2006/relationships/printerSettings" Target="../printerSettings/printerSettings59.bin"/><Relationship Id="rId34" Type="http://schemas.openxmlformats.org/officeDocument/2006/relationships/printerSettings" Target="../printerSettings/printerSettings72.bin"/><Relationship Id="rId7" Type="http://schemas.openxmlformats.org/officeDocument/2006/relationships/printerSettings" Target="../printerSettings/printerSettings45.bin"/><Relationship Id="rId12" Type="http://schemas.openxmlformats.org/officeDocument/2006/relationships/printerSettings" Target="../printerSettings/printerSettings50.bin"/><Relationship Id="rId17" Type="http://schemas.openxmlformats.org/officeDocument/2006/relationships/printerSettings" Target="../printerSettings/printerSettings55.bin"/><Relationship Id="rId25" Type="http://schemas.openxmlformats.org/officeDocument/2006/relationships/printerSettings" Target="../printerSettings/printerSettings63.bin"/><Relationship Id="rId33" Type="http://schemas.openxmlformats.org/officeDocument/2006/relationships/printerSettings" Target="../printerSettings/printerSettings71.bin"/><Relationship Id="rId38" Type="http://schemas.openxmlformats.org/officeDocument/2006/relationships/vmlDrawing" Target="../drawings/vmlDrawing1.vml"/><Relationship Id="rId2" Type="http://schemas.openxmlformats.org/officeDocument/2006/relationships/printerSettings" Target="../printerSettings/printerSettings40.bin"/><Relationship Id="rId16" Type="http://schemas.openxmlformats.org/officeDocument/2006/relationships/printerSettings" Target="../printerSettings/printerSettings54.bin"/><Relationship Id="rId20" Type="http://schemas.openxmlformats.org/officeDocument/2006/relationships/printerSettings" Target="../printerSettings/printerSettings58.bin"/><Relationship Id="rId29" Type="http://schemas.openxmlformats.org/officeDocument/2006/relationships/printerSettings" Target="../printerSettings/printerSettings67.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24" Type="http://schemas.openxmlformats.org/officeDocument/2006/relationships/printerSettings" Target="../printerSettings/printerSettings62.bin"/><Relationship Id="rId32" Type="http://schemas.openxmlformats.org/officeDocument/2006/relationships/printerSettings" Target="../printerSettings/printerSettings70.bin"/><Relationship Id="rId37" Type="http://schemas.openxmlformats.org/officeDocument/2006/relationships/drawing" Target="../drawings/drawing2.xml"/><Relationship Id="rId40" Type="http://schemas.microsoft.com/office/2017/10/relationships/threadedComment" Target="../threadedComments/threadedComment1.xml"/><Relationship Id="rId5" Type="http://schemas.openxmlformats.org/officeDocument/2006/relationships/printerSettings" Target="../printerSettings/printerSettings43.bin"/><Relationship Id="rId15" Type="http://schemas.openxmlformats.org/officeDocument/2006/relationships/printerSettings" Target="../printerSettings/printerSettings53.bin"/><Relationship Id="rId23" Type="http://schemas.openxmlformats.org/officeDocument/2006/relationships/printerSettings" Target="../printerSettings/printerSettings61.bin"/><Relationship Id="rId28" Type="http://schemas.openxmlformats.org/officeDocument/2006/relationships/printerSettings" Target="../printerSettings/printerSettings66.bin"/><Relationship Id="rId36" Type="http://schemas.openxmlformats.org/officeDocument/2006/relationships/printerSettings" Target="../printerSettings/printerSettings74.bin"/><Relationship Id="rId10" Type="http://schemas.openxmlformats.org/officeDocument/2006/relationships/printerSettings" Target="../printerSettings/printerSettings48.bin"/><Relationship Id="rId19" Type="http://schemas.openxmlformats.org/officeDocument/2006/relationships/printerSettings" Target="../printerSettings/printerSettings57.bin"/><Relationship Id="rId31" Type="http://schemas.openxmlformats.org/officeDocument/2006/relationships/printerSettings" Target="../printerSettings/printerSettings69.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 Id="rId14" Type="http://schemas.openxmlformats.org/officeDocument/2006/relationships/printerSettings" Target="../printerSettings/printerSettings52.bin"/><Relationship Id="rId22" Type="http://schemas.openxmlformats.org/officeDocument/2006/relationships/printerSettings" Target="../printerSettings/printerSettings60.bin"/><Relationship Id="rId27" Type="http://schemas.openxmlformats.org/officeDocument/2006/relationships/printerSettings" Target="../printerSettings/printerSettings65.bin"/><Relationship Id="rId30" Type="http://schemas.openxmlformats.org/officeDocument/2006/relationships/printerSettings" Target="../printerSettings/printerSettings68.bin"/><Relationship Id="rId35" Type="http://schemas.openxmlformats.org/officeDocument/2006/relationships/printerSettings" Target="../printerSettings/printerSettings73.bin"/><Relationship Id="rId8" Type="http://schemas.openxmlformats.org/officeDocument/2006/relationships/printerSettings" Target="../printerSettings/printerSettings46.bin"/><Relationship Id="rId3" Type="http://schemas.openxmlformats.org/officeDocument/2006/relationships/printerSettings" Target="../printerSettings/printerSettings4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2.bin"/><Relationship Id="rId3" Type="http://schemas.openxmlformats.org/officeDocument/2006/relationships/printerSettings" Target="../printerSettings/printerSettings77.bin"/><Relationship Id="rId7" Type="http://schemas.openxmlformats.org/officeDocument/2006/relationships/printerSettings" Target="../printerSettings/printerSettings81.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printerSettings" Target="../printerSettings/printerSettings80.bin"/><Relationship Id="rId5" Type="http://schemas.openxmlformats.org/officeDocument/2006/relationships/printerSettings" Target="../printerSettings/printerSettings79.bin"/><Relationship Id="rId4" Type="http://schemas.openxmlformats.org/officeDocument/2006/relationships/printerSettings" Target="../printerSettings/printerSettings78.bin"/><Relationship Id="rId9"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95.bin"/><Relationship Id="rId18" Type="http://schemas.openxmlformats.org/officeDocument/2006/relationships/printerSettings" Target="../printerSettings/printerSettings100.bin"/><Relationship Id="rId26" Type="http://schemas.openxmlformats.org/officeDocument/2006/relationships/printerSettings" Target="../printerSettings/printerSettings108.bin"/><Relationship Id="rId3" Type="http://schemas.openxmlformats.org/officeDocument/2006/relationships/printerSettings" Target="../printerSettings/printerSettings85.bin"/><Relationship Id="rId21" Type="http://schemas.openxmlformats.org/officeDocument/2006/relationships/printerSettings" Target="../printerSettings/printerSettings103.bin"/><Relationship Id="rId7" Type="http://schemas.openxmlformats.org/officeDocument/2006/relationships/printerSettings" Target="../printerSettings/printerSettings89.bin"/><Relationship Id="rId12" Type="http://schemas.openxmlformats.org/officeDocument/2006/relationships/printerSettings" Target="../printerSettings/printerSettings94.bin"/><Relationship Id="rId17" Type="http://schemas.openxmlformats.org/officeDocument/2006/relationships/printerSettings" Target="../printerSettings/printerSettings99.bin"/><Relationship Id="rId25" Type="http://schemas.openxmlformats.org/officeDocument/2006/relationships/printerSettings" Target="../printerSettings/printerSettings107.bin"/><Relationship Id="rId33" Type="http://schemas.openxmlformats.org/officeDocument/2006/relationships/drawing" Target="../drawings/drawing4.xml"/><Relationship Id="rId2" Type="http://schemas.openxmlformats.org/officeDocument/2006/relationships/printerSettings" Target="../printerSettings/printerSettings84.bin"/><Relationship Id="rId16" Type="http://schemas.openxmlformats.org/officeDocument/2006/relationships/printerSettings" Target="../printerSettings/printerSettings98.bin"/><Relationship Id="rId20" Type="http://schemas.openxmlformats.org/officeDocument/2006/relationships/printerSettings" Target="../printerSettings/printerSettings102.bin"/><Relationship Id="rId29" Type="http://schemas.openxmlformats.org/officeDocument/2006/relationships/printerSettings" Target="../printerSettings/printerSettings111.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11" Type="http://schemas.openxmlformats.org/officeDocument/2006/relationships/printerSettings" Target="../printerSettings/printerSettings93.bin"/><Relationship Id="rId24" Type="http://schemas.openxmlformats.org/officeDocument/2006/relationships/printerSettings" Target="../printerSettings/printerSettings106.bin"/><Relationship Id="rId32" Type="http://schemas.openxmlformats.org/officeDocument/2006/relationships/printerSettings" Target="../printerSettings/printerSettings114.bin"/><Relationship Id="rId5" Type="http://schemas.openxmlformats.org/officeDocument/2006/relationships/printerSettings" Target="../printerSettings/printerSettings87.bin"/><Relationship Id="rId15" Type="http://schemas.openxmlformats.org/officeDocument/2006/relationships/printerSettings" Target="../printerSettings/printerSettings97.bin"/><Relationship Id="rId23" Type="http://schemas.openxmlformats.org/officeDocument/2006/relationships/printerSettings" Target="../printerSettings/printerSettings105.bin"/><Relationship Id="rId28" Type="http://schemas.openxmlformats.org/officeDocument/2006/relationships/printerSettings" Target="../printerSettings/printerSettings110.bin"/><Relationship Id="rId10" Type="http://schemas.openxmlformats.org/officeDocument/2006/relationships/printerSettings" Target="../printerSettings/printerSettings92.bin"/><Relationship Id="rId19" Type="http://schemas.openxmlformats.org/officeDocument/2006/relationships/printerSettings" Target="../printerSettings/printerSettings101.bin"/><Relationship Id="rId31" Type="http://schemas.openxmlformats.org/officeDocument/2006/relationships/printerSettings" Target="../printerSettings/printerSettings113.bin"/><Relationship Id="rId4" Type="http://schemas.openxmlformats.org/officeDocument/2006/relationships/printerSettings" Target="../printerSettings/printerSettings86.bin"/><Relationship Id="rId9" Type="http://schemas.openxmlformats.org/officeDocument/2006/relationships/printerSettings" Target="../printerSettings/printerSettings91.bin"/><Relationship Id="rId14" Type="http://schemas.openxmlformats.org/officeDocument/2006/relationships/printerSettings" Target="../printerSettings/printerSettings96.bin"/><Relationship Id="rId22" Type="http://schemas.openxmlformats.org/officeDocument/2006/relationships/printerSettings" Target="../printerSettings/printerSettings104.bin"/><Relationship Id="rId27" Type="http://schemas.openxmlformats.org/officeDocument/2006/relationships/printerSettings" Target="../printerSettings/printerSettings109.bin"/><Relationship Id="rId30" Type="http://schemas.openxmlformats.org/officeDocument/2006/relationships/printerSettings" Target="../printerSettings/printerSettings112.bin"/><Relationship Id="rId8" Type="http://schemas.openxmlformats.org/officeDocument/2006/relationships/printerSettings" Target="../printerSettings/printerSettings90.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3" Type="http://schemas.openxmlformats.org/officeDocument/2006/relationships/printerSettings" Target="../printerSettings/printerSettings127.bin"/><Relationship Id="rId18" Type="http://schemas.openxmlformats.org/officeDocument/2006/relationships/printerSettings" Target="../printerSettings/printerSettings132.bin"/><Relationship Id="rId26" Type="http://schemas.openxmlformats.org/officeDocument/2006/relationships/printerSettings" Target="../printerSettings/printerSettings140.bin"/><Relationship Id="rId39" Type="http://schemas.openxmlformats.org/officeDocument/2006/relationships/printerSettings" Target="../printerSettings/printerSettings153.bin"/><Relationship Id="rId21" Type="http://schemas.openxmlformats.org/officeDocument/2006/relationships/printerSettings" Target="../printerSettings/printerSettings135.bin"/><Relationship Id="rId34" Type="http://schemas.openxmlformats.org/officeDocument/2006/relationships/printerSettings" Target="../printerSettings/printerSettings148.bin"/><Relationship Id="rId7" Type="http://schemas.openxmlformats.org/officeDocument/2006/relationships/printerSettings" Target="../printerSettings/printerSettings121.bin"/><Relationship Id="rId12" Type="http://schemas.openxmlformats.org/officeDocument/2006/relationships/printerSettings" Target="../printerSettings/printerSettings126.bin"/><Relationship Id="rId17" Type="http://schemas.openxmlformats.org/officeDocument/2006/relationships/printerSettings" Target="../printerSettings/printerSettings131.bin"/><Relationship Id="rId25" Type="http://schemas.openxmlformats.org/officeDocument/2006/relationships/printerSettings" Target="../printerSettings/printerSettings139.bin"/><Relationship Id="rId33" Type="http://schemas.openxmlformats.org/officeDocument/2006/relationships/printerSettings" Target="../printerSettings/printerSettings147.bin"/><Relationship Id="rId38" Type="http://schemas.openxmlformats.org/officeDocument/2006/relationships/printerSettings" Target="../printerSettings/printerSettings152.bin"/><Relationship Id="rId2" Type="http://schemas.openxmlformats.org/officeDocument/2006/relationships/printerSettings" Target="../printerSettings/printerSettings116.bin"/><Relationship Id="rId16" Type="http://schemas.openxmlformats.org/officeDocument/2006/relationships/printerSettings" Target="../printerSettings/printerSettings130.bin"/><Relationship Id="rId20" Type="http://schemas.openxmlformats.org/officeDocument/2006/relationships/printerSettings" Target="../printerSettings/printerSettings134.bin"/><Relationship Id="rId29" Type="http://schemas.openxmlformats.org/officeDocument/2006/relationships/printerSettings" Target="../printerSettings/printerSettings143.bin"/><Relationship Id="rId1" Type="http://schemas.openxmlformats.org/officeDocument/2006/relationships/printerSettings" Target="../printerSettings/printerSettings115.bin"/><Relationship Id="rId6" Type="http://schemas.openxmlformats.org/officeDocument/2006/relationships/printerSettings" Target="../printerSettings/printerSettings120.bin"/><Relationship Id="rId11" Type="http://schemas.openxmlformats.org/officeDocument/2006/relationships/printerSettings" Target="../printerSettings/printerSettings125.bin"/><Relationship Id="rId24" Type="http://schemas.openxmlformats.org/officeDocument/2006/relationships/printerSettings" Target="../printerSettings/printerSettings138.bin"/><Relationship Id="rId32" Type="http://schemas.openxmlformats.org/officeDocument/2006/relationships/printerSettings" Target="../printerSettings/printerSettings146.bin"/><Relationship Id="rId37" Type="http://schemas.openxmlformats.org/officeDocument/2006/relationships/printerSettings" Target="../printerSettings/printerSettings151.bin"/><Relationship Id="rId40" Type="http://schemas.openxmlformats.org/officeDocument/2006/relationships/drawing" Target="../drawings/drawing6.xml"/><Relationship Id="rId5" Type="http://schemas.openxmlformats.org/officeDocument/2006/relationships/printerSettings" Target="../printerSettings/printerSettings119.bin"/><Relationship Id="rId15" Type="http://schemas.openxmlformats.org/officeDocument/2006/relationships/printerSettings" Target="../printerSettings/printerSettings129.bin"/><Relationship Id="rId23" Type="http://schemas.openxmlformats.org/officeDocument/2006/relationships/printerSettings" Target="../printerSettings/printerSettings137.bin"/><Relationship Id="rId28" Type="http://schemas.openxmlformats.org/officeDocument/2006/relationships/printerSettings" Target="../printerSettings/printerSettings142.bin"/><Relationship Id="rId36" Type="http://schemas.openxmlformats.org/officeDocument/2006/relationships/printerSettings" Target="../printerSettings/printerSettings150.bin"/><Relationship Id="rId10" Type="http://schemas.openxmlformats.org/officeDocument/2006/relationships/printerSettings" Target="../printerSettings/printerSettings124.bin"/><Relationship Id="rId19" Type="http://schemas.openxmlformats.org/officeDocument/2006/relationships/printerSettings" Target="../printerSettings/printerSettings133.bin"/><Relationship Id="rId31" Type="http://schemas.openxmlformats.org/officeDocument/2006/relationships/printerSettings" Target="../printerSettings/printerSettings145.bin"/><Relationship Id="rId4" Type="http://schemas.openxmlformats.org/officeDocument/2006/relationships/printerSettings" Target="../printerSettings/printerSettings118.bin"/><Relationship Id="rId9" Type="http://schemas.openxmlformats.org/officeDocument/2006/relationships/printerSettings" Target="../printerSettings/printerSettings123.bin"/><Relationship Id="rId14" Type="http://schemas.openxmlformats.org/officeDocument/2006/relationships/printerSettings" Target="../printerSettings/printerSettings128.bin"/><Relationship Id="rId22" Type="http://schemas.openxmlformats.org/officeDocument/2006/relationships/printerSettings" Target="../printerSettings/printerSettings136.bin"/><Relationship Id="rId27" Type="http://schemas.openxmlformats.org/officeDocument/2006/relationships/printerSettings" Target="../printerSettings/printerSettings141.bin"/><Relationship Id="rId30" Type="http://schemas.openxmlformats.org/officeDocument/2006/relationships/printerSettings" Target="../printerSettings/printerSettings144.bin"/><Relationship Id="rId35" Type="http://schemas.openxmlformats.org/officeDocument/2006/relationships/printerSettings" Target="../printerSettings/printerSettings149.bin"/><Relationship Id="rId8" Type="http://schemas.openxmlformats.org/officeDocument/2006/relationships/printerSettings" Target="../printerSettings/printerSettings122.bin"/><Relationship Id="rId3" Type="http://schemas.openxmlformats.org/officeDocument/2006/relationships/printerSettings" Target="../printerSettings/printerSettings11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4.bin"/></Relationships>
</file>

<file path=xl/worksheets/_rels/sheet10.xml.rels><?xml version="1.0" encoding="UTF-8" standalone="yes"?>
<Relationships xmlns="http://schemas.openxmlformats.org/package/2006/relationships"><Relationship Id="rId13" Type="http://schemas.openxmlformats.org/officeDocument/2006/relationships/printerSettings" Target="../printerSettings/printerSettings167.bin"/><Relationship Id="rId18" Type="http://schemas.openxmlformats.org/officeDocument/2006/relationships/printerSettings" Target="../printerSettings/printerSettings172.bin"/><Relationship Id="rId26" Type="http://schemas.openxmlformats.org/officeDocument/2006/relationships/printerSettings" Target="../printerSettings/printerSettings180.bin"/><Relationship Id="rId21" Type="http://schemas.openxmlformats.org/officeDocument/2006/relationships/printerSettings" Target="../printerSettings/printerSettings175.bin"/><Relationship Id="rId34" Type="http://schemas.openxmlformats.org/officeDocument/2006/relationships/printerSettings" Target="../printerSettings/printerSettings188.bin"/><Relationship Id="rId7" Type="http://schemas.openxmlformats.org/officeDocument/2006/relationships/printerSettings" Target="../printerSettings/printerSettings161.bin"/><Relationship Id="rId12" Type="http://schemas.openxmlformats.org/officeDocument/2006/relationships/printerSettings" Target="../printerSettings/printerSettings166.bin"/><Relationship Id="rId17" Type="http://schemas.openxmlformats.org/officeDocument/2006/relationships/printerSettings" Target="../printerSettings/printerSettings171.bin"/><Relationship Id="rId25" Type="http://schemas.openxmlformats.org/officeDocument/2006/relationships/printerSettings" Target="../printerSettings/printerSettings179.bin"/><Relationship Id="rId33" Type="http://schemas.openxmlformats.org/officeDocument/2006/relationships/printerSettings" Target="../printerSettings/printerSettings187.bin"/><Relationship Id="rId38" Type="http://schemas.openxmlformats.org/officeDocument/2006/relationships/drawing" Target="../drawings/drawing9.xml"/><Relationship Id="rId2" Type="http://schemas.openxmlformats.org/officeDocument/2006/relationships/printerSettings" Target="../printerSettings/printerSettings156.bin"/><Relationship Id="rId16" Type="http://schemas.openxmlformats.org/officeDocument/2006/relationships/printerSettings" Target="../printerSettings/printerSettings170.bin"/><Relationship Id="rId20" Type="http://schemas.openxmlformats.org/officeDocument/2006/relationships/printerSettings" Target="../printerSettings/printerSettings174.bin"/><Relationship Id="rId29" Type="http://schemas.openxmlformats.org/officeDocument/2006/relationships/printerSettings" Target="../printerSettings/printerSettings183.bin"/><Relationship Id="rId1" Type="http://schemas.openxmlformats.org/officeDocument/2006/relationships/printerSettings" Target="../printerSettings/printerSettings155.bin"/><Relationship Id="rId6" Type="http://schemas.openxmlformats.org/officeDocument/2006/relationships/printerSettings" Target="../printerSettings/printerSettings160.bin"/><Relationship Id="rId11" Type="http://schemas.openxmlformats.org/officeDocument/2006/relationships/printerSettings" Target="../printerSettings/printerSettings165.bin"/><Relationship Id="rId24" Type="http://schemas.openxmlformats.org/officeDocument/2006/relationships/printerSettings" Target="../printerSettings/printerSettings178.bin"/><Relationship Id="rId32" Type="http://schemas.openxmlformats.org/officeDocument/2006/relationships/printerSettings" Target="../printerSettings/printerSettings186.bin"/><Relationship Id="rId37" Type="http://schemas.openxmlformats.org/officeDocument/2006/relationships/printerSettings" Target="../printerSettings/printerSettings191.bin"/><Relationship Id="rId5" Type="http://schemas.openxmlformats.org/officeDocument/2006/relationships/printerSettings" Target="../printerSettings/printerSettings159.bin"/><Relationship Id="rId15" Type="http://schemas.openxmlformats.org/officeDocument/2006/relationships/printerSettings" Target="../printerSettings/printerSettings169.bin"/><Relationship Id="rId23" Type="http://schemas.openxmlformats.org/officeDocument/2006/relationships/printerSettings" Target="../printerSettings/printerSettings177.bin"/><Relationship Id="rId28" Type="http://schemas.openxmlformats.org/officeDocument/2006/relationships/printerSettings" Target="../printerSettings/printerSettings182.bin"/><Relationship Id="rId36" Type="http://schemas.openxmlformats.org/officeDocument/2006/relationships/printerSettings" Target="../printerSettings/printerSettings190.bin"/><Relationship Id="rId10" Type="http://schemas.openxmlformats.org/officeDocument/2006/relationships/printerSettings" Target="../printerSettings/printerSettings164.bin"/><Relationship Id="rId19" Type="http://schemas.openxmlformats.org/officeDocument/2006/relationships/printerSettings" Target="../printerSettings/printerSettings173.bin"/><Relationship Id="rId31" Type="http://schemas.openxmlformats.org/officeDocument/2006/relationships/printerSettings" Target="../printerSettings/printerSettings185.bin"/><Relationship Id="rId4" Type="http://schemas.openxmlformats.org/officeDocument/2006/relationships/printerSettings" Target="../printerSettings/printerSettings158.bin"/><Relationship Id="rId9" Type="http://schemas.openxmlformats.org/officeDocument/2006/relationships/printerSettings" Target="../printerSettings/printerSettings163.bin"/><Relationship Id="rId14" Type="http://schemas.openxmlformats.org/officeDocument/2006/relationships/printerSettings" Target="../printerSettings/printerSettings168.bin"/><Relationship Id="rId22" Type="http://schemas.openxmlformats.org/officeDocument/2006/relationships/printerSettings" Target="../printerSettings/printerSettings176.bin"/><Relationship Id="rId27" Type="http://schemas.openxmlformats.org/officeDocument/2006/relationships/printerSettings" Target="../printerSettings/printerSettings181.bin"/><Relationship Id="rId30" Type="http://schemas.openxmlformats.org/officeDocument/2006/relationships/printerSettings" Target="../printerSettings/printerSettings184.bin"/><Relationship Id="rId35" Type="http://schemas.openxmlformats.org/officeDocument/2006/relationships/printerSettings" Target="../printerSettings/printerSettings189.bin"/><Relationship Id="rId8" Type="http://schemas.openxmlformats.org/officeDocument/2006/relationships/printerSettings" Target="../printerSettings/printerSettings162.bin"/><Relationship Id="rId3" Type="http://schemas.openxmlformats.org/officeDocument/2006/relationships/printerSettings" Target="../printerSettings/printerSettings15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Q26"/>
  <sheetViews>
    <sheetView topLeftCell="A14" zoomScale="93" zoomScaleNormal="93" workbookViewId="0"/>
  </sheetViews>
  <sheetFormatPr defaultColWidth="9.140625" defaultRowHeight="14.45"/>
  <cols>
    <col min="1" max="16" width="9.140625" style="4"/>
    <col min="17" max="17" width="24.85546875" style="4" customWidth="1"/>
    <col min="18" max="16384" width="9.140625" style="4"/>
  </cols>
  <sheetData>
    <row r="1" spans="1:17">
      <c r="A1" s="41"/>
      <c r="B1" s="41"/>
      <c r="C1" s="41"/>
      <c r="D1" s="41"/>
      <c r="E1" s="41"/>
      <c r="F1" s="41"/>
      <c r="G1" s="41"/>
      <c r="H1" s="41"/>
      <c r="I1" s="41"/>
      <c r="J1" s="41"/>
      <c r="K1" s="41"/>
      <c r="L1" s="41"/>
      <c r="M1" s="41"/>
      <c r="N1" s="41"/>
      <c r="O1" s="41"/>
      <c r="P1" s="41"/>
      <c r="Q1" s="41"/>
    </row>
    <row r="2" spans="1:17">
      <c r="A2" s="41"/>
      <c r="B2" s="41"/>
      <c r="C2" s="41"/>
      <c r="D2" s="41"/>
      <c r="E2" s="41"/>
      <c r="F2" s="41"/>
      <c r="G2" s="41"/>
      <c r="H2" s="41"/>
      <c r="I2" s="41"/>
      <c r="J2" s="41"/>
      <c r="K2" s="41"/>
      <c r="L2" s="41"/>
      <c r="M2" s="41"/>
      <c r="N2" s="41"/>
      <c r="O2" s="41"/>
      <c r="P2" s="41"/>
      <c r="Q2" s="41"/>
    </row>
    <row r="3" spans="1:17" ht="27.75" customHeight="1">
      <c r="A3" s="41"/>
      <c r="B3" s="41"/>
      <c r="C3" s="41"/>
      <c r="D3" s="41"/>
      <c r="E3" s="41"/>
      <c r="F3" s="41"/>
      <c r="G3" s="41"/>
      <c r="H3" s="41"/>
      <c r="I3" s="41"/>
      <c r="J3" s="41"/>
      <c r="K3" s="41"/>
      <c r="L3" s="41"/>
      <c r="M3" s="41"/>
      <c r="N3" s="41"/>
      <c r="O3" s="41"/>
      <c r="P3" s="41"/>
      <c r="Q3" s="41"/>
    </row>
    <row r="4" spans="1:17">
      <c r="A4" s="42"/>
      <c r="B4" s="42"/>
      <c r="C4" s="42"/>
      <c r="D4" s="42"/>
      <c r="E4" s="42"/>
      <c r="F4" s="42"/>
      <c r="G4" s="42"/>
      <c r="H4" s="42"/>
      <c r="I4" s="42"/>
      <c r="J4" s="42"/>
      <c r="K4" s="42"/>
      <c r="L4" s="42"/>
      <c r="M4" s="42"/>
      <c r="N4" s="42"/>
      <c r="O4" s="42"/>
      <c r="P4" s="42"/>
      <c r="Q4" s="42"/>
    </row>
    <row r="5" spans="1:17" ht="27.75" customHeight="1">
      <c r="A5" s="42"/>
      <c r="B5" s="42"/>
      <c r="C5" s="42"/>
      <c r="D5" s="43"/>
      <c r="E5" s="632" t="s">
        <v>0</v>
      </c>
      <c r="F5" s="632"/>
      <c r="G5" s="632"/>
      <c r="H5" s="632"/>
      <c r="I5" s="632"/>
      <c r="J5" s="632"/>
      <c r="K5" s="632"/>
      <c r="L5" s="632"/>
      <c r="M5" s="632"/>
      <c r="N5" s="632"/>
      <c r="O5" s="632"/>
      <c r="P5" s="42"/>
      <c r="Q5" s="42"/>
    </row>
    <row r="6" spans="1:17">
      <c r="A6" s="42"/>
      <c r="B6" s="42"/>
      <c r="C6" s="42"/>
      <c r="D6" s="42"/>
      <c r="E6" s="42"/>
      <c r="F6" s="42"/>
      <c r="G6" s="42"/>
      <c r="H6" s="42"/>
      <c r="I6" s="42"/>
      <c r="J6" s="42"/>
      <c r="K6" s="42"/>
      <c r="L6" s="42"/>
      <c r="M6" s="42"/>
      <c r="N6" s="42"/>
      <c r="O6" s="42"/>
      <c r="P6" s="42"/>
      <c r="Q6" s="42"/>
    </row>
    <row r="7" spans="1:17">
      <c r="A7" s="42"/>
      <c r="B7" s="42"/>
      <c r="C7" s="42"/>
      <c r="D7" s="42"/>
      <c r="E7" s="42"/>
      <c r="F7" s="42"/>
      <c r="G7" s="42"/>
      <c r="H7" s="42"/>
      <c r="I7" s="42"/>
      <c r="J7" s="42"/>
      <c r="K7" s="42"/>
      <c r="L7" s="42"/>
      <c r="M7" s="42"/>
      <c r="N7" s="42"/>
      <c r="O7" s="42"/>
      <c r="P7" s="42"/>
      <c r="Q7" s="42"/>
    </row>
    <row r="8" spans="1:17">
      <c r="A8" s="42"/>
      <c r="B8" s="42"/>
      <c r="C8" s="42"/>
      <c r="D8" s="42"/>
      <c r="E8" s="42"/>
      <c r="F8" s="42"/>
      <c r="G8" s="42"/>
      <c r="H8" s="42"/>
      <c r="I8" s="42"/>
      <c r="J8" s="42"/>
      <c r="K8" s="42"/>
      <c r="L8" s="42"/>
      <c r="M8" s="42"/>
      <c r="N8" s="42"/>
      <c r="O8" s="42"/>
      <c r="P8" s="42"/>
      <c r="Q8" s="42"/>
    </row>
    <row r="9" spans="1:17">
      <c r="A9" s="42"/>
      <c r="B9" s="42"/>
      <c r="C9" s="42"/>
      <c r="D9" s="42"/>
      <c r="E9" s="42"/>
      <c r="F9" s="42"/>
      <c r="G9" s="42"/>
      <c r="H9" s="42"/>
      <c r="I9" s="42"/>
      <c r="J9" s="42"/>
      <c r="K9" s="42"/>
      <c r="L9" s="42"/>
      <c r="M9" s="42"/>
      <c r="N9" s="42"/>
      <c r="O9" s="42"/>
      <c r="P9" s="42"/>
      <c r="Q9" s="42"/>
    </row>
    <row r="10" spans="1:17">
      <c r="A10" s="42"/>
      <c r="B10" s="42"/>
      <c r="C10" s="42"/>
      <c r="D10" s="42"/>
      <c r="E10" s="42"/>
      <c r="F10" s="42"/>
      <c r="G10" s="42"/>
      <c r="H10" s="42"/>
      <c r="I10" s="42"/>
      <c r="J10" s="42"/>
      <c r="K10" s="42"/>
      <c r="L10" s="42"/>
      <c r="M10" s="42"/>
      <c r="N10" s="42"/>
      <c r="O10" s="42"/>
      <c r="P10" s="42"/>
      <c r="Q10" s="42"/>
    </row>
    <row r="11" spans="1:17">
      <c r="A11" s="42"/>
      <c r="B11" s="42"/>
      <c r="C11" s="42"/>
      <c r="D11" s="42"/>
      <c r="E11" s="42"/>
      <c r="F11" s="42"/>
      <c r="G11" s="42"/>
      <c r="H11" s="42"/>
      <c r="I11" s="42"/>
      <c r="J11" s="42"/>
      <c r="K11" s="42"/>
      <c r="L11" s="42"/>
      <c r="M11" s="42"/>
      <c r="N11" s="42"/>
      <c r="O11" s="42"/>
      <c r="P11" s="42"/>
      <c r="Q11" s="42"/>
    </row>
    <row r="12" spans="1:17">
      <c r="A12" s="42"/>
      <c r="B12" s="42"/>
      <c r="C12" s="42"/>
      <c r="D12" s="42"/>
      <c r="E12" s="42"/>
      <c r="F12" s="42"/>
      <c r="G12" s="42"/>
      <c r="H12" s="42"/>
      <c r="I12" s="42"/>
      <c r="J12" s="42"/>
      <c r="K12" s="42"/>
      <c r="L12" s="42"/>
      <c r="M12" s="42"/>
      <c r="N12" s="42"/>
      <c r="O12" s="42"/>
      <c r="P12" s="42"/>
      <c r="Q12" s="42"/>
    </row>
    <row r="13" spans="1:17">
      <c r="A13" s="42"/>
      <c r="B13" s="42"/>
      <c r="C13" s="42"/>
      <c r="D13" s="42"/>
      <c r="E13" s="42"/>
      <c r="F13" s="42"/>
      <c r="G13" s="42"/>
      <c r="H13" s="42"/>
      <c r="I13" s="42"/>
      <c r="J13" s="42"/>
      <c r="K13" s="42"/>
      <c r="L13" s="42"/>
      <c r="M13" s="42"/>
      <c r="N13" s="42"/>
      <c r="O13" s="42"/>
      <c r="P13" s="42"/>
      <c r="Q13" s="42"/>
    </row>
    <row r="14" spans="1:17">
      <c r="A14" s="42"/>
      <c r="B14" s="42"/>
      <c r="C14" s="42"/>
      <c r="D14" s="42"/>
      <c r="E14" s="42"/>
      <c r="F14" s="42"/>
      <c r="G14" s="42"/>
      <c r="H14" s="42"/>
      <c r="I14" s="42"/>
      <c r="J14" s="42"/>
      <c r="K14" s="42"/>
      <c r="L14" s="42"/>
      <c r="M14" s="42"/>
      <c r="N14" s="42"/>
      <c r="O14" s="42"/>
      <c r="P14" s="42"/>
      <c r="Q14" s="42"/>
    </row>
    <row r="15" spans="1:17">
      <c r="A15" s="42"/>
      <c r="B15" s="42"/>
      <c r="C15" s="42"/>
      <c r="D15" s="42"/>
      <c r="E15" s="42"/>
      <c r="F15" s="42"/>
      <c r="G15" s="42"/>
      <c r="H15" s="42"/>
      <c r="I15" s="42"/>
      <c r="J15" s="42"/>
      <c r="K15" s="42"/>
      <c r="L15" s="42"/>
      <c r="M15" s="42"/>
      <c r="N15" s="42"/>
      <c r="O15" s="42"/>
      <c r="P15" s="42"/>
      <c r="Q15" s="42"/>
    </row>
    <row r="16" spans="1:17">
      <c r="A16" s="42"/>
      <c r="B16" s="44"/>
      <c r="C16" s="44"/>
      <c r="D16" s="45"/>
      <c r="E16" s="44"/>
      <c r="F16" s="44"/>
      <c r="G16" s="45"/>
      <c r="H16" s="44"/>
      <c r="I16" s="44"/>
      <c r="J16" s="45"/>
      <c r="K16" s="44"/>
      <c r="L16" s="44"/>
      <c r="M16" s="44"/>
      <c r="N16" s="42"/>
      <c r="O16" s="42"/>
      <c r="P16" s="42"/>
      <c r="Q16" s="42"/>
    </row>
    <row r="17" spans="1:17">
      <c r="A17" s="42"/>
      <c r="B17" s="42"/>
      <c r="C17" s="42"/>
      <c r="D17" s="42"/>
      <c r="E17" s="42"/>
      <c r="F17" s="42"/>
      <c r="G17" s="42"/>
      <c r="H17" s="42"/>
      <c r="I17" s="42"/>
      <c r="J17" s="42"/>
      <c r="K17" s="42"/>
      <c r="L17" s="42"/>
      <c r="M17" s="42"/>
      <c r="N17" s="42"/>
      <c r="O17" s="42"/>
      <c r="P17" s="42"/>
      <c r="Q17" s="42"/>
    </row>
    <row r="18" spans="1:17">
      <c r="A18" s="42"/>
      <c r="B18" s="42"/>
      <c r="C18" s="42"/>
      <c r="D18" s="42"/>
      <c r="E18" s="42"/>
      <c r="F18" s="42"/>
      <c r="G18" s="42"/>
      <c r="H18" s="42"/>
      <c r="I18" s="42"/>
      <c r="J18" s="42"/>
      <c r="K18" s="42"/>
      <c r="L18" s="42"/>
      <c r="M18" s="42"/>
      <c r="N18" s="42"/>
      <c r="O18" s="42"/>
      <c r="P18" s="42"/>
      <c r="Q18" s="42"/>
    </row>
    <row r="19" spans="1:17">
      <c r="A19" s="42"/>
      <c r="B19" s="42"/>
      <c r="C19" s="42"/>
      <c r="D19" s="42"/>
      <c r="E19" s="42"/>
      <c r="F19" s="42"/>
      <c r="G19" s="42"/>
      <c r="H19" s="42"/>
      <c r="I19" s="42"/>
      <c r="J19" s="42"/>
      <c r="K19" s="42"/>
      <c r="L19" s="42"/>
      <c r="M19" s="42"/>
      <c r="N19" s="42"/>
      <c r="O19" s="42"/>
      <c r="P19" s="42"/>
      <c r="Q19" s="42"/>
    </row>
    <row r="20" spans="1:17">
      <c r="A20" s="42"/>
      <c r="B20" s="42"/>
      <c r="C20" s="42"/>
      <c r="D20" s="42"/>
      <c r="E20" s="42"/>
      <c r="F20" s="42"/>
      <c r="G20" s="42"/>
      <c r="H20" s="42"/>
      <c r="I20" s="42"/>
      <c r="J20" s="42"/>
      <c r="K20" s="42"/>
      <c r="L20" s="42"/>
      <c r="M20" s="42"/>
      <c r="N20" s="42"/>
      <c r="O20" s="42"/>
      <c r="P20" s="42"/>
      <c r="Q20" s="42"/>
    </row>
    <row r="21" spans="1:17">
      <c r="A21" s="42"/>
      <c r="B21" s="42"/>
      <c r="C21" s="42"/>
      <c r="D21" s="42"/>
      <c r="E21" s="42"/>
      <c r="F21" s="42"/>
      <c r="G21" s="42"/>
      <c r="H21" s="42"/>
      <c r="I21" s="42"/>
      <c r="J21" s="42"/>
      <c r="K21" s="42"/>
      <c r="L21" s="42"/>
      <c r="M21" s="42"/>
      <c r="N21" s="42"/>
      <c r="O21" s="42"/>
      <c r="P21" s="42"/>
      <c r="Q21" s="42"/>
    </row>
    <row r="22" spans="1:17">
      <c r="A22" s="42"/>
      <c r="B22" s="42"/>
      <c r="C22" s="42"/>
      <c r="D22" s="42"/>
      <c r="E22" s="42"/>
      <c r="F22" s="42"/>
      <c r="G22" s="42"/>
      <c r="H22" s="42"/>
      <c r="I22" s="42"/>
      <c r="J22" s="42"/>
      <c r="K22" s="42"/>
      <c r="L22" s="42"/>
      <c r="M22" s="42"/>
      <c r="N22" s="42"/>
      <c r="O22" s="42"/>
      <c r="P22" s="42"/>
      <c r="Q22" s="42"/>
    </row>
    <row r="23" spans="1:17">
      <c r="A23" s="42"/>
      <c r="B23" s="42"/>
      <c r="C23" s="42"/>
      <c r="D23" s="42"/>
      <c r="E23" s="42"/>
      <c r="F23" s="42"/>
      <c r="G23" s="42"/>
      <c r="H23" s="42"/>
      <c r="I23" s="42"/>
      <c r="J23" s="42"/>
      <c r="K23" s="42"/>
      <c r="L23" s="42"/>
      <c r="M23" s="42"/>
      <c r="N23" s="42"/>
      <c r="O23" s="42"/>
      <c r="P23" s="42"/>
      <c r="Q23" s="42"/>
    </row>
    <row r="26" spans="1:17" ht="41.25" customHeight="1"/>
  </sheetData>
  <sheetProtection algorithmName="SHA-512" hashValue="KkYrab4ctvFafM8kbfUsauHH1VHbF4aIfrjWv89we7AixhdE/34cKuaUI/NZ3I6sYhbaw0mamOGMiSJ5DN3kJQ==" saltValue="Qb1u6TY8pmNPtegSIVRxmg==" spinCount="100000" sheet="1" objects="1" scenarios="1"/>
  <customSheetViews>
    <customSheetView guid="{CCCF8C80-0A30-4E00-90E2-6A0478F5DFB8}" scale="115" topLeftCell="A3">
      <pane xSplit="17" ySplit="23" topLeftCell="R26" activePane="bottomRight" state="frozen"/>
      <selection pane="bottomRight"/>
      <pageMargins left="0" right="0" top="0" bottom="0" header="0" footer="0"/>
    </customSheetView>
    <customSheetView guid="{BB76541C-9734-4AE6-BF63-6D073F753C9C}" scale="115" showGridLines="0" topLeftCell="A3">
      <pane xSplit="17" ySplit="25" topLeftCell="R28" activePane="bottomRight" state="frozen"/>
      <selection pane="bottomRight"/>
      <pageMargins left="0" right="0" top="0" bottom="0" header="0" footer="0"/>
      <pageSetup paperSize="9" orientation="portrait" r:id="rId1"/>
    </customSheetView>
    <customSheetView guid="{B5E2B02B-7E99-408C-BB6F-FFF2280098B7}" scale="115" showGridLines="0" topLeftCell="A3">
      <pane xSplit="17" ySplit="25" topLeftCell="R28" activePane="bottomRight" state="frozen"/>
      <selection pane="bottomRight" activeCell="F18" sqref="F18"/>
      <pageMargins left="0" right="0" top="0" bottom="0" header="0" footer="0"/>
      <pageSetup paperSize="9" orientation="portrait" r:id="rId2"/>
    </customSheetView>
    <customSheetView guid="{C2E74EDD-1B26-4C41-B9BB-CBF9BFB9023A}" scale="115" showGridLines="0" topLeftCell="A3">
      <pane xSplit="17" ySplit="24" topLeftCell="R27" activePane="bottomRight" state="frozen"/>
      <selection pane="bottomRight"/>
      <pageMargins left="0" right="0" top="0" bottom="0" header="0" footer="0"/>
      <pageSetup paperSize="9" orientation="portrait" r:id="rId3"/>
    </customSheetView>
    <customSheetView guid="{350D256E-484A-493C-BEC1-E6E92C0ED1FB}" scale="115" showPageBreaks="1" showGridLines="0" topLeftCell="A3">
      <pane xSplit="17" ySplit="23" topLeftCell="R26" activePane="bottomRight" state="frozen"/>
      <selection pane="bottomRight" activeCell="D6" sqref="D6"/>
      <pageMargins left="0" right="0" top="0" bottom="0" header="0" footer="0"/>
      <pageSetup paperSize="9" scale="54" orientation="portrait" r:id="rId4"/>
    </customSheetView>
    <customSheetView guid="{66B043C9-090A-44CE-8F78-F01A2E95C074}" scale="115" showGridLines="0" topLeftCell="A3">
      <pane xSplit="15" ySplit="21" topLeftCell="P24" activePane="bottomRight" state="frozen"/>
      <selection pane="bottomRight"/>
      <pageMargins left="0" right="0" top="0" bottom="0" header="0" footer="0"/>
      <pageSetup paperSize="9" orientation="portrait" r:id="rId5"/>
    </customSheetView>
    <customSheetView guid="{71E28378-5869-4383-8FDC-814E20362E22}" scale="115" showGridLines="0" topLeftCell="A3">
      <pane xSplit="16" ySplit="24" topLeftCell="Q27" activePane="bottomRight" state="frozen"/>
      <selection pane="bottomRight"/>
      <pageMargins left="0" right="0" top="0" bottom="0" header="0" footer="0"/>
      <pageSetup paperSize="9" orientation="portrait" r:id="rId6"/>
    </customSheetView>
    <customSheetView guid="{F714CF42-7A1C-4705-AE29-392CBBABC9F9}" scale="115" showGridLines="0" topLeftCell="A3">
      <pane xSplit="17" ySplit="22" topLeftCell="R25" activePane="bottomRight" state="frozen"/>
      <selection pane="bottomRight"/>
      <pageMargins left="0" right="0" top="0" bottom="0" header="0" footer="0"/>
      <pageSetup paperSize="9" orientation="portrait" r:id="rId7"/>
    </customSheetView>
    <customSheetView guid="{38FBFED3-58FC-4347-B294-953F7A53DE3D}" scale="115" showGridLines="0" topLeftCell="A3">
      <pane xSplit="16" ySplit="24" topLeftCell="Q27" activePane="bottomRight" state="frozen"/>
      <selection pane="bottomRight"/>
      <pageMargins left="0" right="0" top="0" bottom="0" header="0" footer="0"/>
      <pageSetup paperSize="9" orientation="portrait" r:id="rId8"/>
    </customSheetView>
    <customSheetView guid="{693A9131-2702-4FE7-A7C7-E6EDDD138512}" scale="115" showGridLines="0" topLeftCell="A3">
      <pane xSplit="16" ySplit="24" topLeftCell="Q27" activePane="bottomRight" state="frozen"/>
      <selection pane="bottomRight"/>
      <pageMargins left="0" right="0" top="0" bottom="0" header="0" footer="0"/>
      <pageSetup paperSize="9" orientation="portrait" r:id="rId9"/>
    </customSheetView>
    <customSheetView guid="{4748EC4C-81D5-43D5-94BD-A5B223346BCF}" scale="115" showGridLines="0" topLeftCell="A3">
      <pane xSplit="17" ySplit="25" topLeftCell="R28" activePane="bottomRight" state="frozen"/>
      <selection pane="bottomRight"/>
      <pageMargins left="0" right="0" top="0" bottom="0" header="0" footer="0"/>
      <pageSetup paperSize="9" orientation="portrait" r:id="rId10"/>
    </customSheetView>
    <customSheetView guid="{CBDC2B44-0B12-42F6-8A83-327620A020F0}" scale="115" showGridLines="0" topLeftCell="A3">
      <pane xSplit="17" ySplit="25" topLeftCell="R56" activePane="bottomRight" state="frozen"/>
      <selection pane="bottomRight" activeCell="N15" sqref="N15"/>
      <pageMargins left="0" right="0" top="0" bottom="0" header="0" footer="0"/>
      <pageSetup paperSize="9" orientation="portrait" r:id="rId11"/>
    </customSheetView>
    <customSheetView guid="{713A1DD7-FA1F-4623-B0E6-A04686290522}" scale="115" showGridLines="0" topLeftCell="A3">
      <pane xSplit="16" ySplit="23" topLeftCell="R27" activePane="bottomRight" state="frozen"/>
      <selection pane="bottomRight"/>
      <pageMargins left="0" right="0" top="0" bottom="0" header="0" footer="0"/>
      <pageSetup paperSize="9" orientation="portrait" r:id="rId12"/>
    </customSheetView>
    <customSheetView guid="{70843BDF-D655-4848-BCD4-BDFD277BBD35}" scale="115" showGridLines="0" topLeftCell="A3">
      <pane xSplit="17" ySplit="24" topLeftCell="R47" activePane="bottomRight" state="frozen"/>
      <selection pane="bottomRight" activeCell="N15" sqref="N15"/>
      <pageMargins left="0" right="0" top="0" bottom="0" header="0" footer="0"/>
      <pageSetup paperSize="9" orientation="portrait" r:id="rId13"/>
    </customSheetView>
    <customSheetView guid="{8C81953D-A26D-4ACF-9D7D-729107B858BE}" scale="115" showGridLines="0" topLeftCell="A3">
      <pane xSplit="17" ySplit="24" topLeftCell="R27" activePane="bottomRight" state="frozen"/>
      <selection pane="bottomRight"/>
      <pageMargins left="0" right="0" top="0" bottom="0" header="0" footer="0"/>
      <pageSetup paperSize="9" orientation="portrait" r:id="rId14"/>
    </customSheetView>
    <customSheetView guid="{F237F3C3-0F47-464A-8293-D057DA35FD3F}" scale="115" showGridLines="0" topLeftCell="A3">
      <pane xSplit="17" ySplit="24" topLeftCell="R27" activePane="bottomRight" state="frozen"/>
      <selection pane="bottomRight"/>
      <pageMargins left="0" right="0" top="0" bottom="0" header="0" footer="0"/>
      <pageSetup paperSize="9" orientation="portrait" r:id="rId15"/>
    </customSheetView>
    <customSheetView guid="{5867E70C-6837-4B3A-9747-480F77CCE139}" scale="115" showGridLines="0" topLeftCell="A3">
      <pane xSplit="17" ySplit="25" topLeftCell="R28" activePane="bottomRight" state="frozen"/>
      <selection pane="bottomRight"/>
      <pageMargins left="0" right="0" top="0" bottom="0" header="0" footer="0"/>
      <pageSetup paperSize="9" orientation="portrait" r:id="rId16"/>
    </customSheetView>
    <customSheetView guid="{59F2B60C-C5F9-44B8-BC83-94BE106F57C3}" scale="115" showGridLines="0" topLeftCell="A3">
      <pane xSplit="17" ySplit="25" topLeftCell="R28" activePane="bottomRight" state="frozen"/>
      <selection pane="bottomRight"/>
      <pageMargins left="0" right="0" top="0" bottom="0" header="0" footer="0"/>
      <pageSetup paperSize="9" orientation="portrait" r:id="rId17"/>
    </customSheetView>
    <customSheetView guid="{0C0476DE-F4E6-4ADB-B504-A8D8F3A78376}" scale="115" showGridLines="0" topLeftCell="A3">
      <pane xSplit="17" ySplit="24" topLeftCell="R27" activePane="bottomRight" state="frozen"/>
      <selection pane="bottomRight"/>
      <pageMargins left="0" right="0" top="0" bottom="0" header="0" footer="0"/>
      <pageSetup paperSize="9" orientation="portrait" r:id="rId18"/>
    </customSheetView>
    <customSheetView guid="{AAFEB45B-EC48-4A57-9442-3F536E68E653}" scale="115" showGridLines="0" topLeftCell="A3">
      <pane xSplit="17" ySplit="25" topLeftCell="R28" activePane="bottomRight" state="frozen"/>
      <selection pane="bottomRight"/>
      <pageMargins left="0" right="0" top="0" bottom="0" header="0" footer="0"/>
      <pageSetup paperSize="9" orientation="portrait" r:id="rId19"/>
    </customSheetView>
    <customSheetView guid="{18148FBC-4DDD-4025-B982-F009E34B76B6}" scale="115" showGridLines="0" topLeftCell="A3">
      <pane xSplit="17" ySplit="24" topLeftCell="R27" activePane="bottomRight" state="frozen"/>
      <selection pane="bottomRight"/>
      <pageMargins left="0" right="0" top="0" bottom="0" header="0" footer="0"/>
      <pageSetup paperSize="9" orientation="portrait" r:id="rId20"/>
    </customSheetView>
    <customSheetView guid="{45058AEB-0A55-4288-B2D5-D3D1B02DD62F}" scale="115" showGridLines="0" topLeftCell="A3">
      <pane xSplit="17" ySplit="25" topLeftCell="R28" activePane="bottomRight" state="frozen"/>
      <selection pane="bottomRight"/>
      <pageMargins left="0" right="0" top="0" bottom="0" header="0" footer="0"/>
      <pageSetup paperSize="9" orientation="portrait" r:id="rId21"/>
    </customSheetView>
    <customSheetView guid="{0121BC5C-2AA6-4F6C-871B-F5CDF1633F72}" scale="115" showGridLines="0" topLeftCell="A3">
      <pane xSplit="15" ySplit="24" topLeftCell="P27" activePane="bottomRight" state="frozen"/>
      <selection pane="bottomRight"/>
      <pageMargins left="0" right="0" top="0" bottom="0" header="0" footer="0"/>
      <pageSetup paperSize="9" orientation="portrait" r:id="rId22"/>
    </customSheetView>
    <customSheetView guid="{83581ACB-5281-4BE1-9AE2-7BAA59D29A86}" scale="115" showGridLines="0" topLeftCell="A3">
      <pane xSplit="17" ySplit="24" topLeftCell="R27" activePane="bottomRight" state="frozen"/>
      <selection pane="bottomRight"/>
      <pageMargins left="0" right="0" top="0" bottom="0" header="0" footer="0"/>
      <pageSetup paperSize="9" orientation="portrait" r:id="rId23"/>
    </customSheetView>
    <customSheetView guid="{C4E0EA46-0B96-4EC7-979B-F7138E3B8454}" scale="115" showGridLines="0" topLeftCell="A3">
      <pane xSplit="17" ySplit="24" topLeftCell="R27" activePane="bottomRight" state="frozen"/>
      <selection pane="bottomRight"/>
      <pageMargins left="0" right="0" top="0" bottom="0" header="0" footer="0"/>
      <pageSetup paperSize="9" orientation="portrait" r:id="rId24"/>
    </customSheetView>
    <customSheetView guid="{3D410819-5520-4C0F-958E-9FC09D4B42DD}" scale="115" showGridLines="0" topLeftCell="A3">
      <pane xSplit="17" ySplit="23.826086956521738" topLeftCell="R56" activePane="bottomRight" state="frozen"/>
      <selection pane="bottomRight" activeCell="N15" sqref="N15"/>
      <pageMargins left="0" right="0" top="0" bottom="0" header="0" footer="0"/>
      <pageSetup paperSize="9" orientation="portrait" r:id="rId25"/>
    </customSheetView>
    <customSheetView guid="{16402340-B3EF-461B-8AF9-D2FFE7E6BD1B}" scale="115" showGridLines="0" topLeftCell="A3">
      <pane xSplit="17" ySplit="25" topLeftCell="R56" activePane="bottomRight" state="frozen"/>
      <selection pane="bottomRight" activeCell="N15" sqref="N15"/>
      <pageMargins left="0" right="0" top="0" bottom="0" header="0" footer="0"/>
      <pageSetup paperSize="9" orientation="portrait" r:id="rId26"/>
    </customSheetView>
    <customSheetView guid="{EA7DCB4E-60E8-4E16-A16D-6D297CA2C1EC}" scale="115" showGridLines="0" topLeftCell="A3">
      <pane xSplit="17" ySplit="24" topLeftCell="R27" activePane="bottomRight" state="frozen"/>
      <selection pane="bottomRight"/>
      <pageMargins left="0" right="0" top="0" bottom="0" header="0" footer="0"/>
      <pageSetup paperSize="9" orientation="portrait" r:id="rId27"/>
    </customSheetView>
    <customSheetView guid="{CB25E97E-E1F7-40D2-96CC-9C5F1ECB4FCD}" scale="115" showGridLines="0" topLeftCell="A3">
      <pane xSplit="17" ySplit="25" topLeftCell="R28" activePane="bottomRight" state="frozen"/>
      <selection pane="bottomRight" activeCell="E15" sqref="E15:F15"/>
      <pageMargins left="0" right="0" top="0" bottom="0" header="0" footer="0"/>
      <pageSetup paperSize="9" orientation="portrait" r:id="rId28"/>
    </customSheetView>
    <customSheetView guid="{99844124-CC26-41CC-BF01-C430840B6A11}" scale="115" showGridLines="0" topLeftCell="A3">
      <pane xSplit="17" ySplit="24" topLeftCell="R27" activePane="bottomRight" state="frozen"/>
      <selection pane="bottomRight"/>
      <pageMargins left="0" right="0" top="0" bottom="0" header="0" footer="0"/>
      <pageSetup paperSize="9" orientation="portrait" r:id="rId29"/>
    </customSheetView>
    <customSheetView guid="{57A1ECFE-977E-4E0D-86F8-5E397B58E2E7}" scale="115" showGridLines="0" topLeftCell="A3">
      <pane xSplit="17" ySplit="23" topLeftCell="R26" activePane="bottomRight" state="frozen"/>
      <selection pane="bottomRight"/>
      <pageMargins left="0" right="0" top="0" bottom="0" header="0" footer="0"/>
      <pageSetup paperSize="9" orientation="portrait" r:id="rId30"/>
    </customSheetView>
    <customSheetView guid="{4928B0BF-3605-4228-B5EA-B9EFCB2DA176}" scale="115" showGridLines="0" topLeftCell="A3">
      <pane xSplit="17" ySplit="24" topLeftCell="R27" activePane="bottomRight" state="frozen"/>
      <selection pane="bottomRight"/>
      <pageMargins left="0" right="0" top="0" bottom="0" header="0" footer="0"/>
      <pageSetup paperSize="9" orientation="portrait" r:id="rId31"/>
    </customSheetView>
    <customSheetView guid="{3BD3E38B-E288-4CCF-9EE9-3A5263D49C28}" scale="115" showGridLines="0" topLeftCell="A3">
      <pane xSplit="16" ySplit="22" topLeftCell="Q27" activePane="bottomRight" state="frozen"/>
      <selection pane="bottomRight"/>
      <pageMargins left="0" right="0" top="0" bottom="0" header="0" footer="0"/>
      <pageSetup paperSize="9" orientation="portrait" r:id="rId32"/>
    </customSheetView>
    <customSheetView guid="{C77CCEB6-690D-489F-B3AF-2BAA99B10E03}" scale="115" showGridLines="0" topLeftCell="A3">
      <pane xSplit="16" ySplit="24" topLeftCell="Q27" activePane="bottomRight" state="frozen"/>
      <selection pane="bottomRight"/>
      <pageMargins left="0" right="0" top="0" bottom="0" header="0" footer="0"/>
      <pageSetup paperSize="9" orientation="portrait" r:id="rId33"/>
    </customSheetView>
    <customSheetView guid="{DEFA81B0-B3DE-4E04-AE8D-48B1B85AD3F3}" scale="115" showGridLines="0" topLeftCell="A3">
      <pane xSplit="17" ySplit="24" topLeftCell="R27" activePane="bottomRight" state="frozen"/>
      <selection pane="bottomRight"/>
      <pageMargins left="0" right="0" top="0" bottom="0" header="0" footer="0"/>
      <pageSetup paperSize="9" orientation="portrait" r:id="rId34"/>
    </customSheetView>
    <customSheetView guid="{59668F56-2642-434E-822C-BDA8586DAA1D}" scale="115" showGridLines="0" topLeftCell="A3">
      <pane xSplit="17" ySplit="25" topLeftCell="R28" activePane="bottomRight" state="frozen"/>
      <selection pane="bottomRight"/>
      <pageMargins left="0" right="0" top="0" bottom="0" header="0" footer="0"/>
      <pageSetup paperSize="9" orientation="portrait" r:id="rId35"/>
    </customSheetView>
    <customSheetView guid="{A9DC904F-863E-4EE0-A626-0795983927A7}" scale="115" showGridLines="0" showRowCol="0" topLeftCell="A3">
      <pane xSplit="17" ySplit="23" topLeftCell="R26" activePane="bottomRight" state="frozen"/>
      <selection pane="bottomRight"/>
      <pageMargins left="0" right="0" top="0" bottom="0" header="0" footer="0"/>
      <pageSetup paperSize="9" orientation="portrait" r:id="rId36"/>
    </customSheetView>
    <customSheetView guid="{E8ADB739-37E9-4E75-B31D-C7B374D790E1}" scale="115" showGridLines="0" topLeftCell="A3">
      <pane xSplit="15" ySplit="22" topLeftCell="R56" activePane="bottomRight" state="frozen"/>
      <selection pane="bottomRight" activeCell="N15" sqref="N15"/>
      <pageMargins left="0" right="0" top="0" bottom="0" header="0" footer="0"/>
      <pageSetup paperSize="9" orientation="portrait" r:id="rId37"/>
    </customSheetView>
    <customSheetView guid="{875BCD04-10B9-4BB6-BBE5-9B2301DD2EC9}" scale="115" showGridLines="0" topLeftCell="A3">
      <pane xSplit="17" ySplit="25" topLeftCell="R28" activePane="bottomRight" state="frozen"/>
      <selection pane="bottomRight"/>
      <pageMargins left="0" right="0" top="0" bottom="0" header="0" footer="0"/>
      <pageSetup paperSize="9" orientation="portrait" r:id="rId38"/>
    </customSheetView>
    <customSheetView guid="{681A0256-766F-4C32-B8C6-D64468E2450A}" scale="115" showGridLines="0" showRowCol="0" topLeftCell="A3">
      <pane xSplit="17" ySplit="23" topLeftCell="R26" activePane="bottomRight" state="frozen"/>
      <selection pane="bottomRight"/>
      <pageMargins left="0" right="0" top="0" bottom="0" header="0" footer="0"/>
    </customSheetView>
  </customSheetViews>
  <mergeCells count="1">
    <mergeCell ref="E5:O5"/>
  </mergeCells>
  <pageMargins left="0.78740157499999996" right="0.78740157499999996" top="0.984251969" bottom="0.984251969" header="0.4921259845" footer="0.4921259845"/>
  <drawing r:id="rId3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dimension ref="A1"/>
  <sheetViews>
    <sheetView workbookViewId="0">
      <selection activeCell="C24" sqref="C24"/>
    </sheetView>
  </sheetViews>
  <sheetFormatPr defaultRowHeight="14.45"/>
  <sheetData/>
  <customSheetViews>
    <customSheetView guid="{CCCF8C80-0A30-4E00-90E2-6A0478F5DFB8}" state="hidden">
      <pageMargins left="0" right="0" top="0" bottom="0" header="0" footer="0"/>
    </customSheetView>
    <customSheetView guid="{BB76541C-9734-4AE6-BF63-6D073F753C9C}" state="hidden">
      <pageMargins left="0" right="0" top="0" bottom="0" header="0" footer="0"/>
    </customSheetView>
    <customSheetView guid="{B5E2B02B-7E99-408C-BB6F-FFF2280098B7}" state="hidden">
      <pageMargins left="0" right="0" top="0" bottom="0" header="0" footer="0"/>
    </customSheetView>
    <customSheetView guid="{C2E74EDD-1B26-4C41-B9BB-CBF9BFB9023A}" state="hidden">
      <pageMargins left="0" right="0" top="0" bottom="0" header="0" footer="0"/>
    </customSheetView>
    <customSheetView guid="{350D256E-484A-493C-BEC1-E6E92C0ED1FB}" state="hidden">
      <pageMargins left="0" right="0" top="0" bottom="0" header="0" footer="0"/>
    </customSheetView>
    <customSheetView guid="{66B043C9-090A-44CE-8F78-F01A2E95C074}" state="hidden">
      <pageMargins left="0" right="0" top="0" bottom="0" header="0" footer="0"/>
    </customSheetView>
    <customSheetView guid="{71E28378-5869-4383-8FDC-814E20362E22}" state="hidden">
      <pageMargins left="0" right="0" top="0" bottom="0" header="0" footer="0"/>
    </customSheetView>
    <customSheetView guid="{F714CF42-7A1C-4705-AE29-392CBBABC9F9}" state="hidden">
      <pageMargins left="0" right="0" top="0" bottom="0" header="0" footer="0"/>
    </customSheetView>
    <customSheetView guid="{38FBFED3-58FC-4347-B294-953F7A53DE3D}" state="hidden">
      <pageMargins left="0" right="0" top="0" bottom="0" header="0" footer="0"/>
    </customSheetView>
    <customSheetView guid="{693A9131-2702-4FE7-A7C7-E6EDDD138512}" state="hidden">
      <pageMargins left="0" right="0" top="0" bottom="0" header="0" footer="0"/>
    </customSheetView>
    <customSheetView guid="{4748EC4C-81D5-43D5-94BD-A5B223346BCF}" state="hidden">
      <pageMargins left="0" right="0" top="0" bottom="0" header="0" footer="0"/>
    </customSheetView>
    <customSheetView guid="{CBDC2B44-0B12-42F6-8A83-327620A020F0}" state="hidden">
      <pageMargins left="0" right="0" top="0" bottom="0" header="0" footer="0"/>
    </customSheetView>
    <customSheetView guid="{713A1DD7-FA1F-4623-B0E6-A04686290522}" state="hidden">
      <pageMargins left="0" right="0" top="0" bottom="0" header="0" footer="0"/>
    </customSheetView>
    <customSheetView guid="{70843BDF-D655-4848-BCD4-BDFD277BBD35}" state="hidden">
      <pageMargins left="0" right="0" top="0" bottom="0" header="0" footer="0"/>
    </customSheetView>
    <customSheetView guid="{8C81953D-A26D-4ACF-9D7D-729107B858BE}" state="hidden">
      <pageMargins left="0" right="0" top="0" bottom="0" header="0" footer="0"/>
    </customSheetView>
    <customSheetView guid="{F237F3C3-0F47-464A-8293-D057DA35FD3F}" state="hidden">
      <pageMargins left="0" right="0" top="0" bottom="0" header="0" footer="0"/>
    </customSheetView>
    <customSheetView guid="{5867E70C-6837-4B3A-9747-480F77CCE139}" state="hidden">
      <pageMargins left="0" right="0" top="0" bottom="0" header="0" footer="0"/>
    </customSheetView>
    <customSheetView guid="{59F2B60C-C5F9-44B8-BC83-94BE106F57C3}" state="hidden">
      <pageMargins left="0" right="0" top="0" bottom="0" header="0" footer="0"/>
    </customSheetView>
    <customSheetView guid="{0C0476DE-F4E6-4ADB-B504-A8D8F3A78376}" state="hidden">
      <pageMargins left="0" right="0" top="0" bottom="0" header="0" footer="0"/>
    </customSheetView>
    <customSheetView guid="{AAFEB45B-EC48-4A57-9442-3F536E68E653}" state="hidden">
      <pageMargins left="0" right="0" top="0" bottom="0" header="0" footer="0"/>
    </customSheetView>
    <customSheetView guid="{18148FBC-4DDD-4025-B982-F009E34B76B6}" state="hidden">
      <pageMargins left="0" right="0" top="0" bottom="0" header="0" footer="0"/>
    </customSheetView>
    <customSheetView guid="{45058AEB-0A55-4288-B2D5-D3D1B02DD62F}" state="hidden">
      <pageMargins left="0" right="0" top="0" bottom="0" header="0" footer="0"/>
    </customSheetView>
    <customSheetView guid="{0121BC5C-2AA6-4F6C-871B-F5CDF1633F72}" state="hidden">
      <pageMargins left="0" right="0" top="0" bottom="0" header="0" footer="0"/>
    </customSheetView>
    <customSheetView guid="{83581ACB-5281-4BE1-9AE2-7BAA59D29A86}" state="hidden">
      <pageMargins left="0" right="0" top="0" bottom="0" header="0" footer="0"/>
    </customSheetView>
    <customSheetView guid="{C4E0EA46-0B96-4EC7-979B-F7138E3B8454}" state="hidden">
      <pageMargins left="0" right="0" top="0" bottom="0" header="0" footer="0"/>
    </customSheetView>
    <customSheetView guid="{3D410819-5520-4C0F-958E-9FC09D4B42DD}" state="hidden">
      <pageMargins left="0" right="0" top="0" bottom="0" header="0" footer="0"/>
    </customSheetView>
    <customSheetView guid="{16402340-B3EF-461B-8AF9-D2FFE7E6BD1B}" state="hidden">
      <pageMargins left="0" right="0" top="0" bottom="0" header="0" footer="0"/>
    </customSheetView>
    <customSheetView guid="{EA7DCB4E-60E8-4E16-A16D-6D297CA2C1EC}" state="hidden">
      <pageMargins left="0" right="0" top="0" bottom="0" header="0" footer="0"/>
    </customSheetView>
    <customSheetView guid="{CB25E97E-E1F7-40D2-96CC-9C5F1ECB4FCD}" state="hidden">
      <pageMargins left="0" right="0" top="0" bottom="0" header="0" footer="0"/>
    </customSheetView>
    <customSheetView guid="{99844124-CC26-41CC-BF01-C430840B6A11}" state="hidden">
      <pageMargins left="0" right="0" top="0" bottom="0" header="0" footer="0"/>
    </customSheetView>
    <customSheetView guid="{57A1ECFE-977E-4E0D-86F8-5E397B58E2E7}" state="hidden">
      <pageMargins left="0" right="0" top="0" bottom="0" header="0" footer="0"/>
    </customSheetView>
    <customSheetView guid="{4928B0BF-3605-4228-B5EA-B9EFCB2DA176}" state="hidden">
      <pageMargins left="0" right="0" top="0" bottom="0" header="0" footer="0"/>
    </customSheetView>
    <customSheetView guid="{3BD3E38B-E288-4CCF-9EE9-3A5263D49C28}" state="hidden">
      <pageMargins left="0" right="0" top="0" bottom="0" header="0" footer="0"/>
    </customSheetView>
    <customSheetView guid="{C77CCEB6-690D-489F-B3AF-2BAA99B10E03}" state="hidden">
      <pageMargins left="0" right="0" top="0" bottom="0" header="0" footer="0"/>
    </customSheetView>
    <customSheetView guid="{DEFA81B0-B3DE-4E04-AE8D-48B1B85AD3F3}" state="hidden">
      <pageMargins left="0" right="0" top="0" bottom="0" header="0" footer="0"/>
    </customSheetView>
    <customSheetView guid="{59668F56-2642-434E-822C-BDA8586DAA1D}" state="hidden">
      <pageMargins left="0" right="0" top="0" bottom="0" header="0" footer="0"/>
    </customSheetView>
    <customSheetView guid="{A9DC904F-863E-4EE0-A626-0795983927A7}" state="hidden">
      <pageMargins left="0" right="0" top="0" bottom="0" header="0" footer="0"/>
    </customSheetView>
    <customSheetView guid="{E8ADB739-37E9-4E75-B31D-C7B374D790E1}" state="hidden">
      <pageMargins left="0" right="0" top="0" bottom="0" header="0" footer="0"/>
    </customSheetView>
    <customSheetView guid="{875BCD04-10B9-4BB6-BBE5-9B2301DD2EC9}" state="hidden">
      <pageMargins left="0" right="0" top="0" bottom="0" header="0" footer="0"/>
    </customSheetView>
    <customSheetView guid="{681A0256-766F-4C32-B8C6-D64468E2450A}" state="hidden">
      <pageMargins left="0" right="0" top="0" bottom="0" header="0" footer="0"/>
    </customSheetView>
  </customSheetViews>
  <pageMargins left="0.78740157499999996" right="0.78740157499999996" top="0.984251969" bottom="0.984251969" header="0.4921259845" footer="0.492125984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AD42"/>
  <sheetViews>
    <sheetView zoomScale="90" zoomScaleNormal="90" workbookViewId="0">
      <pane ySplit="4" topLeftCell="A5" activePane="bottomLeft" state="frozen"/>
      <selection pane="bottomLeft" activeCell="L29" sqref="L29"/>
    </sheetView>
  </sheetViews>
  <sheetFormatPr defaultRowHeight="14.45"/>
  <cols>
    <col min="1" max="1" width="12.85546875" customWidth="1"/>
    <col min="2" max="2" width="12.28515625" customWidth="1"/>
    <col min="4" max="4" width="9.5703125" bestFit="1" customWidth="1"/>
    <col min="5" max="5" width="10.5703125" style="110" customWidth="1"/>
    <col min="6" max="6" width="1.7109375" customWidth="1"/>
    <col min="7" max="7" width="12.28515625" customWidth="1"/>
    <col min="9" max="9" width="9.5703125" bestFit="1" customWidth="1"/>
    <col min="10" max="10" width="10.7109375" style="110" customWidth="1"/>
    <col min="11" max="11" width="1.85546875" style="110" customWidth="1"/>
    <col min="12" max="12" width="11" customWidth="1"/>
    <col min="13" max="13" width="10.85546875" customWidth="1"/>
    <col min="14" max="14" width="9.5703125" bestFit="1" customWidth="1"/>
    <col min="15" max="15" width="12.5703125" style="1" bestFit="1" customWidth="1"/>
    <col min="16" max="16" width="2" style="1" customWidth="1"/>
    <col min="17" max="18" width="12.5703125" style="1" customWidth="1"/>
    <col min="19" max="19" width="10.28515625" style="1" bestFit="1" customWidth="1"/>
    <col min="20" max="20" width="10.140625" style="1" bestFit="1" customWidth="1"/>
    <col min="21" max="23" width="10.140625" style="1" customWidth="1"/>
    <col min="24" max="25" width="9.140625" style="1"/>
  </cols>
  <sheetData>
    <row r="1" spans="1:30" ht="15" customHeight="1">
      <c r="A1" s="639" t="s">
        <v>1</v>
      </c>
      <c r="B1" s="640"/>
      <c r="C1" s="640"/>
      <c r="D1" s="640"/>
      <c r="E1" s="640"/>
      <c r="F1" s="640"/>
      <c r="G1" s="640"/>
      <c r="H1" s="640"/>
      <c r="I1" s="640"/>
      <c r="J1" s="640"/>
      <c r="K1" s="640"/>
      <c r="L1" s="640"/>
      <c r="M1" s="640"/>
      <c r="N1" s="640"/>
      <c r="O1" s="640"/>
      <c r="P1" s="640"/>
      <c r="Q1" s="640"/>
      <c r="R1" s="641"/>
      <c r="S1" s="5"/>
      <c r="T1" s="5"/>
      <c r="U1" s="5"/>
      <c r="V1" s="5"/>
      <c r="W1" s="5"/>
      <c r="X1" s="5"/>
      <c r="Y1" s="5"/>
      <c r="Z1" s="5"/>
      <c r="AA1" s="5"/>
      <c r="AB1" s="1"/>
      <c r="AC1" s="1"/>
    </row>
    <row r="2" spans="1:30" ht="23.25" customHeight="1" thickBot="1">
      <c r="A2" s="642"/>
      <c r="B2" s="643"/>
      <c r="C2" s="643"/>
      <c r="D2" s="643"/>
      <c r="E2" s="643"/>
      <c r="F2" s="643"/>
      <c r="G2" s="643"/>
      <c r="H2" s="643"/>
      <c r="I2" s="643"/>
      <c r="J2" s="643"/>
      <c r="K2" s="643"/>
      <c r="L2" s="643"/>
      <c r="M2" s="643"/>
      <c r="N2" s="643"/>
      <c r="O2" s="643"/>
      <c r="P2" s="643"/>
      <c r="Q2" s="643"/>
      <c r="R2" s="644"/>
      <c r="S2" s="22" t="s">
        <v>2</v>
      </c>
      <c r="T2" s="22"/>
      <c r="U2" s="22"/>
      <c r="V2" s="22"/>
      <c r="W2" s="22"/>
      <c r="X2" s="22"/>
      <c r="Y2" s="22"/>
      <c r="Z2" s="22"/>
      <c r="AA2" s="1"/>
      <c r="AB2" s="1"/>
      <c r="AC2" s="1"/>
    </row>
    <row r="3" spans="1:30" ht="23.25" customHeight="1" thickBot="1">
      <c r="A3" s="633" t="s">
        <v>3</v>
      </c>
      <c r="B3" s="634"/>
      <c r="C3" s="634"/>
      <c r="D3" s="634"/>
      <c r="E3" s="634"/>
      <c r="F3" s="634"/>
      <c r="G3" s="634"/>
      <c r="H3" s="634"/>
      <c r="I3" s="634"/>
      <c r="J3" s="634"/>
      <c r="K3" s="634"/>
      <c r="L3" s="634"/>
      <c r="M3" s="634"/>
      <c r="N3" s="634"/>
      <c r="O3" s="634"/>
      <c r="P3" s="634"/>
      <c r="Q3" s="634"/>
      <c r="R3" s="635"/>
      <c r="S3" s="22"/>
      <c r="T3" s="22"/>
      <c r="U3" s="22"/>
      <c r="V3" s="22"/>
      <c r="W3" s="22"/>
      <c r="X3" s="22"/>
      <c r="Y3" s="22"/>
      <c r="Z3" s="22"/>
      <c r="AA3" s="1"/>
      <c r="AB3" s="1"/>
      <c r="AC3" s="1"/>
    </row>
    <row r="4" spans="1:30" ht="27.75" customHeight="1" thickBot="1">
      <c r="A4" s="636" t="s">
        <v>4</v>
      </c>
      <c r="B4" s="637"/>
      <c r="C4" s="637"/>
      <c r="D4" s="637"/>
      <c r="E4" s="637"/>
      <c r="F4" s="637"/>
      <c r="G4" s="637"/>
      <c r="H4" s="637"/>
      <c r="I4" s="637"/>
      <c r="J4" s="637"/>
      <c r="K4" s="637"/>
      <c r="L4" s="637"/>
      <c r="M4" s="637"/>
      <c r="N4" s="637"/>
      <c r="O4" s="637"/>
      <c r="P4" s="637"/>
      <c r="Q4" s="637"/>
      <c r="R4" s="638"/>
      <c r="S4" s="1" t="s">
        <v>5</v>
      </c>
      <c r="T4" s="120" t="s">
        <v>6</v>
      </c>
      <c r="U4" s="120"/>
      <c r="V4" s="120"/>
      <c r="W4" s="120"/>
      <c r="X4" s="120" t="s">
        <v>7</v>
      </c>
      <c r="Z4" s="1" t="s">
        <v>8</v>
      </c>
      <c r="AA4" s="1"/>
      <c r="AB4" s="1"/>
      <c r="AC4" s="1"/>
      <c r="AD4" s="5"/>
    </row>
    <row r="5" spans="1:30" ht="15">
      <c r="A5" s="139" t="s">
        <v>5</v>
      </c>
      <c r="B5" s="140" t="s">
        <v>9</v>
      </c>
      <c r="C5" s="141" t="s">
        <v>10</v>
      </c>
      <c r="D5" s="140" t="s">
        <v>11</v>
      </c>
      <c r="E5" s="142" t="s">
        <v>12</v>
      </c>
      <c r="F5" s="109"/>
      <c r="G5" s="143" t="s">
        <v>9</v>
      </c>
      <c r="H5" s="144" t="s">
        <v>10</v>
      </c>
      <c r="I5" s="145" t="s">
        <v>11</v>
      </c>
      <c r="J5" s="146" t="s">
        <v>12</v>
      </c>
      <c r="K5" s="109"/>
      <c r="L5" s="147" t="s">
        <v>9</v>
      </c>
      <c r="M5" s="147" t="s">
        <v>10</v>
      </c>
      <c r="N5" s="147" t="s">
        <v>11</v>
      </c>
      <c r="O5" s="148" t="s">
        <v>12</v>
      </c>
      <c r="P5" s="109"/>
      <c r="Q5" s="180" t="s">
        <v>13</v>
      </c>
      <c r="R5" s="180" t="s">
        <v>14</v>
      </c>
      <c r="S5" s="120"/>
      <c r="T5" s="122" t="s">
        <v>15</v>
      </c>
      <c r="U5" s="122" t="s">
        <v>16</v>
      </c>
      <c r="V5" s="122" t="s">
        <v>17</v>
      </c>
      <c r="W5" s="122" t="s">
        <v>18</v>
      </c>
      <c r="X5" s="120"/>
      <c r="Y5" s="120"/>
      <c r="Z5" s="120"/>
      <c r="AA5" s="1"/>
      <c r="AB5" s="1"/>
      <c r="AC5" s="1"/>
      <c r="AD5" s="5"/>
    </row>
    <row r="6" spans="1:30" ht="15">
      <c r="A6" s="167">
        <v>46274</v>
      </c>
      <c r="B6" s="108" t="s">
        <v>19</v>
      </c>
      <c r="C6" s="151">
        <v>7</v>
      </c>
      <c r="D6" s="152">
        <v>35</v>
      </c>
      <c r="E6" s="168">
        <f>IFERROR((188*60)/((C6*60)+(D6)),"")</f>
        <v>24.791208791208792</v>
      </c>
      <c r="F6" s="109"/>
      <c r="G6" s="107" t="s">
        <v>20</v>
      </c>
      <c r="H6" s="155">
        <v>7</v>
      </c>
      <c r="I6" s="156">
        <v>31</v>
      </c>
      <c r="J6" s="169">
        <f>IFERROR((188*60)/((H6*60)+(I6)),"")</f>
        <v>25.011086474501109</v>
      </c>
      <c r="K6" s="109"/>
      <c r="L6" s="112" t="s">
        <v>21</v>
      </c>
      <c r="M6" s="509"/>
      <c r="N6" s="510"/>
      <c r="O6" s="119" t="str">
        <f>IFERROR((188*60)/((M6*60)+(N6)),"")</f>
        <v/>
      </c>
      <c r="P6" s="109"/>
      <c r="Q6" s="181" t="s">
        <v>22</v>
      </c>
      <c r="R6" s="182">
        <v>126701</v>
      </c>
      <c r="S6" s="120" t="s">
        <v>5</v>
      </c>
      <c r="T6" s="123" t="s">
        <v>12</v>
      </c>
      <c r="U6" s="123" t="s">
        <v>12</v>
      </c>
      <c r="V6" s="123" t="s">
        <v>12</v>
      </c>
      <c r="W6" s="123" t="s">
        <v>12</v>
      </c>
      <c r="X6" s="120" t="s">
        <v>7</v>
      </c>
      <c r="Y6" s="120"/>
      <c r="Z6" s="120" t="s">
        <v>8</v>
      </c>
      <c r="AA6" s="1"/>
      <c r="AB6" s="1"/>
      <c r="AC6" s="1"/>
      <c r="AD6" s="5"/>
    </row>
    <row r="7" spans="1:30" ht="15">
      <c r="A7" s="167">
        <v>46277</v>
      </c>
      <c r="B7" s="108" t="s">
        <v>19</v>
      </c>
      <c r="C7" s="151">
        <v>7</v>
      </c>
      <c r="D7" s="152">
        <v>34</v>
      </c>
      <c r="E7" s="168">
        <f>IFERROR((188*60)/((C7*60)+(D7)),"")</f>
        <v>24.845814977973568</v>
      </c>
      <c r="F7" s="109"/>
      <c r="G7" s="107" t="s">
        <v>20</v>
      </c>
      <c r="H7" s="155">
        <v>7</v>
      </c>
      <c r="I7" s="156">
        <v>32</v>
      </c>
      <c r="J7" s="169">
        <f t="shared" ref="J7:J14" si="0">IFERROR((188*60)/((H7*60)+(I7)),"")</f>
        <v>24.955752212389381</v>
      </c>
      <c r="K7" s="109"/>
      <c r="L7" s="112" t="s">
        <v>23</v>
      </c>
      <c r="M7" s="159"/>
      <c r="N7" s="160"/>
      <c r="O7" s="119" t="str">
        <f t="shared" ref="O7:O14" si="1">IFERROR((188*60)/((M7*60)+(N7)),"")</f>
        <v/>
      </c>
      <c r="P7" s="109"/>
      <c r="Q7" s="181" t="s">
        <v>24</v>
      </c>
      <c r="R7" s="182"/>
      <c r="S7" s="15">
        <f>A6</f>
        <v>46274</v>
      </c>
      <c r="T7" s="121">
        <f>E6</f>
        <v>24.791208791208792</v>
      </c>
      <c r="U7" s="121">
        <f>J6</f>
        <v>25.011086474501109</v>
      </c>
      <c r="V7" s="121">
        <f>J25</f>
        <v>24.742268041237114</v>
      </c>
      <c r="W7" s="121">
        <f>E25</f>
        <v>24.736842105263158</v>
      </c>
      <c r="X7" s="120">
        <v>24</v>
      </c>
      <c r="Y7" s="120"/>
      <c r="Z7" s="120">
        <v>26</v>
      </c>
      <c r="AA7" s="1"/>
      <c r="AB7" s="1"/>
      <c r="AC7" s="1"/>
      <c r="AD7" s="5"/>
    </row>
    <row r="8" spans="1:30" ht="15">
      <c r="A8" s="167">
        <v>46279</v>
      </c>
      <c r="B8" s="108" t="s">
        <v>19</v>
      </c>
      <c r="C8" s="151">
        <v>7</v>
      </c>
      <c r="D8" s="152">
        <v>38</v>
      </c>
      <c r="E8" s="168">
        <f t="shared" ref="E8:E14" si="2">IFERROR((188*60)/((C8*60)+(D8)),"")</f>
        <v>24.62882096069869</v>
      </c>
      <c r="F8" s="109"/>
      <c r="G8" s="107" t="s">
        <v>20</v>
      </c>
      <c r="H8" s="155">
        <v>7</v>
      </c>
      <c r="I8" s="156">
        <v>42</v>
      </c>
      <c r="J8" s="169">
        <f t="shared" si="0"/>
        <v>24.415584415584416</v>
      </c>
      <c r="K8" s="109"/>
      <c r="L8" s="112" t="s">
        <v>23</v>
      </c>
      <c r="M8" s="159"/>
      <c r="N8" s="160"/>
      <c r="O8" s="119" t="str">
        <f t="shared" si="1"/>
        <v/>
      </c>
      <c r="P8" s="109"/>
      <c r="Q8" s="181" t="s">
        <v>25</v>
      </c>
      <c r="R8" s="182">
        <v>126669</v>
      </c>
      <c r="S8" s="15">
        <f t="shared" ref="S8:S14" si="3">A7</f>
        <v>46277</v>
      </c>
      <c r="T8" s="121">
        <f t="shared" ref="T8:T14" si="4">E7</f>
        <v>24.845814977973568</v>
      </c>
      <c r="U8" s="121">
        <f t="shared" ref="U8:U14" si="5">J7</f>
        <v>24.955752212389381</v>
      </c>
      <c r="V8" s="121">
        <f>J26</f>
        <v>24.896265560165975</v>
      </c>
      <c r="W8" s="121">
        <f>E26</f>
        <v>24.791208791208792</v>
      </c>
      <c r="X8" s="120">
        <v>24</v>
      </c>
      <c r="Y8" s="120"/>
      <c r="Z8" s="120">
        <v>26</v>
      </c>
      <c r="AA8" s="1"/>
      <c r="AB8" s="1"/>
      <c r="AC8" s="1"/>
      <c r="AD8" s="5"/>
    </row>
    <row r="9" spans="1:30" ht="15">
      <c r="A9" s="167">
        <v>46281</v>
      </c>
      <c r="B9" s="108" t="s">
        <v>19</v>
      </c>
      <c r="C9" s="151">
        <v>7</v>
      </c>
      <c r="D9" s="152">
        <v>44</v>
      </c>
      <c r="E9" s="168">
        <f t="shared" si="2"/>
        <v>24.310344827586206</v>
      </c>
      <c r="F9" s="109"/>
      <c r="G9" s="107" t="s">
        <v>20</v>
      </c>
      <c r="H9" s="155">
        <v>7</v>
      </c>
      <c r="I9" s="156">
        <v>45</v>
      </c>
      <c r="J9" s="169">
        <f t="shared" si="0"/>
        <v>24.258064516129032</v>
      </c>
      <c r="K9" s="109"/>
      <c r="L9" s="112" t="s">
        <v>21</v>
      </c>
      <c r="M9" s="159"/>
      <c r="N9" s="160"/>
      <c r="O9" s="119" t="str">
        <f t="shared" si="1"/>
        <v/>
      </c>
      <c r="P9" s="109"/>
      <c r="Q9" s="181" t="s">
        <v>22</v>
      </c>
      <c r="R9" s="182">
        <v>126701</v>
      </c>
      <c r="S9" s="15">
        <f>A8</f>
        <v>46279</v>
      </c>
      <c r="T9" s="121">
        <f>E8</f>
        <v>24.62882096069869</v>
      </c>
      <c r="U9" s="121">
        <f>J8</f>
        <v>24.415584415584416</v>
      </c>
      <c r="V9" s="121">
        <f>J27</f>
        <v>24.948024948024948</v>
      </c>
      <c r="W9" s="121">
        <f>E27</f>
        <v>25.011086474501109</v>
      </c>
      <c r="X9" s="120">
        <v>24</v>
      </c>
      <c r="Y9" s="120"/>
      <c r="Z9" s="120">
        <v>26</v>
      </c>
      <c r="AA9" s="1"/>
      <c r="AB9" s="1"/>
      <c r="AC9" s="1"/>
      <c r="AD9" s="5"/>
    </row>
    <row r="10" spans="1:30" ht="15">
      <c r="A10" s="167"/>
      <c r="B10" s="108" t="s">
        <v>19</v>
      </c>
      <c r="C10" s="151"/>
      <c r="D10" s="152"/>
      <c r="E10" s="168" t="str">
        <f t="shared" si="2"/>
        <v/>
      </c>
      <c r="F10" s="109"/>
      <c r="G10" s="107" t="s">
        <v>20</v>
      </c>
      <c r="H10" s="157"/>
      <c r="I10" s="158"/>
      <c r="J10" s="169" t="str">
        <f t="shared" si="0"/>
        <v/>
      </c>
      <c r="K10" s="109"/>
      <c r="L10" s="112" t="s">
        <v>21</v>
      </c>
      <c r="M10" s="159"/>
      <c r="N10" s="160"/>
      <c r="O10" s="119" t="str">
        <f t="shared" si="1"/>
        <v/>
      </c>
      <c r="P10" s="109"/>
      <c r="Q10" s="181"/>
      <c r="R10" s="182"/>
      <c r="S10" s="15">
        <f t="shared" si="3"/>
        <v>46281</v>
      </c>
      <c r="T10" s="121">
        <f t="shared" si="4"/>
        <v>24.310344827586206</v>
      </c>
      <c r="U10" s="121">
        <f t="shared" si="5"/>
        <v>24.258064516129032</v>
      </c>
      <c r="V10" s="121">
        <f>J28</f>
        <v>24.793388429752067</v>
      </c>
      <c r="W10" s="121">
        <f>E28</f>
        <v>24.415584415584416</v>
      </c>
      <c r="X10" s="120">
        <v>24</v>
      </c>
      <c r="Y10" s="120"/>
      <c r="Z10" s="120">
        <v>26</v>
      </c>
      <c r="AA10" s="1"/>
      <c r="AB10" s="1"/>
      <c r="AC10" s="1"/>
      <c r="AD10" s="5"/>
    </row>
    <row r="11" spans="1:30">
      <c r="A11" s="167"/>
      <c r="B11" s="108" t="s">
        <v>19</v>
      </c>
      <c r="C11" s="151"/>
      <c r="D11" s="152"/>
      <c r="E11" s="168" t="str">
        <f t="shared" si="2"/>
        <v/>
      </c>
      <c r="F11" s="109"/>
      <c r="G11" s="107" t="s">
        <v>20</v>
      </c>
      <c r="H11" s="155"/>
      <c r="I11" s="156"/>
      <c r="J11" s="169" t="str">
        <f t="shared" si="0"/>
        <v/>
      </c>
      <c r="K11" s="109"/>
      <c r="L11" s="112" t="s">
        <v>21</v>
      </c>
      <c r="M11" s="159"/>
      <c r="N11" s="160"/>
      <c r="O11" s="119" t="str">
        <f t="shared" si="1"/>
        <v/>
      </c>
      <c r="P11" s="109"/>
      <c r="Q11" s="181"/>
      <c r="R11" s="182"/>
      <c r="S11" s="15">
        <f t="shared" si="3"/>
        <v>0</v>
      </c>
      <c r="T11" s="121" t="str">
        <f t="shared" si="4"/>
        <v/>
      </c>
      <c r="U11" s="121" t="str">
        <f t="shared" si="5"/>
        <v/>
      </c>
      <c r="V11" s="121" t="str">
        <f>J29</f>
        <v/>
      </c>
      <c r="W11" s="121" t="str">
        <f>E29</f>
        <v/>
      </c>
      <c r="X11" s="120">
        <v>24</v>
      </c>
      <c r="Y11" s="120"/>
      <c r="Z11" s="120">
        <v>26</v>
      </c>
      <c r="AA11" s="1"/>
      <c r="AB11" s="1"/>
      <c r="AC11" s="1"/>
      <c r="AD11" s="5"/>
    </row>
    <row r="12" spans="1:30">
      <c r="A12" s="167"/>
      <c r="B12" s="108" t="s">
        <v>19</v>
      </c>
      <c r="C12" s="149"/>
      <c r="D12" s="150"/>
      <c r="E12" s="168" t="str">
        <f t="shared" si="2"/>
        <v/>
      </c>
      <c r="F12" s="109"/>
      <c r="G12" s="107" t="s">
        <v>20</v>
      </c>
      <c r="H12" s="153"/>
      <c r="I12" s="154"/>
      <c r="J12" s="169" t="str">
        <f t="shared" si="0"/>
        <v/>
      </c>
      <c r="K12" s="109"/>
      <c r="L12" s="112" t="s">
        <v>21</v>
      </c>
      <c r="M12" s="159"/>
      <c r="N12" s="160"/>
      <c r="O12" s="119" t="str">
        <f t="shared" si="1"/>
        <v/>
      </c>
      <c r="P12" s="109"/>
      <c r="Q12" s="181"/>
      <c r="R12" s="182"/>
      <c r="S12" s="15">
        <f t="shared" si="3"/>
        <v>0</v>
      </c>
      <c r="T12" s="121" t="str">
        <f t="shared" si="4"/>
        <v/>
      </c>
      <c r="U12" s="121" t="str">
        <f t="shared" si="5"/>
        <v/>
      </c>
      <c r="V12" s="121" t="str">
        <f>J30</f>
        <v/>
      </c>
      <c r="W12" s="121" t="str">
        <f>E30</f>
        <v/>
      </c>
      <c r="X12" s="120">
        <v>24</v>
      </c>
      <c r="Y12" s="120"/>
      <c r="Z12" s="120">
        <v>26</v>
      </c>
      <c r="AA12" s="1"/>
      <c r="AB12" s="1"/>
      <c r="AC12" s="1"/>
      <c r="AD12" s="5"/>
    </row>
    <row r="13" spans="1:30" ht="15">
      <c r="A13" s="167"/>
      <c r="B13" s="108" t="s">
        <v>19</v>
      </c>
      <c r="C13" s="151"/>
      <c r="D13" s="152"/>
      <c r="E13" s="168" t="str">
        <f t="shared" ref="E13" si="6">IFERROR((188*60)/((C13*60)+(D13)),"")</f>
        <v/>
      </c>
      <c r="F13" s="109"/>
      <c r="G13" s="107" t="s">
        <v>20</v>
      </c>
      <c r="H13" s="155"/>
      <c r="I13" s="156"/>
      <c r="J13" s="169" t="str">
        <f t="shared" si="0"/>
        <v/>
      </c>
      <c r="K13" s="109"/>
      <c r="L13" s="112" t="s">
        <v>21</v>
      </c>
      <c r="M13" s="159"/>
      <c r="N13" s="160"/>
      <c r="O13" s="119" t="str">
        <f t="shared" si="1"/>
        <v/>
      </c>
      <c r="P13" s="109"/>
      <c r="Q13" s="181"/>
      <c r="R13" s="182"/>
      <c r="S13" s="15">
        <f t="shared" si="3"/>
        <v>0</v>
      </c>
      <c r="T13" s="121" t="str">
        <f t="shared" si="4"/>
        <v/>
      </c>
      <c r="U13" s="121" t="str">
        <f t="shared" si="5"/>
        <v/>
      </c>
      <c r="V13" s="121" t="str">
        <f>J31</f>
        <v/>
      </c>
      <c r="W13" s="121" t="str">
        <f>E31</f>
        <v/>
      </c>
      <c r="X13" s="120">
        <v>24</v>
      </c>
      <c r="Y13" s="120"/>
      <c r="Z13" s="120">
        <v>26</v>
      </c>
      <c r="AA13" s="1"/>
      <c r="AB13" s="1"/>
      <c r="AC13" s="1"/>
      <c r="AD13" s="5"/>
    </row>
    <row r="14" spans="1:30" ht="15">
      <c r="A14" s="167"/>
      <c r="B14" s="108" t="s">
        <v>19</v>
      </c>
      <c r="C14" s="151"/>
      <c r="D14" s="152"/>
      <c r="E14" s="168" t="str">
        <f t="shared" si="2"/>
        <v/>
      </c>
      <c r="F14" s="109"/>
      <c r="G14" s="107" t="s">
        <v>20</v>
      </c>
      <c r="H14" s="155"/>
      <c r="I14" s="156"/>
      <c r="J14" s="169" t="str">
        <f t="shared" si="0"/>
        <v/>
      </c>
      <c r="K14" s="109"/>
      <c r="L14" s="112" t="s">
        <v>21</v>
      </c>
      <c r="M14" s="159"/>
      <c r="N14" s="160"/>
      <c r="O14" s="119" t="str">
        <f t="shared" si="1"/>
        <v/>
      </c>
      <c r="P14" s="109"/>
      <c r="Q14" s="181"/>
      <c r="R14" s="182"/>
      <c r="S14" s="15">
        <f t="shared" si="3"/>
        <v>0</v>
      </c>
      <c r="T14" s="121" t="str">
        <f t="shared" si="4"/>
        <v/>
      </c>
      <c r="U14" s="121" t="str">
        <f t="shared" si="5"/>
        <v/>
      </c>
      <c r="V14" s="121" t="str">
        <f>J32</f>
        <v/>
      </c>
      <c r="W14" s="121" t="str">
        <f>E32</f>
        <v/>
      </c>
      <c r="X14" s="120">
        <v>24</v>
      </c>
      <c r="Y14" s="120"/>
      <c r="Z14" s="120">
        <v>26</v>
      </c>
      <c r="AA14" s="1"/>
      <c r="AB14" s="1"/>
      <c r="AC14" s="1"/>
      <c r="AD14" s="5"/>
    </row>
    <row r="15" spans="1:30" ht="6" customHeight="1" thickBot="1">
      <c r="A15" s="106"/>
      <c r="F15" s="109"/>
      <c r="K15" s="109"/>
      <c r="O15" s="110"/>
      <c r="P15" s="109"/>
      <c r="Q15"/>
      <c r="R15"/>
      <c r="Z15" s="1"/>
      <c r="AA15" s="1"/>
      <c r="AB15" s="1"/>
      <c r="AC15" s="1"/>
    </row>
    <row r="16" spans="1:30" s="38" customFormat="1" ht="21.75" customHeight="1" thickBot="1">
      <c r="A16" s="655" t="s">
        <v>26</v>
      </c>
      <c r="B16" s="656"/>
      <c r="C16" s="656"/>
      <c r="D16" s="657"/>
      <c r="E16" s="124">
        <f>AVERAGE(E6:E14)</f>
        <v>24.644047389366815</v>
      </c>
      <c r="F16"/>
      <c r="G16" s="658"/>
      <c r="H16" s="659"/>
      <c r="I16" s="660"/>
      <c r="J16" s="124">
        <f>AVERAGE(J6:J14)</f>
        <v>24.660121904650985</v>
      </c>
      <c r="K16"/>
      <c r="L16" s="134"/>
      <c r="M16" s="135"/>
      <c r="N16" s="136"/>
      <c r="O16" s="124" t="e">
        <f>AVERAGE(O6:O14)</f>
        <v>#DIV/0!</v>
      </c>
      <c r="P16"/>
      <c r="Q16"/>
      <c r="R16"/>
      <c r="S16" s="56"/>
      <c r="T16" s="56"/>
      <c r="U16" s="56"/>
      <c r="V16" s="56"/>
      <c r="W16" s="56"/>
      <c r="X16" s="56"/>
      <c r="Y16" s="56"/>
      <c r="Z16" s="56"/>
      <c r="AA16" s="56"/>
      <c r="AB16" s="56"/>
      <c r="AC16" s="56"/>
    </row>
    <row r="17" spans="1:29" ht="15" thickBot="1">
      <c r="Z17" s="1"/>
      <c r="AA17" s="1"/>
      <c r="AB17" s="1"/>
      <c r="AC17" s="1"/>
    </row>
    <row r="18" spans="1:29" ht="15" hidden="1" thickBot="1">
      <c r="B18" s="649" t="s">
        <v>27</v>
      </c>
      <c r="C18" s="650"/>
      <c r="G18" s="653" t="s">
        <v>28</v>
      </c>
      <c r="H18" s="654"/>
      <c r="Z18" s="1"/>
      <c r="AA18" s="1"/>
      <c r="AB18" s="1"/>
      <c r="AC18" s="1"/>
    </row>
    <row r="19" spans="1:29" ht="18.95" hidden="1" thickBot="1">
      <c r="B19" s="651">
        <f>(188*60)/((C20*60)+(C21))</f>
        <v>25.011086474501109</v>
      </c>
      <c r="C19" s="652"/>
      <c r="G19" s="651">
        <f>(188*60)/((H20*60)+(H21))</f>
        <v>25.066666666666666</v>
      </c>
      <c r="H19" s="652"/>
      <c r="Z19" s="1"/>
      <c r="AA19" s="1"/>
      <c r="AB19" s="1"/>
      <c r="AC19" s="1"/>
    </row>
    <row r="20" spans="1:29" ht="15" hidden="1" thickBot="1">
      <c r="B20" s="97" t="s">
        <v>29</v>
      </c>
      <c r="C20" s="98">
        <v>7</v>
      </c>
      <c r="G20" s="97" t="s">
        <v>29</v>
      </c>
      <c r="H20" s="98">
        <v>7</v>
      </c>
      <c r="Z20" s="1"/>
      <c r="AA20" s="1"/>
      <c r="AB20" s="1"/>
      <c r="AC20" s="1"/>
    </row>
    <row r="21" spans="1:29" ht="15" hidden="1" thickBot="1">
      <c r="B21" s="99" t="s">
        <v>30</v>
      </c>
      <c r="C21" s="100">
        <v>31</v>
      </c>
      <c r="G21" s="99" t="s">
        <v>30</v>
      </c>
      <c r="H21" s="100">
        <v>30</v>
      </c>
      <c r="Z21" s="1"/>
      <c r="AA21" s="1"/>
      <c r="AB21" s="1"/>
      <c r="AC21" s="1"/>
    </row>
    <row r="22" spans="1:29" s="38" customFormat="1" ht="21.75" hidden="1" customHeight="1" thickBot="1">
      <c r="E22" s="111"/>
      <c r="J22" s="111"/>
      <c r="K22" s="111"/>
      <c r="O22" s="62"/>
      <c r="P22" s="62"/>
      <c r="Q22" s="62"/>
      <c r="R22" s="62"/>
      <c r="S22" s="62"/>
      <c r="T22" s="62"/>
      <c r="U22" s="62"/>
      <c r="V22" s="62"/>
      <c r="W22" s="62"/>
      <c r="X22" s="62"/>
      <c r="Y22" s="62"/>
      <c r="Z22" s="56"/>
      <c r="AA22" s="56"/>
      <c r="AB22" s="56"/>
      <c r="AC22" s="56"/>
    </row>
    <row r="23" spans="1:29" ht="26.25" customHeight="1" thickBot="1">
      <c r="A23" s="636" t="s">
        <v>31</v>
      </c>
      <c r="B23" s="637"/>
      <c r="C23" s="637"/>
      <c r="D23" s="637"/>
      <c r="E23" s="637"/>
      <c r="F23" s="637"/>
      <c r="G23" s="637"/>
      <c r="H23" s="637"/>
      <c r="I23" s="637"/>
      <c r="J23" s="637"/>
      <c r="K23" s="637"/>
      <c r="L23" s="637"/>
      <c r="M23" s="638"/>
      <c r="O23" s="5"/>
      <c r="P23" s="5"/>
      <c r="Q23" s="5"/>
      <c r="R23" s="5"/>
      <c r="S23" s="5"/>
      <c r="T23" s="5"/>
      <c r="U23" s="5"/>
      <c r="V23" s="5"/>
      <c r="W23" s="5"/>
      <c r="X23" s="5"/>
      <c r="Y23" s="5"/>
      <c r="Z23" s="1"/>
      <c r="AA23" s="1"/>
      <c r="AB23" s="1"/>
      <c r="AC23" s="1"/>
    </row>
    <row r="24" spans="1:29" ht="15" thickBot="1">
      <c r="A24" s="13" t="s">
        <v>5</v>
      </c>
      <c r="B24" s="103" t="s">
        <v>9</v>
      </c>
      <c r="C24" s="102" t="s">
        <v>10</v>
      </c>
      <c r="D24" s="103" t="s">
        <v>11</v>
      </c>
      <c r="E24" s="113" t="s">
        <v>12</v>
      </c>
      <c r="F24" s="109"/>
      <c r="G24" s="170" t="s">
        <v>9</v>
      </c>
      <c r="H24" s="170" t="s">
        <v>10</v>
      </c>
      <c r="I24" s="170" t="s">
        <v>11</v>
      </c>
      <c r="J24" s="171" t="s">
        <v>12</v>
      </c>
      <c r="K24" s="109"/>
      <c r="L24" s="104" t="s">
        <v>13</v>
      </c>
      <c r="M24" s="104" t="s">
        <v>14</v>
      </c>
      <c r="O24" s="125" t="b">
        <v>1</v>
      </c>
      <c r="P24"/>
      <c r="Q24" s="5"/>
      <c r="R24" s="5"/>
      <c r="S24" s="5"/>
      <c r="T24" s="5"/>
      <c r="U24" s="5"/>
      <c r="V24" s="5"/>
      <c r="W24" s="5"/>
      <c r="X24" s="5"/>
      <c r="Y24" s="5"/>
      <c r="Z24" s="1"/>
      <c r="AA24" s="1"/>
      <c r="AB24" s="1"/>
      <c r="AC24" s="1"/>
    </row>
    <row r="25" spans="1:29" ht="15">
      <c r="A25" s="167">
        <v>46274</v>
      </c>
      <c r="B25" s="105" t="s">
        <v>32</v>
      </c>
      <c r="C25" s="164">
        <v>7</v>
      </c>
      <c r="D25" s="165">
        <v>36</v>
      </c>
      <c r="E25" s="118">
        <f>IFERROR((188*60)/((C25*60)+(D25)),"")</f>
        <v>24.736842105263158</v>
      </c>
      <c r="F25" s="109"/>
      <c r="G25" s="174" t="s">
        <v>33</v>
      </c>
      <c r="H25" s="175">
        <v>8</v>
      </c>
      <c r="I25" s="176">
        <v>5</v>
      </c>
      <c r="J25" s="173">
        <f>IFERROR((200*60)/((H25*60)+(I25)),"")</f>
        <v>24.742268041237114</v>
      </c>
      <c r="K25" s="109"/>
      <c r="L25" s="181" t="s">
        <v>22</v>
      </c>
      <c r="M25" s="182">
        <v>126701</v>
      </c>
      <c r="O25" s="126" t="s">
        <v>34</v>
      </c>
      <c r="P25"/>
      <c r="Q25" s="5"/>
      <c r="R25" s="5"/>
      <c r="S25" s="5"/>
      <c r="T25" s="5"/>
      <c r="U25" s="5"/>
      <c r="V25" s="5"/>
      <c r="W25" s="5"/>
      <c r="X25" s="5"/>
      <c r="Y25" s="5"/>
      <c r="Z25" s="1"/>
      <c r="AA25" s="1"/>
      <c r="AB25" s="1"/>
      <c r="AC25" s="1"/>
    </row>
    <row r="26" spans="1:29" ht="15">
      <c r="A26" s="167">
        <v>46277</v>
      </c>
      <c r="B26" s="105" t="s">
        <v>35</v>
      </c>
      <c r="C26" s="164">
        <v>7</v>
      </c>
      <c r="D26" s="165">
        <v>35</v>
      </c>
      <c r="E26" s="118">
        <f t="shared" ref="E26:E34" si="7">IFERROR((188*60)/((C26*60)+(D26)),"")</f>
        <v>24.791208791208792</v>
      </c>
      <c r="F26" s="109"/>
      <c r="G26" s="174" t="s">
        <v>33</v>
      </c>
      <c r="H26" s="175">
        <v>8</v>
      </c>
      <c r="I26" s="176">
        <v>2</v>
      </c>
      <c r="J26" s="173">
        <f>IFERROR((200*60)/((H26*60)+(I26)),"")</f>
        <v>24.896265560165975</v>
      </c>
      <c r="K26" s="109"/>
      <c r="L26" s="162" t="s">
        <v>24</v>
      </c>
      <c r="M26" s="163"/>
      <c r="O26" s="5"/>
      <c r="P26" s="5"/>
      <c r="Q26" s="5"/>
      <c r="R26" s="5"/>
      <c r="S26" s="5"/>
      <c r="T26" s="5"/>
      <c r="U26" s="5"/>
      <c r="V26" s="5"/>
      <c r="W26" s="5"/>
      <c r="X26" s="5"/>
      <c r="Y26" s="5"/>
      <c r="Z26" s="1"/>
      <c r="AA26" s="1"/>
      <c r="AB26" s="1"/>
      <c r="AC26" s="1"/>
    </row>
    <row r="27" spans="1:29" ht="15">
      <c r="A27" s="167">
        <v>46279</v>
      </c>
      <c r="B27" s="105" t="s">
        <v>35</v>
      </c>
      <c r="C27" s="164">
        <v>7</v>
      </c>
      <c r="D27" s="165">
        <v>31</v>
      </c>
      <c r="E27" s="118">
        <f t="shared" si="7"/>
        <v>25.011086474501109</v>
      </c>
      <c r="F27" s="109"/>
      <c r="G27" s="174" t="s">
        <v>33</v>
      </c>
      <c r="H27" s="175">
        <v>8</v>
      </c>
      <c r="I27" s="176">
        <v>1</v>
      </c>
      <c r="J27" s="173">
        <f t="shared" ref="J26:J34" si="8">IFERROR((200*60)/((H27*60)+(I27)),"")</f>
        <v>24.948024948024948</v>
      </c>
      <c r="K27" s="109"/>
      <c r="L27" s="162" t="s">
        <v>25</v>
      </c>
      <c r="M27" s="163">
        <v>126669</v>
      </c>
      <c r="O27" s="5"/>
      <c r="P27" s="5"/>
      <c r="Q27" s="5"/>
      <c r="R27" s="5"/>
      <c r="S27" s="5"/>
      <c r="T27" s="5"/>
      <c r="U27" s="5"/>
      <c r="V27" s="5"/>
      <c r="W27" s="5"/>
      <c r="X27" s="5"/>
      <c r="Y27" s="5"/>
      <c r="Z27" s="1"/>
      <c r="AA27" s="1"/>
      <c r="AB27" s="1"/>
      <c r="AC27" s="1"/>
    </row>
    <row r="28" spans="1:29" ht="15">
      <c r="A28" s="167">
        <v>46281</v>
      </c>
      <c r="B28" s="105" t="s">
        <v>32</v>
      </c>
      <c r="C28" s="164">
        <v>7</v>
      </c>
      <c r="D28" s="165">
        <v>42</v>
      </c>
      <c r="E28" s="118">
        <f t="shared" si="7"/>
        <v>24.415584415584416</v>
      </c>
      <c r="F28" s="109"/>
      <c r="G28" s="174" t="s">
        <v>33</v>
      </c>
      <c r="H28" s="175">
        <v>8</v>
      </c>
      <c r="I28" s="176">
        <v>4</v>
      </c>
      <c r="J28" s="173">
        <f t="shared" si="8"/>
        <v>24.793388429752067</v>
      </c>
      <c r="K28" s="109"/>
      <c r="L28" s="181" t="s">
        <v>22</v>
      </c>
      <c r="M28" s="182">
        <v>126701</v>
      </c>
      <c r="Z28" s="1"/>
      <c r="AA28" s="1"/>
      <c r="AB28" s="1"/>
      <c r="AC28" s="1"/>
    </row>
    <row r="29" spans="1:29" ht="15">
      <c r="A29" s="167"/>
      <c r="B29" s="105" t="s">
        <v>32</v>
      </c>
      <c r="C29" s="164"/>
      <c r="D29" s="165"/>
      <c r="E29" s="118" t="str">
        <f t="shared" si="7"/>
        <v/>
      </c>
      <c r="F29" s="109"/>
      <c r="G29" s="174" t="s">
        <v>33</v>
      </c>
      <c r="H29" s="177"/>
      <c r="I29" s="178"/>
      <c r="J29" s="173" t="str">
        <f t="shared" si="8"/>
        <v/>
      </c>
      <c r="K29" s="109"/>
      <c r="L29" s="162"/>
      <c r="M29" s="163"/>
      <c r="Z29" s="1"/>
      <c r="AA29" s="1"/>
      <c r="AB29" s="1"/>
      <c r="AC29" s="1"/>
    </row>
    <row r="30" spans="1:29" ht="15">
      <c r="A30" s="167"/>
      <c r="B30" s="105" t="s">
        <v>32</v>
      </c>
      <c r="C30" s="164"/>
      <c r="D30" s="165"/>
      <c r="E30" s="118" t="str">
        <f t="shared" si="7"/>
        <v/>
      </c>
      <c r="F30" s="109"/>
      <c r="G30" s="174" t="s">
        <v>33</v>
      </c>
      <c r="H30" s="175"/>
      <c r="I30" s="176"/>
      <c r="J30" s="173" t="str">
        <f t="shared" si="8"/>
        <v/>
      </c>
      <c r="K30" s="109"/>
      <c r="L30" s="162"/>
      <c r="M30" s="163"/>
      <c r="Z30" s="1"/>
      <c r="AA30" s="1"/>
      <c r="AB30" s="1"/>
      <c r="AC30" s="1"/>
    </row>
    <row r="31" spans="1:29" ht="15">
      <c r="A31" s="167"/>
      <c r="B31" s="105" t="s">
        <v>32</v>
      </c>
      <c r="C31" s="164"/>
      <c r="D31" s="165"/>
      <c r="E31" s="118" t="str">
        <f t="shared" si="7"/>
        <v/>
      </c>
      <c r="F31" s="109"/>
      <c r="G31" s="174" t="s">
        <v>33</v>
      </c>
      <c r="H31" s="172"/>
      <c r="I31" s="179"/>
      <c r="J31" s="173" t="str">
        <f t="shared" si="8"/>
        <v/>
      </c>
      <c r="K31" s="109"/>
      <c r="L31" s="161"/>
      <c r="M31" s="166"/>
      <c r="Z31" s="1"/>
      <c r="AA31" s="1"/>
      <c r="AB31" s="1"/>
      <c r="AC31" s="1"/>
    </row>
    <row r="32" spans="1:29" ht="15">
      <c r="A32" s="167"/>
      <c r="B32" s="105" t="s">
        <v>32</v>
      </c>
      <c r="C32" s="164"/>
      <c r="D32" s="165"/>
      <c r="E32" s="118" t="str">
        <f t="shared" si="7"/>
        <v/>
      </c>
      <c r="F32" s="109"/>
      <c r="G32" s="174" t="s">
        <v>33</v>
      </c>
      <c r="H32" s="175"/>
      <c r="I32" s="176"/>
      <c r="J32" s="173" t="str">
        <f t="shared" ref="J32:J33" si="9">IFERROR((200*60)/((H32*60)+(I32)),"")</f>
        <v/>
      </c>
      <c r="K32" s="109"/>
      <c r="L32" s="162"/>
      <c r="M32" s="163"/>
      <c r="Z32" s="1"/>
      <c r="AA32" s="1"/>
      <c r="AB32" s="1"/>
      <c r="AC32" s="1"/>
    </row>
    <row r="33" spans="1:29" ht="15">
      <c r="A33" s="167"/>
      <c r="B33" s="105" t="s">
        <v>32</v>
      </c>
      <c r="C33" s="164"/>
      <c r="D33" s="165"/>
      <c r="E33" s="118" t="str">
        <f t="shared" si="7"/>
        <v/>
      </c>
      <c r="F33" s="109"/>
      <c r="G33" s="174" t="s">
        <v>33</v>
      </c>
      <c r="H33" s="175"/>
      <c r="I33" s="176"/>
      <c r="J33" s="173" t="str">
        <f t="shared" si="9"/>
        <v/>
      </c>
      <c r="K33" s="109"/>
      <c r="L33" s="162"/>
      <c r="M33" s="163"/>
      <c r="Z33" s="1"/>
      <c r="AA33" s="1"/>
      <c r="AB33" s="1"/>
      <c r="AC33" s="1"/>
    </row>
    <row r="34" spans="1:29" ht="15">
      <c r="A34" s="167"/>
      <c r="B34" s="105" t="s">
        <v>32</v>
      </c>
      <c r="C34" s="164"/>
      <c r="D34" s="165"/>
      <c r="E34" s="118" t="str">
        <f t="shared" si="7"/>
        <v/>
      </c>
      <c r="F34" s="109"/>
      <c r="G34" s="174" t="s">
        <v>33</v>
      </c>
      <c r="H34" s="175"/>
      <c r="I34" s="176"/>
      <c r="J34" s="173"/>
      <c r="K34" s="109"/>
      <c r="L34" s="162"/>
      <c r="M34" s="163"/>
    </row>
    <row r="35" spans="1:29" ht="6" customHeight="1">
      <c r="K35"/>
    </row>
    <row r="36" spans="1:29" s="38" customFormat="1" ht="21.75" customHeight="1" thickBot="1">
      <c r="A36" s="655" t="s">
        <v>26</v>
      </c>
      <c r="B36" s="656"/>
      <c r="C36" s="656"/>
      <c r="D36" s="657"/>
      <c r="E36" s="124">
        <f>AVERAGE(E25:E34)</f>
        <v>24.738680446639371</v>
      </c>
      <c r="F36"/>
      <c r="G36" s="658"/>
      <c r="H36" s="659"/>
      <c r="I36" s="660"/>
      <c r="J36" s="124">
        <f>AVERAGE(J25:J34)</f>
        <v>24.844986744795026</v>
      </c>
      <c r="K36"/>
      <c r="L36"/>
      <c r="M36"/>
      <c r="O36" s="56"/>
      <c r="P36" s="56"/>
      <c r="Q36" s="56"/>
      <c r="R36" s="56"/>
      <c r="S36" s="56"/>
      <c r="T36" s="56"/>
      <c r="U36" s="56"/>
      <c r="V36" s="56"/>
      <c r="W36" s="56"/>
      <c r="X36" s="56"/>
      <c r="Y36" s="56"/>
      <c r="Z36" s="56"/>
      <c r="AA36" s="56"/>
      <c r="AB36" s="56"/>
      <c r="AC36" s="56"/>
    </row>
    <row r="38" spans="1:29">
      <c r="A38" t="s">
        <v>36</v>
      </c>
      <c r="B38">
        <f>COUNT(E6:E14,J6:J14,O6:O14,E25:E34,J25:J34)</f>
        <v>16</v>
      </c>
    </row>
    <row r="39" spans="1:29" ht="15" hidden="1" thickBot="1">
      <c r="B39" s="661" t="s">
        <v>37</v>
      </c>
      <c r="C39" s="662"/>
      <c r="G39" s="647" t="s">
        <v>38</v>
      </c>
      <c r="H39" s="648"/>
    </row>
    <row r="40" spans="1:29" ht="18.95" hidden="1" thickBot="1">
      <c r="B40" s="645">
        <f>(200*60)/((C41*60)+(C42))</f>
        <v>25</v>
      </c>
      <c r="C40" s="646"/>
      <c r="G40" s="645">
        <f>J25</f>
        <v>24.742268041237114</v>
      </c>
      <c r="H40" s="646"/>
    </row>
    <row r="41" spans="1:29" ht="15" hidden="1" thickBot="1">
      <c r="B41" s="60" t="s">
        <v>29</v>
      </c>
      <c r="C41" s="61">
        <v>8</v>
      </c>
      <c r="G41" s="60" t="s">
        <v>29</v>
      </c>
      <c r="H41" s="61">
        <v>7</v>
      </c>
    </row>
    <row r="42" spans="1:29" ht="15" hidden="1" thickBot="1">
      <c r="B42" s="60" t="s">
        <v>30</v>
      </c>
      <c r="C42" s="61">
        <v>0</v>
      </c>
      <c r="G42" s="60" t="s">
        <v>30</v>
      </c>
      <c r="H42" s="61">
        <v>30</v>
      </c>
    </row>
  </sheetData>
  <customSheetViews>
    <customSheetView guid="{CCCF8C80-0A30-4E00-90E2-6A0478F5DFB8}" state="hidden">
      <selection activeCell="A3" sqref="A3:K3"/>
      <pageMargins left="0" right="0" top="0" bottom="0" header="0" footer="0"/>
    </customSheetView>
    <customSheetView guid="{BB76541C-9734-4AE6-BF63-6D073F753C9C}" state="hidden">
      <selection activeCell="K7" sqref="K7"/>
      <pageMargins left="0" right="0" top="0" bottom="0" header="0" footer="0"/>
      <pageSetup paperSize="9" orientation="portrait" r:id="rId1"/>
    </customSheetView>
    <customSheetView guid="{B5E2B02B-7E99-408C-BB6F-FFF2280098B7}" state="hidden">
      <selection activeCell="J31" sqref="J31"/>
      <pageMargins left="0" right="0" top="0" bottom="0" header="0" footer="0"/>
      <pageSetup paperSize="9" orientation="portrait" r:id="rId2"/>
    </customSheetView>
    <customSheetView guid="{C2E74EDD-1B26-4C41-B9BB-CBF9BFB9023A}" state="hidden">
      <selection activeCell="D14" sqref="D14"/>
      <pageMargins left="0" right="0" top="0" bottom="0" header="0" footer="0"/>
      <pageSetup paperSize="9" orientation="portrait" r:id="rId3"/>
    </customSheetView>
    <customSheetView guid="{350D256E-484A-493C-BEC1-E6E92C0ED1FB}" state="hidden">
      <selection activeCell="A24" sqref="A24:A39"/>
      <pageMargins left="0" right="0" top="0" bottom="0" header="0" footer="0"/>
      <pageSetup paperSize="9" orientation="portrait" r:id="rId4"/>
    </customSheetView>
    <customSheetView guid="{66B043C9-090A-44CE-8F78-F01A2E95C074}" topLeftCell="A16">
      <selection activeCell="K25" sqref="K25"/>
      <pageMargins left="0" right="0" top="0" bottom="0" header="0" footer="0"/>
      <pageSetup paperSize="9" orientation="portrait" r:id="rId5"/>
    </customSheetView>
    <customSheetView guid="{71E28378-5869-4383-8FDC-814E20362E22}" state="hidden">
      <selection activeCell="A3" sqref="A3:K3"/>
      <pageMargins left="0" right="0" top="0" bottom="0" header="0" footer="0"/>
      <pageSetup paperSize="9" orientation="portrait" r:id="rId6"/>
    </customSheetView>
    <customSheetView guid="{F714CF42-7A1C-4705-AE29-392CBBABC9F9}" state="hidden">
      <selection activeCell="D15" sqref="D15"/>
      <pageMargins left="0" right="0" top="0" bottom="0" header="0" footer="0"/>
      <pageSetup paperSize="0" orientation="portrait" horizontalDpi="0" verticalDpi="0" copies="0" r:id="rId7"/>
    </customSheetView>
    <customSheetView guid="{693A9131-2702-4FE7-A7C7-E6EDDD138512}" state="hidden">
      <selection activeCell="K38" sqref="K38"/>
      <pageMargins left="0" right="0" top="0" bottom="0" header="0" footer="0"/>
      <pageSetup paperSize="9" orientation="portrait" r:id="rId8"/>
    </customSheetView>
    <customSheetView guid="{4748EC4C-81D5-43D5-94BD-A5B223346BCF}" state="hidden">
      <selection activeCell="A6" sqref="A6"/>
      <pageMargins left="0" right="0" top="0" bottom="0" header="0" footer="0"/>
      <pageSetup paperSize="9" orientation="portrait" r:id="rId9"/>
    </customSheetView>
    <customSheetView guid="{CBDC2B44-0B12-42F6-8A83-327620A020F0}" topLeftCell="A13">
      <selection activeCell="I26" sqref="I26"/>
      <pageMargins left="0" right="0" top="0" bottom="0" header="0" footer="0"/>
      <pageSetup paperSize="9" orientation="portrait" r:id="rId10"/>
    </customSheetView>
    <customSheetView guid="{713A1DD7-FA1F-4623-B0E6-A04686290522}">
      <selection activeCell="G12" sqref="G12"/>
      <pageMargins left="0" right="0" top="0" bottom="0" header="0" footer="0"/>
      <pageSetup paperSize="9" orientation="portrait" r:id="rId11"/>
    </customSheetView>
    <customSheetView guid="{70843BDF-D655-4848-BCD4-BDFD277BBD35}">
      <selection activeCell="K32" sqref="K32"/>
      <pageMargins left="0" right="0" top="0" bottom="0" header="0" footer="0"/>
      <pageSetup paperSize="9" orientation="portrait" r:id="rId12"/>
    </customSheetView>
    <customSheetView guid="{8C81953D-A26D-4ACF-9D7D-729107B858BE}" state="hidden">
      <selection activeCell="K39" sqref="K39"/>
      <pageMargins left="0" right="0" top="0" bottom="0" header="0" footer="0"/>
      <pageSetup paperSize="9" orientation="portrait" r:id="rId13"/>
    </customSheetView>
    <customSheetView guid="{F237F3C3-0F47-464A-8293-D057DA35FD3F}">
      <selection activeCell="A3" sqref="A3:K3"/>
      <pageMargins left="0" right="0" top="0" bottom="0" header="0" footer="0"/>
      <pageSetup paperSize="9" orientation="portrait" r:id="rId14"/>
    </customSheetView>
    <customSheetView guid="{5867E70C-6837-4B3A-9747-480F77CCE139}" state="hidden">
      <selection activeCell="A3" sqref="A3:K3"/>
      <pageMargins left="0" right="0" top="0" bottom="0" header="0" footer="0"/>
      <pageSetup paperSize="9" orientation="portrait" r:id="rId15"/>
    </customSheetView>
    <customSheetView guid="{59F2B60C-C5F9-44B8-BC83-94BE106F57C3}">
      <selection activeCell="K15" sqref="K15"/>
      <pageMargins left="0" right="0" top="0" bottom="0" header="0" footer="0"/>
      <pageSetup paperSize="9" orientation="portrait" r:id="rId16"/>
    </customSheetView>
    <customSheetView guid="{0C0476DE-F4E6-4ADB-B504-A8D8F3A78376}" state="hidden">
      <selection activeCell="A3" sqref="A3:K3"/>
      <pageMargins left="0" right="0" top="0" bottom="0" header="0" footer="0"/>
      <pageSetup paperSize="9" orientation="portrait" r:id="rId17"/>
    </customSheetView>
    <customSheetView guid="{AAFEB45B-EC48-4A57-9442-3F536E68E653}">
      <selection activeCell="J5" sqref="J5:K20"/>
      <pageMargins left="0" right="0" top="0" bottom="0" header="0" footer="0"/>
      <pageSetup paperSize="9" orientation="portrait" r:id="rId18"/>
    </customSheetView>
    <customSheetView guid="{18148FBC-4DDD-4025-B982-F009E34B76B6}" state="hidden">
      <selection activeCell="A3" sqref="A3:K3"/>
      <pageMargins left="0" right="0" top="0" bottom="0" header="0" footer="0"/>
      <pageSetup paperSize="9" orientation="portrait" r:id="rId19"/>
    </customSheetView>
    <customSheetView guid="{45058AEB-0A55-4288-B2D5-D3D1B02DD62F}" state="hidden">
      <selection activeCell="A3" sqref="A3:K3"/>
      <pageMargins left="0" right="0" top="0" bottom="0" header="0" footer="0"/>
      <pageSetup paperSize="9" orientation="portrait" r:id="rId20"/>
    </customSheetView>
    <customSheetView guid="{0121BC5C-2AA6-4F6C-871B-F5CDF1633F72}">
      <selection activeCell="J6" sqref="J6"/>
      <pageMargins left="0" right="0" top="0" bottom="0" header="0" footer="0"/>
      <pageSetup paperSize="9" orientation="portrait" r:id="rId21"/>
    </customSheetView>
    <customSheetView guid="{83581ACB-5281-4BE1-9AE2-7BAA59D29A86}" state="hidden" topLeftCell="A3">
      <selection activeCell="D5" sqref="D5"/>
      <pageMargins left="0" right="0" top="0" bottom="0" header="0" footer="0"/>
      <pageSetup paperSize="9" orientation="portrait" r:id="rId22"/>
    </customSheetView>
    <customSheetView guid="{C4E0EA46-0B96-4EC7-979B-F7138E3B8454}" state="hidden">
      <selection activeCell="A3" sqref="A3:K3"/>
      <pageMargins left="0" right="0" top="0" bottom="0" header="0" footer="0"/>
      <pageSetup paperSize="9" orientation="portrait" r:id="rId23"/>
    </customSheetView>
    <customSheetView guid="{3D410819-5520-4C0F-958E-9FC09D4B42DD}">
      <selection activeCell="B22" sqref="B22"/>
      <pageMargins left="0" right="0" top="0" bottom="0" header="0" footer="0"/>
      <pageSetup paperSize="9" orientation="portrait" r:id="rId24"/>
    </customSheetView>
    <customSheetView guid="{16402340-B3EF-461B-8AF9-D2FFE7E6BD1B}">
      <selection activeCell="I7" sqref="I7"/>
      <pageMargins left="0" right="0" top="0" bottom="0" header="0" footer="0"/>
      <pageSetup paperSize="9" orientation="portrait" r:id="rId25"/>
    </customSheetView>
    <customSheetView guid="{EA7DCB4E-60E8-4E16-A16D-6D297CA2C1EC}" state="hidden">
      <selection activeCell="A3" sqref="A3:K3"/>
      <pageMargins left="0" right="0" top="0" bottom="0" header="0" footer="0"/>
      <pageSetup paperSize="9" orientation="portrait" r:id="rId26"/>
    </customSheetView>
    <customSheetView guid="{99844124-CC26-41CC-BF01-C430840B6A11}" state="hidden">
      <selection activeCell="A3" sqref="A3:K3"/>
      <pageMargins left="0" right="0" top="0" bottom="0" header="0" footer="0"/>
      <pageSetup paperSize="9" orientation="portrait" r:id="rId27"/>
    </customSheetView>
    <customSheetView guid="{4928B0BF-3605-4228-B5EA-B9EFCB2DA176}" state="hidden">
      <selection activeCell="A3" sqref="A3:K3"/>
      <pageMargins left="0" right="0" top="0" bottom="0" header="0" footer="0"/>
      <pageSetup paperSize="9" orientation="portrait" r:id="rId28"/>
    </customSheetView>
    <customSheetView guid="{3BD3E38B-E288-4CCF-9EE9-3A5263D49C28}" topLeftCell="A4">
      <selection activeCell="K10" sqref="K10"/>
      <pageMargins left="0" right="0" top="0" bottom="0" header="0" footer="0"/>
      <pageSetup paperSize="9" orientation="portrait" r:id="rId29"/>
    </customSheetView>
    <customSheetView guid="{C77CCEB6-690D-489F-B3AF-2BAA99B10E03}" topLeftCell="A10">
      <selection activeCell="H37" sqref="H37"/>
      <pageMargins left="0" right="0" top="0" bottom="0" header="0" footer="0"/>
      <pageSetup paperSize="9" orientation="portrait" r:id="rId30"/>
    </customSheetView>
    <customSheetView guid="{59668F56-2642-434E-822C-BDA8586DAA1D}" hiddenRows="1" state="hidden">
      <selection activeCell="B25" sqref="B25"/>
      <pageMargins left="0" right="0" top="0" bottom="0" header="0" footer="0"/>
      <pageSetup paperSize="9" orientation="portrait" r:id="rId31"/>
    </customSheetView>
    <customSheetView guid="{A9DC904F-863E-4EE0-A626-0795983927A7}" state="hidden">
      <selection activeCell="J15" sqref="J15"/>
      <pageMargins left="0" right="0" top="0" bottom="0" header="0" footer="0"/>
      <pageSetup paperSize="9" orientation="portrait" r:id="rId32"/>
    </customSheetView>
    <customSheetView guid="{E8ADB739-37E9-4E75-B31D-C7B374D790E1}">
      <selection activeCell="B22" sqref="B22"/>
      <pageMargins left="0" right="0" top="0" bottom="0" header="0" footer="0"/>
      <pageSetup paperSize="9" orientation="portrait" r:id="rId33"/>
    </customSheetView>
    <customSheetView guid="{875BCD04-10B9-4BB6-BBE5-9B2301DD2EC9}" topLeftCell="A4">
      <selection activeCell="K10" sqref="K10"/>
      <pageMargins left="0" right="0" top="0" bottom="0" header="0" footer="0"/>
      <pageSetup paperSize="9" orientation="portrait" r:id="rId34"/>
    </customSheetView>
    <customSheetView guid="{681A0256-766F-4C32-B8C6-D64468E2450A}" state="hidden">
      <selection activeCell="J10" sqref="J10"/>
      <pageMargins left="0" right="0" top="0" bottom="0" header="0" footer="0"/>
      <pageSetup paperSize="9" orientation="portrait" r:id="rId35"/>
    </customSheetView>
  </customSheetViews>
  <mergeCells count="16">
    <mergeCell ref="A3:R3"/>
    <mergeCell ref="A4:R4"/>
    <mergeCell ref="A1:R2"/>
    <mergeCell ref="B40:C40"/>
    <mergeCell ref="G39:H39"/>
    <mergeCell ref="G40:H40"/>
    <mergeCell ref="B18:C18"/>
    <mergeCell ref="B19:C19"/>
    <mergeCell ref="G18:H18"/>
    <mergeCell ref="G19:H19"/>
    <mergeCell ref="A36:D36"/>
    <mergeCell ref="G36:I36"/>
    <mergeCell ref="B39:C39"/>
    <mergeCell ref="A16:D16"/>
    <mergeCell ref="A23:M23"/>
    <mergeCell ref="G16:I16"/>
  </mergeCells>
  <conditionalFormatting sqref="J7:J14 J27:J34 E7:E14">
    <cfRule type="cellIs" dxfId="42" priority="20" operator="lessThan">
      <formula>23.94</formula>
    </cfRule>
    <cfRule type="cellIs" dxfId="41" priority="21" operator="greaterThan">
      <formula>26.04</formula>
    </cfRule>
  </conditionalFormatting>
  <conditionalFormatting sqref="O7:O14">
    <cfRule type="cellIs" dxfId="40" priority="16" operator="lessThan">
      <formula>23.94</formula>
    </cfRule>
    <cfRule type="cellIs" dxfId="39" priority="17" operator="greaterThan">
      <formula>26.04</formula>
    </cfRule>
  </conditionalFormatting>
  <conditionalFormatting sqref="J7:J14 O7:O14 E7:E14">
    <cfRule type="cellIs" dxfId="38" priority="15" operator="lessThan">
      <formula>23.95</formula>
    </cfRule>
  </conditionalFormatting>
  <conditionalFormatting sqref="E6 J6">
    <cfRule type="cellIs" dxfId="37" priority="10" operator="lessThan">
      <formula>23.94</formula>
    </cfRule>
    <cfRule type="cellIs" dxfId="36" priority="11" operator="greaterThan">
      <formula>26.04</formula>
    </cfRule>
  </conditionalFormatting>
  <conditionalFormatting sqref="O6">
    <cfRule type="cellIs" dxfId="35" priority="8" operator="lessThan">
      <formula>23.94</formula>
    </cfRule>
    <cfRule type="cellIs" dxfId="34" priority="9" operator="greaterThan">
      <formula>26.04</formula>
    </cfRule>
  </conditionalFormatting>
  <conditionalFormatting sqref="E6 J6 O6">
    <cfRule type="cellIs" dxfId="33" priority="7" operator="lessThan">
      <formula>23.95</formula>
    </cfRule>
  </conditionalFormatting>
  <conditionalFormatting sqref="E25:E34">
    <cfRule type="cellIs" dxfId="32" priority="3" operator="lessThan">
      <formula>23.94</formula>
    </cfRule>
    <cfRule type="cellIs" dxfId="31" priority="4" operator="greaterThan">
      <formula>26.04</formula>
    </cfRule>
  </conditionalFormatting>
  <conditionalFormatting sqref="J25:J26">
    <cfRule type="cellIs" dxfId="30" priority="1" operator="lessThan">
      <formula>23.94</formula>
    </cfRule>
    <cfRule type="cellIs" dxfId="29" priority="2" operator="greaterThan">
      <formula>26.04</formula>
    </cfRule>
  </conditionalFormatting>
  <pageMargins left="0.78740157499999996" right="0.78740157499999996" top="0.984251969" bottom="0.984251969" header="0.4921259845" footer="0.4921259845"/>
  <pageSetup orientation="portrait" r:id="rId36"/>
  <drawing r:id="rId37"/>
  <legacyDrawing r:id="rId3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R32"/>
  <sheetViews>
    <sheetView topLeftCell="A3" zoomScaleNormal="100" workbookViewId="0">
      <selection activeCell="F15" sqref="F15"/>
    </sheetView>
  </sheetViews>
  <sheetFormatPr defaultRowHeight="15" customHeight="1"/>
  <cols>
    <col min="1" max="1" width="16.42578125" customWidth="1"/>
    <col min="2" max="2" width="23" customWidth="1"/>
    <col min="3" max="3" width="26.28515625" customWidth="1"/>
    <col min="4" max="4" width="24" customWidth="1"/>
    <col min="5" max="5" width="21.42578125" customWidth="1"/>
    <col min="6" max="6" width="22.85546875" customWidth="1"/>
    <col min="7" max="7" width="21.42578125" customWidth="1"/>
    <col min="8" max="8" width="25.140625" customWidth="1"/>
    <col min="9" max="9" width="19.140625" style="5" customWidth="1"/>
    <col min="10" max="10" width="13" style="5" bestFit="1" customWidth="1"/>
    <col min="11" max="11" width="14.5703125" style="5" customWidth="1"/>
    <col min="13" max="13" width="11.42578125" bestFit="1" customWidth="1"/>
    <col min="14" max="14" width="13.140625" bestFit="1" customWidth="1"/>
    <col min="15" max="15" width="12.28515625" bestFit="1" customWidth="1"/>
  </cols>
  <sheetData>
    <row r="1" spans="1:15" ht="35.450000000000003" customHeight="1">
      <c r="A1" s="667" t="s">
        <v>39</v>
      </c>
      <c r="B1" s="668"/>
      <c r="C1" s="668"/>
      <c r="D1" s="668"/>
      <c r="E1" s="668"/>
      <c r="F1" s="668"/>
      <c r="G1" s="668"/>
      <c r="H1" s="669"/>
      <c r="J1" s="432"/>
    </row>
    <row r="2" spans="1:15" ht="24.95" customHeight="1">
      <c r="A2" s="675" t="s">
        <v>40</v>
      </c>
      <c r="B2" s="676"/>
      <c r="C2" s="676"/>
      <c r="D2" s="676"/>
      <c r="E2" s="676"/>
      <c r="F2" s="676"/>
      <c r="G2" s="676"/>
      <c r="H2" s="677"/>
      <c r="J2" s="432"/>
    </row>
    <row r="3" spans="1:15" ht="48" customHeight="1">
      <c r="A3" s="670" t="s">
        <v>41</v>
      </c>
      <c r="B3" s="671"/>
      <c r="C3" s="671"/>
      <c r="D3" s="671"/>
      <c r="E3" s="671"/>
      <c r="F3" s="671"/>
      <c r="G3" s="671"/>
      <c r="H3" s="672"/>
    </row>
    <row r="4" spans="1:15" ht="16.5" customHeight="1">
      <c r="A4" s="673" t="s">
        <v>5</v>
      </c>
      <c r="B4" s="663" t="s">
        <v>42</v>
      </c>
      <c r="C4" s="664"/>
      <c r="D4" s="665" t="s">
        <v>43</v>
      </c>
      <c r="E4" s="666"/>
      <c r="F4" s="678" t="s">
        <v>44</v>
      </c>
      <c r="G4" s="679"/>
      <c r="H4" s="405"/>
    </row>
    <row r="5" spans="1:15" s="38" customFormat="1" ht="17.45" customHeight="1">
      <c r="A5" s="673"/>
      <c r="B5" s="680" t="s">
        <v>45</v>
      </c>
      <c r="C5" s="681"/>
      <c r="D5" s="680" t="s">
        <v>46</v>
      </c>
      <c r="E5" s="682"/>
      <c r="F5" s="683" t="s">
        <v>47</v>
      </c>
      <c r="G5" s="684"/>
      <c r="H5" s="321"/>
      <c r="I5" s="62"/>
      <c r="J5" s="62"/>
      <c r="K5" s="62"/>
    </row>
    <row r="6" spans="1:15" s="38" customFormat="1" ht="15.6" customHeight="1">
      <c r="A6" s="674"/>
      <c r="B6" s="322" t="s">
        <v>48</v>
      </c>
      <c r="C6" s="132" t="s">
        <v>49</v>
      </c>
      <c r="D6" s="322" t="s">
        <v>50</v>
      </c>
      <c r="E6" s="132" t="s">
        <v>49</v>
      </c>
      <c r="F6" s="322" t="s">
        <v>50</v>
      </c>
      <c r="G6" s="132" t="s">
        <v>49</v>
      </c>
      <c r="H6" s="132" t="s">
        <v>51</v>
      </c>
      <c r="I6" s="56" t="s">
        <v>52</v>
      </c>
      <c r="J6" s="56" t="s">
        <v>53</v>
      </c>
      <c r="K6" s="56" t="s">
        <v>54</v>
      </c>
    </row>
    <row r="7" spans="1:15" s="27" customFormat="1" ht="21.95" customHeight="1">
      <c r="A7" s="294">
        <v>46268</v>
      </c>
      <c r="B7" s="354">
        <v>89.2</v>
      </c>
      <c r="C7" s="402" t="str">
        <f>IF(B7&lt;87.4,"Confirmar",IF(B7&gt;89.4,"Confirmar","Verdadeiro"))</f>
        <v>Verdadeiro</v>
      </c>
      <c r="D7" s="354">
        <v>88.6</v>
      </c>
      <c r="E7" s="402" t="str">
        <f>IF(D7&lt;87.4,"Confirmar",IF(D7&gt;89.4,"Confirmar","Verdadeiro"))</f>
        <v>Verdadeiro</v>
      </c>
      <c r="F7" s="354">
        <v>89</v>
      </c>
      <c r="G7" s="402" t="str">
        <f>IF(F7&lt;87.4,"Confirmar",IF(F7&gt;89.4,"Confirmar","Verdadeiro"))</f>
        <v>Verdadeiro</v>
      </c>
      <c r="H7" s="467" t="s">
        <v>55</v>
      </c>
      <c r="I7" s="465">
        <v>88.4</v>
      </c>
      <c r="J7" s="465">
        <v>87.4</v>
      </c>
      <c r="K7" s="465">
        <v>89.4</v>
      </c>
    </row>
    <row r="8" spans="1:15" s="27" customFormat="1" ht="21.95" customHeight="1">
      <c r="A8" s="295">
        <v>46269</v>
      </c>
      <c r="B8" s="411">
        <v>88.6</v>
      </c>
      <c r="C8" s="402" t="str">
        <f t="shared" ref="C8:E21" si="0">IF(B8&lt;87.4,"Confirmar",IF(B8&gt;89.4,"Confirmar","Verdadeiro"))</f>
        <v>Verdadeiro</v>
      </c>
      <c r="D8" s="412">
        <v>87.8</v>
      </c>
      <c r="E8" s="402" t="str">
        <f>IF(D8&lt;87.4,"Confirmar",IF(D8&gt;89.4,"Confirmar","Verdadeiro"))</f>
        <v>Verdadeiro</v>
      </c>
      <c r="F8" s="413">
        <v>88.8</v>
      </c>
      <c r="G8" s="402" t="str">
        <f t="shared" ref="G8" si="1">IF(F8&lt;87.4,"Confirmar",IF(F8&gt;89.4,"Confirmar","Verdadeiro"))</f>
        <v>Verdadeiro</v>
      </c>
      <c r="H8" s="357" t="s">
        <v>56</v>
      </c>
      <c r="I8" s="465">
        <v>88.4</v>
      </c>
      <c r="J8" s="465">
        <v>87.4</v>
      </c>
      <c r="K8" s="465">
        <v>89.4</v>
      </c>
    </row>
    <row r="9" spans="1:15" s="27" customFormat="1" ht="21.95" customHeight="1">
      <c r="A9" s="295">
        <v>46269</v>
      </c>
      <c r="B9" s="355">
        <v>88.8</v>
      </c>
      <c r="C9" s="402" t="str">
        <f t="shared" si="0"/>
        <v>Verdadeiro</v>
      </c>
      <c r="D9" s="416">
        <v>88.5</v>
      </c>
      <c r="E9" s="402" t="str">
        <f t="shared" si="0"/>
        <v>Verdadeiro</v>
      </c>
      <c r="F9" s="355">
        <v>88.8</v>
      </c>
      <c r="G9" s="402" t="str">
        <f t="shared" ref="G9" si="2">IF(F9&lt;87.4,"Confirmar",IF(F9&gt;89.4,"Confirmar","Verdadeiro"))</f>
        <v>Verdadeiro</v>
      </c>
      <c r="H9" s="358" t="s">
        <v>56</v>
      </c>
      <c r="I9" s="465">
        <v>88.4</v>
      </c>
      <c r="J9" s="465">
        <v>87.4</v>
      </c>
      <c r="K9" s="465">
        <v>89.4</v>
      </c>
    </row>
    <row r="10" spans="1:15" s="27" customFormat="1" ht="21.95" customHeight="1">
      <c r="A10" s="295">
        <v>46274</v>
      </c>
      <c r="B10" s="355">
        <v>88.5</v>
      </c>
      <c r="C10" s="402" t="str">
        <f t="shared" si="0"/>
        <v>Verdadeiro</v>
      </c>
      <c r="D10" s="355">
        <v>88.8</v>
      </c>
      <c r="E10" s="402" t="str">
        <f t="shared" si="0"/>
        <v>Verdadeiro</v>
      </c>
      <c r="F10" s="355">
        <v>88.9</v>
      </c>
      <c r="G10" s="402" t="str">
        <f t="shared" ref="G10" si="3">IF(F10&lt;87.4,"Confirmar",IF(F10&gt;89.4,"Confirmar","Verdadeiro"))</f>
        <v>Verdadeiro</v>
      </c>
      <c r="H10" s="358" t="s">
        <v>57</v>
      </c>
      <c r="I10" s="465">
        <v>88.4</v>
      </c>
      <c r="J10" s="465">
        <v>87.4</v>
      </c>
      <c r="K10" s="465">
        <v>89.4</v>
      </c>
    </row>
    <row r="11" spans="1:15" s="27" customFormat="1" ht="21.95" customHeight="1">
      <c r="A11" s="295">
        <v>46277</v>
      </c>
      <c r="B11" s="355">
        <v>88.4</v>
      </c>
      <c r="C11" s="402" t="str">
        <f t="shared" si="0"/>
        <v>Verdadeiro</v>
      </c>
      <c r="D11" s="355">
        <v>88.6</v>
      </c>
      <c r="E11" s="402" t="str">
        <f t="shared" si="0"/>
        <v>Verdadeiro</v>
      </c>
      <c r="F11" s="355">
        <v>88.7</v>
      </c>
      <c r="G11" s="402" t="str">
        <f t="shared" ref="G11" si="4">IF(F11&lt;87.4,"Confirmar",IF(F11&gt;89.4,"Confirmar","Verdadeiro"))</f>
        <v>Verdadeiro</v>
      </c>
      <c r="H11" s="358" t="s">
        <v>58</v>
      </c>
      <c r="I11" s="465">
        <v>88.4</v>
      </c>
      <c r="J11" s="465">
        <v>87.4</v>
      </c>
      <c r="K11" s="465">
        <v>89.4</v>
      </c>
      <c r="M11" s="28"/>
      <c r="N11" s="17"/>
      <c r="O11" s="23"/>
    </row>
    <row r="12" spans="1:15" s="27" customFormat="1" ht="21.95" customHeight="1">
      <c r="A12" s="295">
        <v>46279</v>
      </c>
      <c r="B12" s="355">
        <v>88.8</v>
      </c>
      <c r="C12" s="402" t="str">
        <f t="shared" si="0"/>
        <v>Verdadeiro</v>
      </c>
      <c r="D12" s="355">
        <v>88.4</v>
      </c>
      <c r="E12" s="402" t="str">
        <f t="shared" si="0"/>
        <v>Verdadeiro</v>
      </c>
      <c r="F12" s="355">
        <v>89</v>
      </c>
      <c r="G12" s="402" t="str">
        <f t="shared" ref="G12:G13" si="5">IF(F12&lt;87.4,"Confirmar",IF(F12&gt;89.4,"Confirmar","Verdadeiro"))</f>
        <v>Verdadeiro</v>
      </c>
      <c r="H12" s="358" t="s">
        <v>59</v>
      </c>
      <c r="I12" s="465">
        <v>88.4</v>
      </c>
      <c r="J12" s="465">
        <v>87.4</v>
      </c>
      <c r="K12" s="465">
        <v>89.4</v>
      </c>
      <c r="L12" s="29"/>
      <c r="M12" s="29"/>
    </row>
    <row r="13" spans="1:15" s="27" customFormat="1" ht="21.95" customHeight="1">
      <c r="A13" s="296">
        <v>46281</v>
      </c>
      <c r="B13" s="355">
        <v>87.9</v>
      </c>
      <c r="C13" s="402" t="str">
        <f t="shared" si="0"/>
        <v>Verdadeiro</v>
      </c>
      <c r="D13" s="355">
        <v>88</v>
      </c>
      <c r="E13" s="402" t="str">
        <f t="shared" si="0"/>
        <v>Verdadeiro</v>
      </c>
      <c r="F13" s="355">
        <v>88.1</v>
      </c>
      <c r="G13" s="402" t="str">
        <f t="shared" si="5"/>
        <v>Verdadeiro</v>
      </c>
      <c r="H13" s="359" t="s">
        <v>60</v>
      </c>
      <c r="I13" s="465">
        <v>88.4</v>
      </c>
      <c r="J13" s="465">
        <v>87.4</v>
      </c>
      <c r="K13" s="465">
        <v>89.4</v>
      </c>
      <c r="L13" s="29"/>
      <c r="M13" s="29"/>
    </row>
    <row r="14" spans="1:15" s="27" customFormat="1" ht="21.95" customHeight="1">
      <c r="A14" s="295">
        <v>46287</v>
      </c>
      <c r="B14" s="355">
        <v>88.52</v>
      </c>
      <c r="C14" s="402" t="str">
        <f t="shared" si="0"/>
        <v>Verdadeiro</v>
      </c>
      <c r="D14" s="355">
        <v>87.8</v>
      </c>
      <c r="E14" s="402" t="str">
        <f t="shared" si="0"/>
        <v>Verdadeiro</v>
      </c>
      <c r="F14" s="355">
        <v>88.25</v>
      </c>
      <c r="G14" s="402" t="str">
        <f t="shared" ref="G14" si="6">IF(F14&lt;87.4,"Confirmar",IF(F14&gt;89.4,"Confirmar","Verdadeiro"))</f>
        <v>Verdadeiro</v>
      </c>
      <c r="H14" s="357" t="s">
        <v>58</v>
      </c>
      <c r="I14" s="465">
        <v>88.4</v>
      </c>
      <c r="J14" s="465">
        <v>87.4</v>
      </c>
      <c r="K14" s="465">
        <v>89.4</v>
      </c>
      <c r="L14" s="29"/>
      <c r="M14" s="29"/>
    </row>
    <row r="15" spans="1:15" s="27" customFormat="1" ht="21.95" customHeight="1">
      <c r="A15" s="295"/>
      <c r="B15" s="355"/>
      <c r="C15" s="402" t="str">
        <f t="shared" si="0"/>
        <v>Confirmar</v>
      </c>
      <c r="D15" s="355"/>
      <c r="E15" s="402" t="str">
        <f t="shared" si="0"/>
        <v>Confirmar</v>
      </c>
      <c r="F15" s="355"/>
      <c r="G15" s="402" t="str">
        <f t="shared" ref="G15" si="7">IF(F15&lt;87.4,"Confirmar",IF(F15&gt;89.4,"Confirmar","Verdadeiro"))</f>
        <v>Confirmar</v>
      </c>
      <c r="H15" s="358"/>
      <c r="I15" s="465">
        <v>88.4</v>
      </c>
      <c r="J15" s="465">
        <v>87.4</v>
      </c>
      <c r="K15" s="465">
        <v>89.4</v>
      </c>
      <c r="L15" s="29"/>
      <c r="M15" s="29"/>
    </row>
    <row r="16" spans="1:15" s="27" customFormat="1" ht="21.95" customHeight="1">
      <c r="A16" s="295"/>
      <c r="B16" s="355"/>
      <c r="C16" s="402" t="str">
        <f t="shared" si="0"/>
        <v>Confirmar</v>
      </c>
      <c r="D16" s="355"/>
      <c r="E16" s="402" t="str">
        <f t="shared" si="0"/>
        <v>Confirmar</v>
      </c>
      <c r="F16" s="355"/>
      <c r="G16" s="402" t="str">
        <f t="shared" ref="G16" si="8">IF(F16&lt;87.4,"Confirmar",IF(F16&gt;89.4,"Confirmar","Verdadeiro"))</f>
        <v>Confirmar</v>
      </c>
      <c r="H16" s="357"/>
      <c r="I16" s="465">
        <v>88.4</v>
      </c>
      <c r="J16" s="465">
        <v>87.4</v>
      </c>
      <c r="K16" s="465">
        <v>89.4</v>
      </c>
      <c r="L16" s="29"/>
      <c r="M16" s="29"/>
    </row>
    <row r="17" spans="1:18" s="27" customFormat="1" ht="21.95" customHeight="1">
      <c r="A17" s="295"/>
      <c r="B17" s="355"/>
      <c r="C17" s="402" t="str">
        <f t="shared" si="0"/>
        <v>Confirmar</v>
      </c>
      <c r="D17" s="355"/>
      <c r="E17" s="402" t="str">
        <f t="shared" si="0"/>
        <v>Confirmar</v>
      </c>
      <c r="F17" s="355"/>
      <c r="G17" s="402" t="str">
        <f t="shared" ref="G17" si="9">IF(F17&lt;87.4,"Confirmar",IF(F17&gt;89.4,"Confirmar","Verdadeiro"))</f>
        <v>Confirmar</v>
      </c>
      <c r="H17" s="358"/>
      <c r="I17" s="465">
        <v>88.4</v>
      </c>
      <c r="J17" s="465">
        <v>87.4</v>
      </c>
      <c r="K17" s="465">
        <v>89.4</v>
      </c>
      <c r="L17" s="29"/>
      <c r="M17" s="29"/>
    </row>
    <row r="18" spans="1:18" s="27" customFormat="1" ht="21.95" customHeight="1">
      <c r="A18" s="295"/>
      <c r="B18" s="355"/>
      <c r="C18" s="402" t="str">
        <f t="shared" si="0"/>
        <v>Confirmar</v>
      </c>
      <c r="D18" s="355"/>
      <c r="E18" s="402" t="str">
        <f t="shared" si="0"/>
        <v>Confirmar</v>
      </c>
      <c r="F18" s="355"/>
      <c r="G18" s="402" t="str">
        <f t="shared" ref="G18" si="10">IF(F18&lt;87.4,"Confirmar",IF(F18&gt;89.4,"Confirmar","Verdadeiro"))</f>
        <v>Confirmar</v>
      </c>
      <c r="H18" s="358"/>
      <c r="I18" s="465">
        <v>88.4</v>
      </c>
      <c r="J18" s="465">
        <v>87.4</v>
      </c>
      <c r="K18" s="465">
        <v>89.4</v>
      </c>
      <c r="L18" s="29"/>
      <c r="M18" s="29"/>
    </row>
    <row r="19" spans="1:18" s="27" customFormat="1" ht="21.95" customHeight="1">
      <c r="A19" s="295"/>
      <c r="B19" s="355"/>
      <c r="C19" s="402" t="str">
        <f t="shared" si="0"/>
        <v>Confirmar</v>
      </c>
      <c r="D19" s="355"/>
      <c r="E19" s="402" t="str">
        <f t="shared" si="0"/>
        <v>Confirmar</v>
      </c>
      <c r="F19" s="355"/>
      <c r="G19" s="402" t="str">
        <f t="shared" ref="G19" si="11">IF(F19&lt;87.4,"Confirmar",IF(F19&gt;89.4,"Confirmar","Verdadeiro"))</f>
        <v>Confirmar</v>
      </c>
      <c r="H19" s="358"/>
      <c r="I19" s="465">
        <v>88.4</v>
      </c>
      <c r="J19" s="465">
        <v>87.4</v>
      </c>
      <c r="K19" s="465">
        <v>89.4</v>
      </c>
      <c r="L19" s="29"/>
      <c r="M19" s="29"/>
    </row>
    <row r="20" spans="1:18" s="27" customFormat="1" ht="21.95" customHeight="1">
      <c r="A20" s="295"/>
      <c r="B20" s="355"/>
      <c r="C20" s="402" t="str">
        <f t="shared" si="0"/>
        <v>Confirmar</v>
      </c>
      <c r="D20" s="355"/>
      <c r="E20" s="402" t="str">
        <f t="shared" si="0"/>
        <v>Confirmar</v>
      </c>
      <c r="F20" s="355"/>
      <c r="G20" s="402" t="str">
        <f t="shared" ref="G20" si="12">IF(F20&lt;87.4,"Confirmar",IF(F20&gt;89.4,"Confirmar","Verdadeiro"))</f>
        <v>Confirmar</v>
      </c>
      <c r="H20" s="358"/>
      <c r="I20" s="465">
        <v>88.4</v>
      </c>
      <c r="J20" s="465">
        <v>87.4</v>
      </c>
      <c r="K20" s="465">
        <v>89.4</v>
      </c>
      <c r="L20" s="29"/>
      <c r="M20" s="29"/>
    </row>
    <row r="21" spans="1:18" s="27" customFormat="1" ht="21.95" customHeight="1">
      <c r="A21" s="325"/>
      <c r="B21" s="356"/>
      <c r="C21" s="402" t="str">
        <f t="shared" si="0"/>
        <v>Confirmar</v>
      </c>
      <c r="D21" s="356"/>
      <c r="E21" s="402" t="str">
        <f t="shared" si="0"/>
        <v>Confirmar</v>
      </c>
      <c r="F21" s="356"/>
      <c r="G21" s="402" t="str">
        <f t="shared" ref="G21" si="13">IF(F21&lt;87.4,"Confirmar",IF(F21&gt;89.4,"Confirmar","Verdadeiro"))</f>
        <v>Confirmar</v>
      </c>
      <c r="H21" s="360"/>
      <c r="I21" s="465">
        <v>88.4</v>
      </c>
      <c r="J21" s="465">
        <v>87.4</v>
      </c>
      <c r="K21" s="465">
        <v>89.4</v>
      </c>
      <c r="L21" s="29"/>
      <c r="M21" s="29"/>
    </row>
    <row r="22" spans="1:18" s="27" customFormat="1" ht="21.95" customHeight="1">
      <c r="A22" s="317" t="s">
        <v>26</v>
      </c>
      <c r="B22" s="323">
        <f>AVERAGE(B7:B21)</f>
        <v>88.589999999999989</v>
      </c>
      <c r="C22" s="324"/>
      <c r="D22" s="323">
        <f>AVERAGE(D7:D21)</f>
        <v>88.312499999999986</v>
      </c>
      <c r="E22" s="324"/>
      <c r="F22" s="323">
        <f>AVERAGE(F7:F21)</f>
        <v>88.693750000000009</v>
      </c>
      <c r="G22" s="324"/>
      <c r="H22" s="323"/>
      <c r="I22" s="433"/>
      <c r="J22" s="433"/>
      <c r="K22" s="433"/>
    </row>
    <row r="23" spans="1:18" ht="14.45">
      <c r="A23" s="6"/>
      <c r="B23" s="5"/>
      <c r="C23" s="5"/>
      <c r="D23" s="5"/>
      <c r="E23" s="5"/>
      <c r="F23" s="5"/>
      <c r="G23" s="5"/>
      <c r="H23" s="5"/>
    </row>
    <row r="24" spans="1:18" ht="14.45">
      <c r="A24" s="6" t="s">
        <v>36</v>
      </c>
      <c r="B24" s="6">
        <f>COUNT(B7:B21,D21,D7:D21)</f>
        <v>16</v>
      </c>
      <c r="C24" s="6"/>
      <c r="D24" s="6"/>
      <c r="E24" s="6"/>
      <c r="F24" s="6"/>
      <c r="G24" s="6"/>
      <c r="H24" s="6"/>
      <c r="I24" s="6"/>
      <c r="L24" s="5"/>
      <c r="M24" s="5"/>
      <c r="N24" s="5"/>
      <c r="O24" s="5"/>
      <c r="P24" s="5"/>
    </row>
    <row r="25" spans="1:18" ht="14.45">
      <c r="A25" s="5"/>
      <c r="B25" s="5"/>
      <c r="C25" s="5"/>
      <c r="D25" s="5"/>
      <c r="E25" s="5"/>
      <c r="F25" s="5"/>
      <c r="G25" s="5"/>
      <c r="H25" s="5"/>
      <c r="L25" s="5"/>
      <c r="M25" s="5"/>
      <c r="N25" s="5"/>
      <c r="O25" s="1"/>
      <c r="P25" s="1"/>
      <c r="Q25" s="1"/>
      <c r="R25" s="1"/>
    </row>
    <row r="26" spans="1:18" ht="17.45">
      <c r="A26" s="5"/>
      <c r="B26" s="5"/>
      <c r="C26" s="5"/>
      <c r="D26" s="5"/>
      <c r="E26" s="5"/>
      <c r="F26" s="5"/>
      <c r="G26" s="5"/>
      <c r="H26" s="5"/>
      <c r="L26" s="25"/>
      <c r="M26" s="25"/>
      <c r="N26" s="1"/>
      <c r="O26" s="1"/>
      <c r="P26" s="1"/>
      <c r="Q26" s="1"/>
      <c r="R26" s="1"/>
    </row>
    <row r="27" spans="1:18" ht="17.45">
      <c r="A27" s="1"/>
      <c r="B27" s="1"/>
      <c r="C27" s="1"/>
      <c r="D27" s="1"/>
      <c r="E27" s="1"/>
      <c r="F27" s="1"/>
      <c r="G27" s="1"/>
      <c r="H27" s="1"/>
      <c r="L27" s="1"/>
      <c r="M27" s="26"/>
      <c r="N27" s="1"/>
      <c r="O27" s="1"/>
      <c r="P27" s="1"/>
      <c r="Q27" s="1"/>
      <c r="R27" s="1"/>
    </row>
    <row r="28" spans="1:18" ht="18.75" customHeight="1">
      <c r="A28" s="5"/>
      <c r="B28" s="5"/>
      <c r="C28" s="5"/>
      <c r="D28" s="5"/>
      <c r="E28" s="5"/>
      <c r="F28" s="5"/>
      <c r="G28" s="5"/>
      <c r="H28" s="5"/>
      <c r="M28" s="18"/>
    </row>
    <row r="29" spans="1:18" ht="17.45">
      <c r="B29" s="16"/>
      <c r="C29" s="16"/>
      <c r="D29" s="16"/>
      <c r="E29" s="16"/>
      <c r="F29" s="16"/>
      <c r="G29" s="16"/>
      <c r="H29" s="16"/>
      <c r="I29" s="434"/>
      <c r="M29" s="18"/>
    </row>
    <row r="30" spans="1:18" ht="18">
      <c r="B30" s="17"/>
      <c r="C30" s="17"/>
      <c r="D30" s="17"/>
      <c r="E30" s="17"/>
      <c r="F30" s="17"/>
      <c r="G30" s="17"/>
      <c r="H30" s="17"/>
      <c r="I30" s="435"/>
      <c r="M30" s="19"/>
    </row>
    <row r="31" spans="1:18" ht="17.45">
      <c r="B31" s="17"/>
      <c r="C31" s="17"/>
      <c r="D31" s="17"/>
      <c r="E31" s="17"/>
      <c r="F31" s="17"/>
      <c r="G31" s="17"/>
      <c r="H31" s="17"/>
      <c r="I31" s="435"/>
      <c r="M31" s="18"/>
    </row>
    <row r="32" spans="1:18" ht="18">
      <c r="B32" s="17"/>
      <c r="C32" s="17"/>
      <c r="D32" s="17"/>
      <c r="E32" s="17"/>
      <c r="F32" s="17"/>
      <c r="G32" s="17"/>
      <c r="H32" s="17"/>
      <c r="I32" s="435"/>
      <c r="K32" s="436"/>
      <c r="L32" s="17"/>
      <c r="M32" s="19"/>
    </row>
  </sheetData>
  <customSheetViews>
    <customSheetView guid="{CCCF8C80-0A30-4E00-90E2-6A0478F5DFB8}" scale="85">
      <selection activeCell="A2" sqref="A2:O2"/>
      <pageMargins left="0" right="0" top="0" bottom="0" header="0" footer="0"/>
    </customSheetView>
    <customSheetView guid="{BB76541C-9734-4AE6-BF63-6D073F753C9C}" state="hidden">
      <selection activeCell="A2" sqref="A2:O2"/>
      <pageMargins left="0" right="0" top="0" bottom="0" header="0" footer="0"/>
    </customSheetView>
    <customSheetView guid="{B5E2B02B-7E99-408C-BB6F-FFF2280098B7}" state="hidden">
      <selection activeCell="I8" sqref="I8"/>
      <pageMargins left="0" right="0" top="0" bottom="0" header="0" footer="0"/>
    </customSheetView>
    <customSheetView guid="{C2E74EDD-1B26-4C41-B9BB-CBF9BFB9023A}" scale="84" state="hidden">
      <selection activeCell="A2" sqref="A2:O2"/>
      <pageMargins left="0" right="0" top="0" bottom="0" header="0" footer="0"/>
      <pageSetup paperSize="9" orientation="portrait" r:id="rId1"/>
    </customSheetView>
    <customSheetView guid="{350D256E-484A-493C-BEC1-E6E92C0ED1FB}" scale="85" state="hidden">
      <selection activeCell="A4" sqref="A4:A19"/>
      <pageMargins left="0" right="0" top="0" bottom="0" header="0" footer="0"/>
    </customSheetView>
    <customSheetView guid="{66B043C9-090A-44CE-8F78-F01A2E95C074}">
      <selection activeCell="E17" sqref="E17"/>
      <pageMargins left="0" right="0" top="0" bottom="0" header="0" footer="0"/>
    </customSheetView>
    <customSheetView guid="{71E28378-5869-4383-8FDC-814E20362E22}" scale="85" state="hidden">
      <selection activeCell="A2" sqref="A2:O2"/>
      <pageMargins left="0" right="0" top="0" bottom="0" header="0" footer="0"/>
      <pageSetup paperSize="9" orientation="portrait" r:id="rId2"/>
    </customSheetView>
    <customSheetView guid="{F714CF42-7A1C-4705-AE29-392CBBABC9F9}" scale="85" state="hidden">
      <selection activeCell="K19" sqref="K19"/>
      <pageMargins left="0" right="0" top="0" bottom="0" header="0" footer="0"/>
      <pageSetup paperSize="9" orientation="portrait" r:id="rId3"/>
    </customSheetView>
    <customSheetView guid="{693A9131-2702-4FE7-A7C7-E6EDDD138512}" state="hidden">
      <selection activeCell="F19" sqref="F19"/>
      <pageMargins left="0" right="0" top="0" bottom="0" header="0" footer="0"/>
    </customSheetView>
    <customSheetView guid="{4748EC4C-81D5-43D5-94BD-A5B223346BCF}" scale="85" state="hidden">
      <selection activeCell="D7" sqref="D7"/>
      <pageMargins left="0" right="0" top="0" bottom="0" header="0" footer="0"/>
    </customSheetView>
    <customSheetView guid="{CBDC2B44-0B12-42F6-8A83-327620A020F0}" state="hidden" topLeftCell="A2">
      <selection activeCell="A2" sqref="A2:O2"/>
      <pageMargins left="0" right="0" top="0" bottom="0" header="0" footer="0"/>
    </customSheetView>
    <customSheetView guid="{713A1DD7-FA1F-4623-B0E6-A04686290522}">
      <selection activeCell="S5" sqref="S5"/>
      <pageMargins left="0" right="0" top="0" bottom="0" header="0" footer="0"/>
    </customSheetView>
    <customSheetView guid="{70843BDF-D655-4848-BCD4-BDFD277BBD35}" scale="85" state="hidden">
      <selection activeCell="S2" sqref="S2"/>
      <pageMargins left="0" right="0" top="0" bottom="0" header="0" footer="0"/>
      <pageSetup paperSize="9" orientation="portrait" r:id="rId4"/>
    </customSheetView>
    <customSheetView guid="{8C81953D-A26D-4ACF-9D7D-729107B858BE}" state="hidden">
      <selection activeCell="A2" sqref="A2:O2"/>
      <pageMargins left="0" right="0" top="0" bottom="0" header="0" footer="0"/>
    </customSheetView>
    <customSheetView guid="{F237F3C3-0F47-464A-8293-D057DA35FD3F}" state="hidden" topLeftCell="A16">
      <selection activeCell="A2" sqref="A2:P2"/>
      <pageMargins left="0" right="0" top="0" bottom="0" header="0" footer="0"/>
    </customSheetView>
    <customSheetView guid="{5867E70C-6837-4B3A-9747-480F77CCE139}" scale="85">
      <selection activeCell="A2" sqref="A2:Q2"/>
      <pageMargins left="0" right="0" top="0" bottom="0" header="0" footer="0"/>
    </customSheetView>
    <customSheetView guid="{59F2B60C-C5F9-44B8-BC83-94BE106F57C3}">
      <selection activeCell="E17" sqref="E17"/>
      <pageMargins left="0" right="0" top="0" bottom="0" header="0" footer="0"/>
    </customSheetView>
    <customSheetView guid="{0C0476DE-F4E6-4ADB-B504-A8D8F3A78376}" state="hidden">
      <selection activeCell="F13" sqref="F13"/>
      <pageMargins left="0" right="0" top="0" bottom="0" header="0" footer="0"/>
    </customSheetView>
    <customSheetView guid="{AAFEB45B-EC48-4A57-9442-3F536E68E653}" scale="85" state="hidden">
      <selection activeCell="P8" sqref="P8"/>
      <pageMargins left="0" right="0" top="0" bottom="0" header="0" footer="0"/>
    </customSheetView>
    <customSheetView guid="{18148FBC-4DDD-4025-B982-F009E34B76B6}">
      <selection activeCell="A2" sqref="A2:Q2"/>
      <pageMargins left="0" right="0" top="0" bottom="0" header="0" footer="0"/>
    </customSheetView>
    <customSheetView guid="{45058AEB-0A55-4288-B2D5-D3D1B02DD62F}" scale="85">
      <selection activeCell="A2" sqref="A2:Q2"/>
      <pageMargins left="0" right="0" top="0" bottom="0" header="0" footer="0"/>
    </customSheetView>
    <customSheetView guid="{0121BC5C-2AA6-4F6C-871B-F5CDF1633F72}" state="hidden" topLeftCell="A2">
      <selection activeCell="A2" sqref="A2:P2"/>
      <pageMargins left="0" right="0" top="0" bottom="0" header="0" footer="0"/>
    </customSheetView>
    <customSheetView guid="{83581ACB-5281-4BE1-9AE2-7BAA59D29A86}" scale="85" state="hidden">
      <selection activeCell="U28" sqref="U28:U30"/>
      <pageMargins left="0" right="0" top="0" bottom="0" header="0" footer="0"/>
    </customSheetView>
    <customSheetView guid="{C4E0EA46-0B96-4EC7-979B-F7138E3B8454}" state="hidden">
      <selection activeCell="B12" sqref="B12"/>
      <pageMargins left="0" right="0" top="0" bottom="0" header="0" footer="0"/>
      <pageSetup paperSize="9" orientation="portrait" r:id="rId5"/>
    </customSheetView>
    <customSheetView guid="{3D410819-5520-4C0F-958E-9FC09D4B42DD}">
      <selection activeCell="B7" sqref="B7"/>
      <pageMargins left="0" right="0" top="0" bottom="0" header="0" footer="0"/>
    </customSheetView>
    <customSheetView guid="{16402340-B3EF-461B-8AF9-D2FFE7E6BD1B}" state="hidden">
      <selection activeCell="A2" sqref="A2:O2"/>
      <pageMargins left="0" right="0" top="0" bottom="0" header="0" footer="0"/>
    </customSheetView>
    <customSheetView guid="{EA7DCB4E-60E8-4E16-A16D-6D297CA2C1EC}" state="hidden">
      <selection activeCell="A2" sqref="A2:P2"/>
      <pageMargins left="0" right="0" top="0" bottom="0" header="0" footer="0"/>
    </customSheetView>
    <customSheetView guid="{99844124-CC26-41CC-BF01-C430840B6A11}" scale="85" state="hidden">
      <selection activeCell="A2" sqref="A2:O2"/>
      <pageMargins left="0" right="0" top="0" bottom="0" header="0" footer="0"/>
    </customSheetView>
    <customSheetView guid="{4928B0BF-3605-4228-B5EA-B9EFCB2DA176}" state="hidden">
      <selection activeCell="A2" sqref="A2:O2"/>
      <pageMargins left="0" right="0" top="0" bottom="0" header="0" footer="0"/>
    </customSheetView>
    <customSheetView guid="{3BD3E38B-E288-4CCF-9EE9-3A5263D49C28}" state="hidden">
      <selection activeCell="A2" sqref="A2:P2"/>
      <pageMargins left="0" right="0" top="0" bottom="0" header="0" footer="0"/>
    </customSheetView>
    <customSheetView guid="{C77CCEB6-690D-489F-B3AF-2BAA99B10E03}" scale="85" state="hidden">
      <selection activeCell="L14" sqref="L14"/>
      <pageMargins left="0" right="0" top="0" bottom="0" header="0" footer="0"/>
    </customSheetView>
    <customSheetView guid="{59668F56-2642-434E-822C-BDA8586DAA1D}" state="hidden">
      <selection activeCell="A2" sqref="A2:O2"/>
      <pageMargins left="0" right="0" top="0" bottom="0" header="0" footer="0"/>
    </customSheetView>
    <customSheetView guid="{A9DC904F-863E-4EE0-A626-0795983927A7}" scale="85" state="hidden">
      <selection activeCell="N6" sqref="N6"/>
      <pageMargins left="0" right="0" top="0" bottom="0" header="0" footer="0"/>
      <pageSetup paperSize="9" orientation="portrait" r:id="rId6"/>
    </customSheetView>
    <customSheetView guid="{E8ADB739-37E9-4E75-B31D-C7B374D790E1}">
      <selection activeCell="F13" sqref="F13"/>
      <pageMargins left="0" right="0" top="0" bottom="0" header="0" footer="0"/>
    </customSheetView>
    <customSheetView guid="{875BCD04-10B9-4BB6-BBE5-9B2301DD2EC9}" scale="75">
      <selection activeCell="O16" sqref="O16"/>
      <pageMargins left="0" right="0" top="0" bottom="0" header="0" footer="0"/>
      <pageSetup paperSize="258" orientation="portrait" horizontalDpi="203" verticalDpi="203" r:id="rId7"/>
    </customSheetView>
    <customSheetView guid="{681A0256-766F-4C32-B8C6-D64468E2450A}" scale="85" state="hidden">
      <selection activeCell="A2" sqref="A2:O2"/>
      <pageMargins left="0" right="0" top="0" bottom="0" header="0" footer="0"/>
    </customSheetView>
  </customSheetViews>
  <mergeCells count="10">
    <mergeCell ref="B4:C4"/>
    <mergeCell ref="D4:E4"/>
    <mergeCell ref="A1:H1"/>
    <mergeCell ref="A3:H3"/>
    <mergeCell ref="A4:A6"/>
    <mergeCell ref="A2:H2"/>
    <mergeCell ref="F4:G4"/>
    <mergeCell ref="B5:C5"/>
    <mergeCell ref="D5:E5"/>
    <mergeCell ref="F5:G5"/>
  </mergeCells>
  <conditionalFormatting sqref="C7:C21 E7:E21 G7:G21">
    <cfRule type="containsText" dxfId="28" priority="1" operator="containsText" text="confirmar">
      <formula>NOT(ISERROR(SEARCH("confirmar",C7)))</formula>
    </cfRule>
    <cfRule type="containsText" dxfId="27" priority="2" operator="containsText" text="verdadeiro">
      <formula>NOT(ISERROR(SEARCH("verdadeiro",C7)))</formula>
    </cfRule>
  </conditionalFormatting>
  <pageMargins left="0.23622047244094491" right="0.23622047244094491" top="0.74803149606299213" bottom="0.74803149606299213" header="0.31496062992125984" footer="0.31496062992125984"/>
  <pageSetup paperSize="9" scale="93" orientation="landscape" r:id="rId8"/>
  <colBreaks count="1" manualBreakCount="1">
    <brk id="8" max="1048575" man="1"/>
  </colBreaks>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S75"/>
  <sheetViews>
    <sheetView topLeftCell="A32" zoomScale="90" zoomScaleNormal="90" workbookViewId="0">
      <selection activeCell="H49" sqref="H49"/>
    </sheetView>
  </sheetViews>
  <sheetFormatPr defaultRowHeight="15" customHeight="1"/>
  <cols>
    <col min="1" max="1" width="9" customWidth="1"/>
    <col min="3" max="4" width="7.5703125" style="110" customWidth="1"/>
    <col min="5" max="5" width="10" customWidth="1"/>
    <col min="6" max="6" width="11.28515625" customWidth="1"/>
    <col min="7" max="7" width="10.140625" customWidth="1"/>
    <col min="8" max="8" width="9.42578125" customWidth="1"/>
    <col min="9" max="9" width="11.85546875" style="21" bestFit="1" customWidth="1"/>
    <col min="10" max="10" width="13.140625" style="21" hidden="1" customWidth="1"/>
    <col min="11" max="11" width="11.42578125" style="21" hidden="1" customWidth="1"/>
    <col min="12" max="12" width="13" hidden="1" customWidth="1"/>
    <col min="13" max="13" width="11.140625" style="22" hidden="1" customWidth="1"/>
    <col min="14" max="14" width="19.42578125" style="1" bestFit="1" customWidth="1"/>
  </cols>
  <sheetData>
    <row r="1" spans="1:18" ht="15" customHeight="1">
      <c r="A1" s="686"/>
      <c r="B1" s="687"/>
      <c r="C1" s="687"/>
      <c r="D1" s="403"/>
      <c r="E1" s="686" t="s">
        <v>61</v>
      </c>
      <c r="F1" s="687"/>
      <c r="G1" s="687"/>
      <c r="H1" s="687"/>
      <c r="I1" s="687"/>
      <c r="J1" s="687"/>
      <c r="K1" s="687"/>
      <c r="L1" s="687"/>
      <c r="M1" s="687"/>
      <c r="N1" s="700"/>
    </row>
    <row r="2" spans="1:18" ht="17.45" customHeight="1" thickBot="1">
      <c r="A2" s="688"/>
      <c r="B2" s="689"/>
      <c r="C2" s="689"/>
      <c r="D2" s="404"/>
      <c r="E2" s="688"/>
      <c r="F2" s="689"/>
      <c r="G2" s="689"/>
      <c r="H2" s="689"/>
      <c r="I2" s="689"/>
      <c r="J2" s="689"/>
      <c r="K2" s="689"/>
      <c r="L2" s="689"/>
      <c r="M2" s="689"/>
      <c r="N2" s="701"/>
      <c r="O2" s="5"/>
      <c r="P2" s="5"/>
      <c r="Q2" s="5"/>
      <c r="R2" s="5"/>
    </row>
    <row r="3" spans="1:18" ht="18.600000000000001">
      <c r="A3" s="697" t="s">
        <v>62</v>
      </c>
      <c r="B3" s="698"/>
      <c r="C3" s="698"/>
      <c r="D3" s="698"/>
      <c r="E3" s="698"/>
      <c r="F3" s="698"/>
      <c r="G3" s="698"/>
      <c r="H3" s="698"/>
      <c r="I3" s="698"/>
      <c r="J3" s="698"/>
      <c r="K3" s="698"/>
      <c r="L3" s="698"/>
      <c r="M3" s="698"/>
      <c r="N3" s="699"/>
      <c r="O3" s="5"/>
      <c r="P3" s="5"/>
      <c r="Q3" s="5"/>
      <c r="R3" s="5"/>
    </row>
    <row r="4" spans="1:18" ht="48.6" customHeight="1">
      <c r="A4" s="693" t="s">
        <v>63</v>
      </c>
      <c r="B4" s="694"/>
      <c r="C4" s="694"/>
      <c r="D4" s="695"/>
      <c r="E4" s="694"/>
      <c r="F4" s="694"/>
      <c r="G4" s="694"/>
      <c r="H4" s="694"/>
      <c r="I4" s="695"/>
      <c r="J4" s="694"/>
      <c r="K4" s="694"/>
      <c r="L4" s="694"/>
      <c r="M4" s="694"/>
      <c r="N4" s="696"/>
      <c r="O4" s="5"/>
      <c r="P4" s="5"/>
      <c r="Q4" s="5"/>
      <c r="R4" s="5"/>
    </row>
    <row r="5" spans="1:18" ht="31.5" customHeight="1">
      <c r="A5" s="67" t="s">
        <v>5</v>
      </c>
      <c r="B5" s="3" t="s">
        <v>64</v>
      </c>
      <c r="C5" s="187" t="s">
        <v>65</v>
      </c>
      <c r="D5" s="410" t="s">
        <v>66</v>
      </c>
      <c r="E5" s="185" t="s">
        <v>53</v>
      </c>
      <c r="F5" s="31" t="s">
        <v>54</v>
      </c>
      <c r="G5" s="30" t="s">
        <v>52</v>
      </c>
      <c r="H5" s="31" t="s">
        <v>66</v>
      </c>
      <c r="I5" s="410" t="s">
        <v>49</v>
      </c>
      <c r="J5" s="185" t="s">
        <v>67</v>
      </c>
      <c r="K5" s="30" t="s">
        <v>49</v>
      </c>
      <c r="L5" s="185" t="s">
        <v>68</v>
      </c>
      <c r="M5" s="115" t="s">
        <v>49</v>
      </c>
      <c r="N5" s="117" t="s">
        <v>51</v>
      </c>
      <c r="O5" s="5"/>
      <c r="P5" s="5"/>
      <c r="Q5" s="5"/>
      <c r="R5" s="5"/>
    </row>
    <row r="6" spans="1:18">
      <c r="A6" s="297">
        <v>46266</v>
      </c>
      <c r="B6" s="46" t="s">
        <v>69</v>
      </c>
      <c r="C6" s="300" t="s">
        <v>70</v>
      </c>
      <c r="D6" s="406" t="s">
        <v>71</v>
      </c>
      <c r="E6" s="408">
        <v>1986</v>
      </c>
      <c r="F6" s="184">
        <v>2074</v>
      </c>
      <c r="G6" s="186">
        <v>2030</v>
      </c>
      <c r="H6" s="303">
        <v>2018</v>
      </c>
      <c r="I6" s="183" t="str">
        <f>IF(H6&lt;1986,"Confirmar",IF(H6&gt;2074,"Confirmar","Verdadeiro"))</f>
        <v>Verdadeiro</v>
      </c>
      <c r="J6" s="116" t="s">
        <v>72</v>
      </c>
      <c r="K6" s="32" t="str">
        <f t="shared" ref="K6" si="0">IF(J6&lt;2076,"Confirmar",IF(J6&gt;2164,"Confirmar","Verdadeiro"))</f>
        <v>Confirmar</v>
      </c>
      <c r="L6" s="306"/>
      <c r="M6" s="183" t="str">
        <f>IF(L6&lt;1986,"Confirmar",IF(L6&gt;2074,"Confirmar","Verdadeiro"))</f>
        <v>Confirmar</v>
      </c>
      <c r="N6" s="307" t="s">
        <v>73</v>
      </c>
      <c r="O6" s="5"/>
      <c r="P6" s="5"/>
      <c r="Q6" s="5"/>
      <c r="R6" s="5"/>
    </row>
    <row r="7" spans="1:18">
      <c r="A7" s="297">
        <v>46266</v>
      </c>
      <c r="B7" s="188" t="s">
        <v>74</v>
      </c>
      <c r="C7" s="309" t="s">
        <v>75</v>
      </c>
      <c r="D7" s="406" t="s">
        <v>71</v>
      </c>
      <c r="E7" s="408">
        <v>1986</v>
      </c>
      <c r="F7" s="184">
        <v>2074</v>
      </c>
      <c r="G7" s="186">
        <v>2030</v>
      </c>
      <c r="H7" s="303">
        <v>2022</v>
      </c>
      <c r="I7" s="183" t="str">
        <f>IF(H7&lt;1986,"Confirmar",IF(H7&gt;2074,"Confirmar","Verdadeiro"))</f>
        <v>Verdadeiro</v>
      </c>
      <c r="J7" s="116" t="s">
        <v>72</v>
      </c>
      <c r="K7" s="32" t="str">
        <f t="shared" ref="K7:K65" si="1">IF(J7&lt;2076,"Confirmar",IF(J7&gt;2164,"Confirmar","Verdadeiro"))</f>
        <v>Confirmar</v>
      </c>
      <c r="L7" s="306"/>
      <c r="M7" s="183" t="str">
        <f>IF(L7&lt;1986,"Confirmar",IF(L7&gt;2074,"Confirmar","Verdadeiro"))</f>
        <v>Confirmar</v>
      </c>
      <c r="N7" s="307" t="s">
        <v>57</v>
      </c>
      <c r="O7" s="5"/>
      <c r="P7" s="5"/>
      <c r="Q7" s="5"/>
      <c r="R7" s="5"/>
    </row>
    <row r="8" spans="1:18">
      <c r="A8" s="297">
        <v>46267</v>
      </c>
      <c r="B8" s="188" t="s">
        <v>76</v>
      </c>
      <c r="C8" s="301" t="s">
        <v>77</v>
      </c>
      <c r="D8" s="406" t="s">
        <v>71</v>
      </c>
      <c r="E8" s="408">
        <v>1986</v>
      </c>
      <c r="F8" s="184">
        <v>2074</v>
      </c>
      <c r="G8" s="186">
        <v>2030</v>
      </c>
      <c r="H8" s="303">
        <v>2022</v>
      </c>
      <c r="I8" s="183" t="str">
        <f>IF(H8&lt;1986,"Confirmar",IF(H8&gt;2074,"Confirmar","Verdadeiro"))</f>
        <v>Verdadeiro</v>
      </c>
      <c r="J8" s="116" t="s">
        <v>72</v>
      </c>
      <c r="K8" s="32" t="str">
        <f t="shared" si="1"/>
        <v>Confirmar</v>
      </c>
      <c r="L8" s="306"/>
      <c r="M8" s="183" t="str">
        <f>IF(L8&lt;1986,"Confirmar",IF(L8&gt;2074,"Confirmar","Verdadeiro"))</f>
        <v>Confirmar</v>
      </c>
      <c r="N8" s="307" t="s">
        <v>24</v>
      </c>
      <c r="O8" s="5"/>
      <c r="P8" s="5"/>
      <c r="Q8" s="5"/>
      <c r="R8" s="5"/>
    </row>
    <row r="9" spans="1:18">
      <c r="A9" s="297">
        <v>46267</v>
      </c>
      <c r="B9" s="188" t="s">
        <v>74</v>
      </c>
      <c r="C9" s="301" t="s">
        <v>75</v>
      </c>
      <c r="D9" s="406" t="s">
        <v>71</v>
      </c>
      <c r="E9" s="408">
        <v>1986</v>
      </c>
      <c r="F9" s="184">
        <v>2074</v>
      </c>
      <c r="G9" s="186">
        <v>2030</v>
      </c>
      <c r="H9" s="303">
        <v>2023</v>
      </c>
      <c r="I9" s="183" t="str">
        <f>IF(H9&lt;1986,"Confirmar",IF(H9&gt;2074,"Confirmar","Verdadeiro"))</f>
        <v>Verdadeiro</v>
      </c>
      <c r="J9" s="116" t="s">
        <v>72</v>
      </c>
      <c r="K9" s="32" t="str">
        <f t="shared" si="1"/>
        <v>Confirmar</v>
      </c>
      <c r="L9" s="306"/>
      <c r="M9" s="183" t="str">
        <f>IF(L9&lt;1986,"Confirmar",IF(L9&gt;2074,"Confirmar","Verdadeiro"))</f>
        <v>Confirmar</v>
      </c>
      <c r="N9" s="307" t="s">
        <v>78</v>
      </c>
      <c r="O9" s="5"/>
      <c r="P9" s="5"/>
      <c r="Q9" s="5"/>
      <c r="R9" s="5"/>
    </row>
    <row r="10" spans="1:18">
      <c r="A10" s="297">
        <v>46268</v>
      </c>
      <c r="B10" s="188" t="s">
        <v>76</v>
      </c>
      <c r="C10" s="301" t="s">
        <v>70</v>
      </c>
      <c r="D10" s="406" t="s">
        <v>71</v>
      </c>
      <c r="E10" s="408">
        <v>1986</v>
      </c>
      <c r="F10" s="184">
        <v>2074</v>
      </c>
      <c r="G10" s="186">
        <v>2030</v>
      </c>
      <c r="H10" s="303">
        <v>2020</v>
      </c>
      <c r="I10" s="183" t="str">
        <f t="shared" ref="I10:I71" si="2">IF(H10&lt;1986,"Confirmar",IF(H10&gt;2074,"Confirmar","Verdadeiro"))</f>
        <v>Verdadeiro</v>
      </c>
      <c r="J10" s="116" t="s">
        <v>72</v>
      </c>
      <c r="K10" s="32" t="str">
        <f t="shared" si="1"/>
        <v>Confirmar</v>
      </c>
      <c r="L10" s="306"/>
      <c r="M10" s="183" t="str">
        <f t="shared" ref="M10:M65" si="3">IF(L10&lt;1986,"Confirmar",IF(L10&gt;2074,"Confirmar","Verdadeiro"))</f>
        <v>Confirmar</v>
      </c>
      <c r="N10" s="307" t="s">
        <v>79</v>
      </c>
      <c r="O10" s="5"/>
      <c r="P10" s="5"/>
      <c r="Q10" s="5"/>
      <c r="R10" s="5"/>
    </row>
    <row r="11" spans="1:18">
      <c r="A11" s="297">
        <v>46268</v>
      </c>
      <c r="B11" s="188" t="s">
        <v>74</v>
      </c>
      <c r="C11" s="301" t="s">
        <v>77</v>
      </c>
      <c r="D11" s="406" t="s">
        <v>71</v>
      </c>
      <c r="E11" s="408">
        <v>1986</v>
      </c>
      <c r="F11" s="184">
        <v>2074</v>
      </c>
      <c r="G11" s="186">
        <v>2030</v>
      </c>
      <c r="H11" s="303">
        <v>2011</v>
      </c>
      <c r="I11" s="183" t="str">
        <f t="shared" si="2"/>
        <v>Verdadeiro</v>
      </c>
      <c r="J11" s="116" t="s">
        <v>72</v>
      </c>
      <c r="K11" s="32" t="str">
        <f t="shared" si="1"/>
        <v>Confirmar</v>
      </c>
      <c r="L11" s="306"/>
      <c r="M11" s="183" t="str">
        <f t="shared" si="3"/>
        <v>Confirmar</v>
      </c>
      <c r="N11" s="307" t="s">
        <v>80</v>
      </c>
      <c r="O11" s="5"/>
      <c r="P11" s="5"/>
      <c r="Q11" s="5"/>
      <c r="R11" s="5"/>
    </row>
    <row r="12" spans="1:18">
      <c r="A12" s="297">
        <v>46269</v>
      </c>
      <c r="B12" s="46" t="s">
        <v>69</v>
      </c>
      <c r="C12" s="301" t="s">
        <v>75</v>
      </c>
      <c r="D12" s="406" t="s">
        <v>71</v>
      </c>
      <c r="E12" s="408">
        <v>1986</v>
      </c>
      <c r="F12" s="184">
        <v>2074</v>
      </c>
      <c r="G12" s="186">
        <v>2030</v>
      </c>
      <c r="H12" s="303">
        <v>2016</v>
      </c>
      <c r="I12" s="183" t="str">
        <f t="shared" si="2"/>
        <v>Verdadeiro</v>
      </c>
      <c r="J12" s="116" t="s">
        <v>72</v>
      </c>
      <c r="K12" s="32" t="str">
        <f t="shared" si="1"/>
        <v>Confirmar</v>
      </c>
      <c r="L12" s="306"/>
      <c r="M12" s="183" t="str">
        <f t="shared" si="3"/>
        <v>Confirmar</v>
      </c>
      <c r="N12" s="307" t="s">
        <v>60</v>
      </c>
      <c r="O12" s="5"/>
      <c r="P12" s="5"/>
      <c r="Q12" s="5"/>
      <c r="R12" s="5"/>
    </row>
    <row r="13" spans="1:18">
      <c r="A13" s="297">
        <v>46269</v>
      </c>
      <c r="B13" s="188" t="s">
        <v>74</v>
      </c>
      <c r="C13" s="466" t="s">
        <v>81</v>
      </c>
      <c r="D13" s="406" t="s">
        <v>71</v>
      </c>
      <c r="E13" s="408">
        <v>1986</v>
      </c>
      <c r="F13" s="184">
        <v>2074</v>
      </c>
      <c r="G13" s="186">
        <v>2030</v>
      </c>
      <c r="H13" s="303">
        <v>2022</v>
      </c>
      <c r="I13" s="183" t="str">
        <f>IF(H13&lt;1986,"Confirmar",IF(H13&gt;2074,"Confirmar","Verdadeiro"))</f>
        <v>Verdadeiro</v>
      </c>
      <c r="J13" s="116" t="s">
        <v>72</v>
      </c>
      <c r="K13" s="32" t="str">
        <f t="shared" si="1"/>
        <v>Confirmar</v>
      </c>
      <c r="L13" s="306"/>
      <c r="M13" s="183" t="str">
        <f>IF(L13&lt;1986,"Confirmar",IF(L13&gt;2074,"Confirmar","Verdadeiro"))</f>
        <v>Confirmar</v>
      </c>
      <c r="N13" s="307" t="s">
        <v>82</v>
      </c>
      <c r="O13" s="5"/>
      <c r="P13" s="5"/>
      <c r="Q13" s="5"/>
      <c r="R13" s="5"/>
    </row>
    <row r="14" spans="1:18">
      <c r="A14" s="297">
        <v>46270</v>
      </c>
      <c r="B14" s="188" t="s">
        <v>76</v>
      </c>
      <c r="C14" s="299" t="s">
        <v>75</v>
      </c>
      <c r="D14" s="406" t="s">
        <v>71</v>
      </c>
      <c r="E14" s="408">
        <v>1986</v>
      </c>
      <c r="F14" s="184">
        <v>2074</v>
      </c>
      <c r="G14" s="186">
        <v>2030</v>
      </c>
      <c r="H14" s="303">
        <v>2014</v>
      </c>
      <c r="I14" s="183" t="str">
        <f>IF(H14&lt;1986,"Confirmar",IF(H14&gt;2074,"Confirmar","Verdadeiro"))</f>
        <v>Verdadeiro</v>
      </c>
      <c r="J14" s="116" t="s">
        <v>72</v>
      </c>
      <c r="K14" s="32" t="str">
        <f t="shared" si="1"/>
        <v>Confirmar</v>
      </c>
      <c r="L14" s="306"/>
      <c r="M14" s="183" t="str">
        <f>IF(L14&lt;1986,"Confirmar",IF(L14&gt;2074,"Confirmar","Verdadeiro"))</f>
        <v>Confirmar</v>
      </c>
      <c r="N14" s="307" t="s">
        <v>57</v>
      </c>
      <c r="O14" s="5"/>
      <c r="P14" s="5"/>
      <c r="Q14" s="5"/>
      <c r="R14" s="5"/>
    </row>
    <row r="15" spans="1:18">
      <c r="A15" s="297">
        <v>46270</v>
      </c>
      <c r="B15" s="188" t="s">
        <v>74</v>
      </c>
      <c r="C15" s="466" t="s">
        <v>77</v>
      </c>
      <c r="D15" s="406" t="s">
        <v>71</v>
      </c>
      <c r="E15" s="408">
        <v>1986</v>
      </c>
      <c r="F15" s="184">
        <v>2074</v>
      </c>
      <c r="G15" s="186">
        <v>2030</v>
      </c>
      <c r="H15" s="303">
        <v>2002</v>
      </c>
      <c r="I15" s="183" t="str">
        <f>IF(H15&lt;1986,"Confirmar",IF(H15&gt;2074,"Confirmar","Verdadeiro"))</f>
        <v>Verdadeiro</v>
      </c>
      <c r="J15" s="116" t="s">
        <v>72</v>
      </c>
      <c r="K15" s="32" t="str">
        <f t="shared" si="1"/>
        <v>Confirmar</v>
      </c>
      <c r="L15" s="306"/>
      <c r="M15" s="183" t="str">
        <f>IF(L15&lt;1986,"Confirmar",IF(L15&gt;2074,"Confirmar","Verdadeiro"))</f>
        <v>Confirmar</v>
      </c>
      <c r="N15" s="307" t="s">
        <v>80</v>
      </c>
      <c r="O15" s="5"/>
      <c r="P15" s="5"/>
      <c r="Q15" s="5"/>
      <c r="R15" s="5"/>
    </row>
    <row r="16" spans="1:18">
      <c r="A16" s="297">
        <v>46271</v>
      </c>
      <c r="B16" s="188" t="s">
        <v>76</v>
      </c>
      <c r="C16" s="301" t="s">
        <v>75</v>
      </c>
      <c r="D16" s="406" t="s">
        <v>71</v>
      </c>
      <c r="E16" s="408">
        <v>1986</v>
      </c>
      <c r="F16" s="184">
        <v>2074</v>
      </c>
      <c r="G16" s="186">
        <v>2030</v>
      </c>
      <c r="H16" s="304">
        <v>2013</v>
      </c>
      <c r="I16" s="183" t="str">
        <f>IF(H16&lt;1986,"Confirmar",IF(H16&gt;2074,"Confirmar","Verdadeiro"))</f>
        <v>Verdadeiro</v>
      </c>
      <c r="J16" s="116" t="s">
        <v>72</v>
      </c>
      <c r="K16" s="32" t="str">
        <f t="shared" si="1"/>
        <v>Confirmar</v>
      </c>
      <c r="L16" s="306"/>
      <c r="M16" s="183" t="str">
        <f>IF(L16&lt;1986,"Confirmar",IF(L16&gt;2074,"Confirmar","Verdadeiro"))</f>
        <v>Confirmar</v>
      </c>
      <c r="N16" s="307" t="s">
        <v>60</v>
      </c>
      <c r="O16" s="5"/>
      <c r="P16" s="5"/>
      <c r="Q16" s="5"/>
      <c r="R16" s="5"/>
    </row>
    <row r="17" spans="1:18">
      <c r="A17" s="297">
        <v>46271</v>
      </c>
      <c r="B17" s="188" t="s">
        <v>74</v>
      </c>
      <c r="C17" s="301" t="s">
        <v>81</v>
      </c>
      <c r="D17" s="406" t="s">
        <v>71</v>
      </c>
      <c r="E17" s="408">
        <v>1986</v>
      </c>
      <c r="F17" s="184">
        <v>2074</v>
      </c>
      <c r="G17" s="186">
        <v>2030</v>
      </c>
      <c r="H17" s="303">
        <v>2022</v>
      </c>
      <c r="I17" s="183" t="str">
        <f t="shared" si="2"/>
        <v>Verdadeiro</v>
      </c>
      <c r="J17" s="116" t="s">
        <v>72</v>
      </c>
      <c r="K17" s="32" t="str">
        <f t="shared" si="1"/>
        <v>Confirmar</v>
      </c>
      <c r="L17" s="306"/>
      <c r="M17" s="183" t="str">
        <f t="shared" si="3"/>
        <v>Confirmar</v>
      </c>
      <c r="N17" s="307" t="s">
        <v>82</v>
      </c>
      <c r="O17" s="5"/>
      <c r="P17" s="5"/>
      <c r="Q17" s="5"/>
      <c r="R17" s="5"/>
    </row>
    <row r="18" spans="1:18">
      <c r="A18" s="297">
        <v>46272</v>
      </c>
      <c r="B18" s="46" t="s">
        <v>69</v>
      </c>
      <c r="C18" s="301" t="s">
        <v>75</v>
      </c>
      <c r="D18" s="406" t="s">
        <v>71</v>
      </c>
      <c r="E18" s="408">
        <v>1986</v>
      </c>
      <c r="F18" s="184">
        <v>2074</v>
      </c>
      <c r="G18" s="186">
        <v>2030</v>
      </c>
      <c r="H18" s="303">
        <v>2014</v>
      </c>
      <c r="I18" s="183" t="str">
        <f t="shared" si="2"/>
        <v>Verdadeiro</v>
      </c>
      <c r="J18" s="116" t="s">
        <v>72</v>
      </c>
      <c r="K18" s="32" t="str">
        <f t="shared" si="1"/>
        <v>Confirmar</v>
      </c>
      <c r="L18" s="306"/>
      <c r="M18" s="183" t="str">
        <f t="shared" si="3"/>
        <v>Confirmar</v>
      </c>
      <c r="N18" s="307" t="s">
        <v>57</v>
      </c>
      <c r="O18" s="5"/>
      <c r="P18" s="5"/>
      <c r="Q18" s="5"/>
      <c r="R18" s="5"/>
    </row>
    <row r="19" spans="1:18">
      <c r="A19" s="297">
        <v>46272</v>
      </c>
      <c r="B19" s="188" t="s">
        <v>74</v>
      </c>
      <c r="C19" s="301" t="s">
        <v>77</v>
      </c>
      <c r="D19" s="406" t="s">
        <v>71</v>
      </c>
      <c r="E19" s="408">
        <v>1986</v>
      </c>
      <c r="F19" s="184">
        <v>2074</v>
      </c>
      <c r="G19" s="186">
        <v>2030</v>
      </c>
      <c r="H19" s="303">
        <v>2010</v>
      </c>
      <c r="I19" s="183" t="str">
        <f t="shared" si="2"/>
        <v>Verdadeiro</v>
      </c>
      <c r="J19" s="116" t="s">
        <v>72</v>
      </c>
      <c r="K19" s="32" t="str">
        <f t="shared" si="1"/>
        <v>Confirmar</v>
      </c>
      <c r="L19" s="306"/>
      <c r="M19" s="183" t="str">
        <f t="shared" si="3"/>
        <v>Confirmar</v>
      </c>
      <c r="N19" s="307" t="s">
        <v>25</v>
      </c>
      <c r="O19" s="5"/>
      <c r="P19" s="5"/>
      <c r="Q19" s="5"/>
      <c r="R19" s="5"/>
    </row>
    <row r="20" spans="1:18">
      <c r="A20" s="297">
        <v>46273</v>
      </c>
      <c r="B20" s="188" t="s">
        <v>76</v>
      </c>
      <c r="C20" s="301" t="s">
        <v>70</v>
      </c>
      <c r="D20" s="406" t="s">
        <v>71</v>
      </c>
      <c r="E20" s="408">
        <v>1986</v>
      </c>
      <c r="F20" s="184">
        <v>2074</v>
      </c>
      <c r="G20" s="186">
        <v>2030</v>
      </c>
      <c r="H20" s="303">
        <v>2005</v>
      </c>
      <c r="I20" s="183" t="str">
        <f t="shared" si="2"/>
        <v>Verdadeiro</v>
      </c>
      <c r="J20" s="116" t="s">
        <v>72</v>
      </c>
      <c r="K20" s="32" t="str">
        <f t="shared" si="1"/>
        <v>Confirmar</v>
      </c>
      <c r="L20" s="306"/>
      <c r="M20" s="183" t="str">
        <f t="shared" si="3"/>
        <v>Confirmar</v>
      </c>
      <c r="N20" s="307" t="s">
        <v>79</v>
      </c>
      <c r="O20" s="5"/>
      <c r="P20" s="5"/>
      <c r="Q20" s="5"/>
      <c r="R20" s="5"/>
    </row>
    <row r="21" spans="1:18">
      <c r="A21" s="297">
        <v>46273</v>
      </c>
      <c r="B21" s="188" t="s">
        <v>74</v>
      </c>
      <c r="C21" s="301" t="s">
        <v>75</v>
      </c>
      <c r="D21" s="406" t="s">
        <v>71</v>
      </c>
      <c r="E21" s="408">
        <v>1986</v>
      </c>
      <c r="F21" s="184">
        <v>2074</v>
      </c>
      <c r="G21" s="186">
        <v>2030</v>
      </c>
      <c r="H21" s="303">
        <v>2019</v>
      </c>
      <c r="I21" s="183" t="str">
        <f t="shared" si="2"/>
        <v>Verdadeiro</v>
      </c>
      <c r="J21" s="116" t="s">
        <v>72</v>
      </c>
      <c r="K21" s="32" t="str">
        <f t="shared" si="1"/>
        <v>Confirmar</v>
      </c>
      <c r="L21" s="306"/>
      <c r="M21" s="183" t="str">
        <f t="shared" si="3"/>
        <v>Confirmar</v>
      </c>
      <c r="N21" s="307" t="s">
        <v>60</v>
      </c>
      <c r="O21" s="5"/>
      <c r="P21" s="5"/>
      <c r="Q21" s="5"/>
      <c r="R21" s="5"/>
    </row>
    <row r="22" spans="1:18">
      <c r="A22" s="297">
        <v>46274</v>
      </c>
      <c r="B22" s="188" t="s">
        <v>76</v>
      </c>
      <c r="C22" s="301" t="s">
        <v>70</v>
      </c>
      <c r="D22" s="406" t="s">
        <v>71</v>
      </c>
      <c r="E22" s="408">
        <v>1986</v>
      </c>
      <c r="F22" s="184">
        <v>2074</v>
      </c>
      <c r="G22" s="186">
        <v>2030</v>
      </c>
      <c r="H22" s="303">
        <v>2049</v>
      </c>
      <c r="I22" s="183" t="str">
        <f t="shared" ref="I22:I24" si="4">IF(H22&lt;1986,"Confirmar",IF(H22&gt;2074,"Confirmar","Verdadeiro"))</f>
        <v>Verdadeiro</v>
      </c>
      <c r="J22" s="116" t="s">
        <v>72</v>
      </c>
      <c r="K22" s="32" t="str">
        <f t="shared" ref="K22:K24" si="5">IF(J22&lt;2076,"Confirmar",IF(J22&gt;2164,"Confirmar","Verdadeiro"))</f>
        <v>Confirmar</v>
      </c>
      <c r="L22" s="306"/>
      <c r="M22" s="183" t="str">
        <f t="shared" ref="M22:M24" si="6">IF(L22&lt;1986,"Confirmar",IF(L22&gt;2074,"Confirmar","Verdadeiro"))</f>
        <v>Confirmar</v>
      </c>
      <c r="N22" s="307" t="s">
        <v>79</v>
      </c>
      <c r="O22" s="5"/>
      <c r="P22" s="5"/>
      <c r="Q22" s="5"/>
      <c r="R22" s="5"/>
    </row>
    <row r="23" spans="1:18">
      <c r="A23" s="297">
        <v>46274</v>
      </c>
      <c r="B23" s="188" t="s">
        <v>74</v>
      </c>
      <c r="C23" s="301" t="s">
        <v>75</v>
      </c>
      <c r="D23" s="406" t="s">
        <v>71</v>
      </c>
      <c r="E23" s="408">
        <v>1986</v>
      </c>
      <c r="F23" s="184">
        <v>2074</v>
      </c>
      <c r="G23" s="186">
        <v>2030</v>
      </c>
      <c r="H23" s="303">
        <v>2025</v>
      </c>
      <c r="I23" s="183" t="str">
        <f t="shared" si="4"/>
        <v>Verdadeiro</v>
      </c>
      <c r="J23" s="116" t="s">
        <v>72</v>
      </c>
      <c r="K23" s="32" t="str">
        <f t="shared" si="5"/>
        <v>Confirmar</v>
      </c>
      <c r="L23" s="306"/>
      <c r="M23" s="183" t="str">
        <f t="shared" si="6"/>
        <v>Confirmar</v>
      </c>
      <c r="N23" s="307" t="s">
        <v>57</v>
      </c>
      <c r="O23" s="5"/>
      <c r="P23" s="5"/>
      <c r="Q23" s="5"/>
      <c r="R23" s="5"/>
    </row>
    <row r="24" spans="1:18">
      <c r="A24" s="297">
        <v>46275</v>
      </c>
      <c r="B24" s="46" t="s">
        <v>69</v>
      </c>
      <c r="C24" s="301" t="s">
        <v>77</v>
      </c>
      <c r="D24" s="406" t="s">
        <v>71</v>
      </c>
      <c r="E24" s="408">
        <v>1986</v>
      </c>
      <c r="F24" s="184">
        <v>2074</v>
      </c>
      <c r="G24" s="186">
        <v>2030</v>
      </c>
      <c r="H24" s="303">
        <v>2033</v>
      </c>
      <c r="I24" s="183" t="str">
        <f t="shared" si="4"/>
        <v>Verdadeiro</v>
      </c>
      <c r="J24" s="116" t="s">
        <v>72</v>
      </c>
      <c r="K24" s="32" t="str">
        <f t="shared" si="5"/>
        <v>Confirmar</v>
      </c>
      <c r="L24" s="306"/>
      <c r="M24" s="183" t="str">
        <f t="shared" si="6"/>
        <v>Confirmar</v>
      </c>
      <c r="N24" s="307" t="s">
        <v>24</v>
      </c>
      <c r="O24" s="5"/>
      <c r="P24" s="5"/>
      <c r="Q24" s="5"/>
      <c r="R24" s="5"/>
    </row>
    <row r="25" spans="1:18">
      <c r="A25" s="297">
        <v>46275</v>
      </c>
      <c r="B25" s="188" t="s">
        <v>74</v>
      </c>
      <c r="C25" s="301" t="s">
        <v>70</v>
      </c>
      <c r="D25" s="406" t="s">
        <v>71</v>
      </c>
      <c r="E25" s="408">
        <v>1986</v>
      </c>
      <c r="F25" s="184">
        <v>2074</v>
      </c>
      <c r="G25" s="186">
        <v>2030</v>
      </c>
      <c r="H25" s="303">
        <v>2047</v>
      </c>
      <c r="I25" s="183" t="str">
        <f t="shared" si="2"/>
        <v>Verdadeiro</v>
      </c>
      <c r="J25" s="116" t="s">
        <v>72</v>
      </c>
      <c r="K25" s="32" t="str">
        <f t="shared" si="1"/>
        <v>Confirmar</v>
      </c>
      <c r="L25" s="306"/>
      <c r="M25" s="183" t="str">
        <f t="shared" si="3"/>
        <v>Confirmar</v>
      </c>
      <c r="N25" s="307" t="s">
        <v>83</v>
      </c>
      <c r="O25" s="5"/>
      <c r="P25" s="5"/>
      <c r="Q25" s="5"/>
      <c r="R25" s="5"/>
    </row>
    <row r="26" spans="1:18">
      <c r="A26" s="297">
        <v>46276</v>
      </c>
      <c r="B26" s="188" t="s">
        <v>76</v>
      </c>
      <c r="C26" s="301" t="s">
        <v>77</v>
      </c>
      <c r="D26" s="406" t="s">
        <v>71</v>
      </c>
      <c r="E26" s="408">
        <v>1986</v>
      </c>
      <c r="F26" s="184">
        <v>2074</v>
      </c>
      <c r="G26" s="186">
        <v>2030</v>
      </c>
      <c r="H26" s="303">
        <v>2036</v>
      </c>
      <c r="I26" s="183" t="str">
        <f t="shared" si="2"/>
        <v>Verdadeiro</v>
      </c>
      <c r="J26" s="116" t="s">
        <v>72</v>
      </c>
      <c r="K26" s="32" t="str">
        <f t="shared" si="1"/>
        <v>Confirmar</v>
      </c>
      <c r="L26" s="306"/>
      <c r="M26" s="183" t="str">
        <f t="shared" si="3"/>
        <v>Confirmar</v>
      </c>
      <c r="N26" s="307" t="s">
        <v>24</v>
      </c>
      <c r="O26" s="5"/>
      <c r="P26" s="5"/>
      <c r="Q26" s="5"/>
      <c r="R26" s="5"/>
    </row>
    <row r="27" spans="1:18" ht="14.45">
      <c r="A27" s="297">
        <v>46276</v>
      </c>
      <c r="B27" s="188" t="s">
        <v>74</v>
      </c>
      <c r="C27" s="301" t="s">
        <v>70</v>
      </c>
      <c r="D27" s="406" t="s">
        <v>71</v>
      </c>
      <c r="E27" s="408">
        <v>1986</v>
      </c>
      <c r="F27" s="184">
        <v>2074</v>
      </c>
      <c r="G27" s="186">
        <v>2030</v>
      </c>
      <c r="H27" s="303">
        <v>2033</v>
      </c>
      <c r="I27" s="183" t="str">
        <f t="shared" si="2"/>
        <v>Verdadeiro</v>
      </c>
      <c r="J27" s="116" t="s">
        <v>72</v>
      </c>
      <c r="K27" s="32" t="str">
        <f t="shared" si="1"/>
        <v>Confirmar</v>
      </c>
      <c r="L27" s="306"/>
      <c r="M27" s="183" t="str">
        <f t="shared" si="3"/>
        <v>Confirmar</v>
      </c>
      <c r="N27" s="307" t="s">
        <v>79</v>
      </c>
      <c r="O27" s="5"/>
      <c r="P27" s="5"/>
      <c r="Q27" s="5"/>
      <c r="R27" s="5"/>
    </row>
    <row r="28" spans="1:18">
      <c r="A28" s="298">
        <v>46277</v>
      </c>
      <c r="B28" s="188" t="s">
        <v>76</v>
      </c>
      <c r="C28" s="302" t="s">
        <v>81</v>
      </c>
      <c r="D28" s="407" t="s">
        <v>71</v>
      </c>
      <c r="E28" s="409">
        <v>1986</v>
      </c>
      <c r="F28" s="281">
        <v>2074</v>
      </c>
      <c r="G28" s="282">
        <v>2030</v>
      </c>
      <c r="H28" s="305">
        <v>2016</v>
      </c>
      <c r="I28" s="183" t="str">
        <f t="shared" si="2"/>
        <v>Verdadeiro</v>
      </c>
      <c r="J28" s="283" t="s">
        <v>84</v>
      </c>
      <c r="K28" s="284" t="s">
        <v>85</v>
      </c>
      <c r="L28" s="306"/>
      <c r="M28" s="183" t="str">
        <f t="shared" si="3"/>
        <v>Confirmar</v>
      </c>
      <c r="N28" s="308" t="s">
        <v>82</v>
      </c>
      <c r="O28" s="5"/>
      <c r="P28" s="5"/>
      <c r="Q28" s="5"/>
      <c r="R28" s="5"/>
    </row>
    <row r="29" spans="1:18">
      <c r="A29" s="298">
        <v>46277</v>
      </c>
      <c r="B29" s="188" t="s">
        <v>74</v>
      </c>
      <c r="C29" s="302" t="s">
        <v>77</v>
      </c>
      <c r="D29" s="407" t="s">
        <v>71</v>
      </c>
      <c r="E29" s="409">
        <v>1986</v>
      </c>
      <c r="F29" s="281">
        <v>2074</v>
      </c>
      <c r="G29" s="282">
        <v>2030</v>
      </c>
      <c r="H29" s="305">
        <v>2028</v>
      </c>
      <c r="I29" s="183" t="str">
        <f t="shared" si="2"/>
        <v>Verdadeiro</v>
      </c>
      <c r="J29" s="283" t="s">
        <v>84</v>
      </c>
      <c r="K29" s="284" t="s">
        <v>85</v>
      </c>
      <c r="L29" s="306"/>
      <c r="M29" s="183" t="str">
        <f t="shared" si="3"/>
        <v>Confirmar</v>
      </c>
      <c r="N29" s="308" t="s">
        <v>58</v>
      </c>
      <c r="O29" s="5"/>
      <c r="P29" s="5"/>
      <c r="Q29" s="5"/>
      <c r="R29" s="5"/>
    </row>
    <row r="30" spans="1:18">
      <c r="A30" s="298">
        <v>46278</v>
      </c>
      <c r="B30" s="188" t="s">
        <v>76</v>
      </c>
      <c r="C30" s="302" t="s">
        <v>81</v>
      </c>
      <c r="D30" s="406" t="s">
        <v>71</v>
      </c>
      <c r="E30" s="409">
        <v>1986</v>
      </c>
      <c r="F30" s="281">
        <v>2074</v>
      </c>
      <c r="G30" s="282">
        <v>2030</v>
      </c>
      <c r="H30" s="305">
        <v>2014</v>
      </c>
      <c r="I30" s="183" t="str">
        <f t="shared" si="2"/>
        <v>Verdadeiro</v>
      </c>
      <c r="J30" s="283" t="s">
        <v>84</v>
      </c>
      <c r="K30" s="284" t="s">
        <v>85</v>
      </c>
      <c r="L30" s="306"/>
      <c r="M30" s="183" t="str">
        <f t="shared" si="3"/>
        <v>Confirmar</v>
      </c>
      <c r="N30" s="308" t="s">
        <v>25</v>
      </c>
      <c r="O30" s="5"/>
      <c r="P30" s="5"/>
      <c r="Q30" s="5"/>
      <c r="R30" s="5"/>
    </row>
    <row r="31" spans="1:18">
      <c r="A31" s="298">
        <v>46278</v>
      </c>
      <c r="B31" s="188" t="s">
        <v>74</v>
      </c>
      <c r="C31" s="302" t="s">
        <v>77</v>
      </c>
      <c r="D31" s="407" t="s">
        <v>71</v>
      </c>
      <c r="E31" s="409">
        <v>1986</v>
      </c>
      <c r="F31" s="281">
        <v>2074</v>
      </c>
      <c r="G31" s="282">
        <v>2030</v>
      </c>
      <c r="H31" s="305">
        <v>2016</v>
      </c>
      <c r="I31" s="183" t="str">
        <f t="shared" si="2"/>
        <v>Verdadeiro</v>
      </c>
      <c r="J31" s="283" t="s">
        <v>84</v>
      </c>
      <c r="K31" s="284" t="s">
        <v>85</v>
      </c>
      <c r="L31" s="306"/>
      <c r="M31" s="183" t="str">
        <f t="shared" si="3"/>
        <v>Confirmar</v>
      </c>
      <c r="N31" s="307" t="s">
        <v>80</v>
      </c>
      <c r="O31" s="5"/>
      <c r="P31" s="5"/>
      <c r="Q31" s="5"/>
      <c r="R31" s="5"/>
    </row>
    <row r="32" spans="1:18" ht="14.45">
      <c r="A32" s="298">
        <v>46279</v>
      </c>
      <c r="B32" s="46" t="s">
        <v>69</v>
      </c>
      <c r="C32" s="302" t="s">
        <v>75</v>
      </c>
      <c r="D32" s="407" t="s">
        <v>71</v>
      </c>
      <c r="E32" s="409">
        <v>1986</v>
      </c>
      <c r="F32" s="281">
        <v>2074</v>
      </c>
      <c r="G32" s="282">
        <v>2030</v>
      </c>
      <c r="H32" s="305">
        <v>2041</v>
      </c>
      <c r="I32" s="183" t="str">
        <f t="shared" si="2"/>
        <v>Verdadeiro</v>
      </c>
      <c r="J32" s="283" t="s">
        <v>84</v>
      </c>
      <c r="K32" s="284" t="s">
        <v>85</v>
      </c>
      <c r="L32" s="306"/>
      <c r="M32" s="183" t="str">
        <f t="shared" si="3"/>
        <v>Confirmar</v>
      </c>
      <c r="N32" s="308" t="s">
        <v>56</v>
      </c>
      <c r="O32" s="5"/>
      <c r="P32" s="5"/>
      <c r="Q32" s="5"/>
      <c r="R32" s="5"/>
    </row>
    <row r="33" spans="1:18" ht="14.45">
      <c r="A33" s="298">
        <v>46279</v>
      </c>
      <c r="B33" s="188" t="s">
        <v>74</v>
      </c>
      <c r="C33" s="302" t="s">
        <v>81</v>
      </c>
      <c r="D33" s="406" t="s">
        <v>71</v>
      </c>
      <c r="E33" s="409">
        <v>1986</v>
      </c>
      <c r="F33" s="281">
        <v>2074</v>
      </c>
      <c r="G33" s="282">
        <v>2030</v>
      </c>
      <c r="H33" s="305">
        <v>2036</v>
      </c>
      <c r="I33" s="183" t="str">
        <f t="shared" si="2"/>
        <v>Verdadeiro</v>
      </c>
      <c r="J33" s="283" t="s">
        <v>84</v>
      </c>
      <c r="K33" s="284" t="s">
        <v>85</v>
      </c>
      <c r="L33" s="306"/>
      <c r="M33" s="183" t="str">
        <f t="shared" si="3"/>
        <v>Confirmar</v>
      </c>
      <c r="N33" s="308" t="s">
        <v>82</v>
      </c>
      <c r="O33" s="5"/>
      <c r="P33" s="5"/>
      <c r="Q33" s="5"/>
      <c r="R33" s="5"/>
    </row>
    <row r="34" spans="1:18" ht="14.45">
      <c r="A34" s="298">
        <v>46280</v>
      </c>
      <c r="B34" s="188" t="s">
        <v>76</v>
      </c>
      <c r="C34" s="302" t="s">
        <v>75</v>
      </c>
      <c r="D34" s="407" t="s">
        <v>71</v>
      </c>
      <c r="E34" s="409">
        <v>1986</v>
      </c>
      <c r="F34" s="281">
        <v>2074</v>
      </c>
      <c r="G34" s="282">
        <v>2030</v>
      </c>
      <c r="H34" s="305">
        <v>2027</v>
      </c>
      <c r="I34" s="183" t="str">
        <f t="shared" si="2"/>
        <v>Verdadeiro</v>
      </c>
      <c r="J34" s="283" t="s">
        <v>84</v>
      </c>
      <c r="K34" s="284" t="s">
        <v>85</v>
      </c>
      <c r="L34" s="306"/>
      <c r="M34" s="183" t="str">
        <f t="shared" si="3"/>
        <v>Confirmar</v>
      </c>
      <c r="N34" s="308" t="s">
        <v>57</v>
      </c>
      <c r="O34" s="5"/>
      <c r="P34" s="5"/>
      <c r="Q34" s="5"/>
      <c r="R34" s="5"/>
    </row>
    <row r="35" spans="1:18" ht="14.45">
      <c r="A35" s="298">
        <v>46280</v>
      </c>
      <c r="B35" s="188" t="s">
        <v>74</v>
      </c>
      <c r="C35" s="302" t="s">
        <v>81</v>
      </c>
      <c r="D35" s="406" t="s">
        <v>71</v>
      </c>
      <c r="E35" s="409">
        <v>1986</v>
      </c>
      <c r="F35" s="281">
        <v>2074</v>
      </c>
      <c r="G35" s="282">
        <v>2030</v>
      </c>
      <c r="H35" s="305">
        <v>2019</v>
      </c>
      <c r="I35" s="183" t="str">
        <f t="shared" si="2"/>
        <v>Verdadeiro</v>
      </c>
      <c r="J35" s="283" t="s">
        <v>84</v>
      </c>
      <c r="K35" s="284" t="s">
        <v>85</v>
      </c>
      <c r="L35" s="306"/>
      <c r="M35" s="183" t="str">
        <f t="shared" si="3"/>
        <v>Confirmar</v>
      </c>
      <c r="N35" s="308" t="s">
        <v>25</v>
      </c>
      <c r="O35" s="5"/>
      <c r="P35" s="5"/>
      <c r="Q35" s="5"/>
      <c r="R35" s="5"/>
    </row>
    <row r="36" spans="1:18" ht="14.45">
      <c r="A36" s="297">
        <v>46281</v>
      </c>
      <c r="B36" s="188" t="s">
        <v>76</v>
      </c>
      <c r="C36" s="302" t="s">
        <v>70</v>
      </c>
      <c r="D36" s="407" t="s">
        <v>71</v>
      </c>
      <c r="E36" s="408">
        <v>1986</v>
      </c>
      <c r="F36" s="184">
        <v>2074</v>
      </c>
      <c r="G36" s="186">
        <v>2030</v>
      </c>
      <c r="H36" s="303">
        <v>2030</v>
      </c>
      <c r="I36" s="183" t="str">
        <f t="shared" si="2"/>
        <v>Verdadeiro</v>
      </c>
      <c r="J36" s="116" t="s">
        <v>72</v>
      </c>
      <c r="K36" s="32" t="str">
        <f t="shared" si="1"/>
        <v>Confirmar</v>
      </c>
      <c r="L36" s="306"/>
      <c r="M36" s="183" t="str">
        <f t="shared" si="3"/>
        <v>Confirmar</v>
      </c>
      <c r="N36" s="307" t="s">
        <v>79</v>
      </c>
      <c r="O36" s="5"/>
      <c r="P36" s="5"/>
      <c r="Q36" s="5"/>
      <c r="R36" s="5"/>
    </row>
    <row r="37" spans="1:18" ht="14.45">
      <c r="A37" s="297">
        <v>46281</v>
      </c>
      <c r="B37" s="188" t="s">
        <v>74</v>
      </c>
      <c r="C37" s="301" t="s">
        <v>75</v>
      </c>
      <c r="D37" s="407" t="s">
        <v>71</v>
      </c>
      <c r="E37" s="408">
        <v>1986</v>
      </c>
      <c r="F37" s="184">
        <v>2074</v>
      </c>
      <c r="G37" s="186">
        <v>2030</v>
      </c>
      <c r="H37" s="303">
        <v>2025</v>
      </c>
      <c r="I37" s="183" t="str">
        <f t="shared" si="2"/>
        <v>Verdadeiro</v>
      </c>
      <c r="J37" s="116" t="s">
        <v>72</v>
      </c>
      <c r="K37" s="32" t="str">
        <f t="shared" si="1"/>
        <v>Confirmar</v>
      </c>
      <c r="L37" s="306"/>
      <c r="M37" s="183" t="str">
        <f t="shared" si="3"/>
        <v>Confirmar</v>
      </c>
      <c r="N37" s="307" t="s">
        <v>60</v>
      </c>
      <c r="O37" s="5"/>
      <c r="P37" s="5"/>
      <c r="Q37" s="5"/>
      <c r="R37" s="5"/>
    </row>
    <row r="38" spans="1:18">
      <c r="A38" s="297"/>
      <c r="B38" s="46"/>
      <c r="C38" s="302"/>
      <c r="D38" s="407" t="s">
        <v>71</v>
      </c>
      <c r="E38" s="408">
        <v>1986</v>
      </c>
      <c r="F38" s="184">
        <v>2074</v>
      </c>
      <c r="G38" s="186">
        <v>2030</v>
      </c>
      <c r="H38" s="303"/>
      <c r="I38" s="183" t="str">
        <f t="shared" si="2"/>
        <v>Confirmar</v>
      </c>
      <c r="J38" s="116" t="s">
        <v>72</v>
      </c>
      <c r="K38" s="32" t="str">
        <f t="shared" si="1"/>
        <v>Confirmar</v>
      </c>
      <c r="L38" s="306"/>
      <c r="M38" s="183" t="str">
        <f t="shared" si="3"/>
        <v>Confirmar</v>
      </c>
      <c r="N38" s="307"/>
      <c r="O38" s="5"/>
      <c r="P38" s="5"/>
      <c r="Q38" s="5"/>
      <c r="R38" s="5"/>
    </row>
    <row r="39" spans="1:18">
      <c r="A39" s="297">
        <v>46282</v>
      </c>
      <c r="B39" s="188" t="s">
        <v>74</v>
      </c>
      <c r="C39" s="301" t="s">
        <v>75</v>
      </c>
      <c r="D39" s="407" t="s">
        <v>71</v>
      </c>
      <c r="E39" s="408">
        <v>1986</v>
      </c>
      <c r="F39" s="184">
        <v>2074</v>
      </c>
      <c r="G39" s="186">
        <v>2030</v>
      </c>
      <c r="H39" s="303">
        <v>2019</v>
      </c>
      <c r="I39" s="183" t="str">
        <f t="shared" si="2"/>
        <v>Verdadeiro</v>
      </c>
      <c r="J39" s="116" t="s">
        <v>72</v>
      </c>
      <c r="K39" s="32" t="str">
        <f t="shared" si="1"/>
        <v>Confirmar</v>
      </c>
      <c r="L39" s="306"/>
      <c r="M39" s="183" t="str">
        <f t="shared" si="3"/>
        <v>Confirmar</v>
      </c>
      <c r="N39" s="308" t="s">
        <v>60</v>
      </c>
      <c r="O39" s="5"/>
      <c r="P39" s="5"/>
      <c r="Q39" s="5"/>
      <c r="R39" s="5" t="s">
        <v>86</v>
      </c>
    </row>
    <row r="40" spans="1:18">
      <c r="A40" s="297">
        <v>46283</v>
      </c>
      <c r="B40" s="188" t="s">
        <v>76</v>
      </c>
      <c r="C40" s="302" t="s">
        <v>77</v>
      </c>
      <c r="D40" s="406" t="s">
        <v>71</v>
      </c>
      <c r="E40" s="408">
        <v>1986</v>
      </c>
      <c r="F40" s="184">
        <v>2074</v>
      </c>
      <c r="G40" s="186">
        <v>2030</v>
      </c>
      <c r="H40" s="303">
        <v>2025</v>
      </c>
      <c r="I40" s="183" t="str">
        <f t="shared" si="2"/>
        <v>Verdadeiro</v>
      </c>
      <c r="J40" s="116" t="s">
        <v>72</v>
      </c>
      <c r="K40" s="32" t="str">
        <f t="shared" si="1"/>
        <v>Confirmar</v>
      </c>
      <c r="L40" s="306"/>
      <c r="M40" s="183" t="str">
        <f t="shared" si="3"/>
        <v>Confirmar</v>
      </c>
      <c r="N40" s="307" t="s">
        <v>24</v>
      </c>
      <c r="O40" s="5"/>
      <c r="P40" s="5"/>
      <c r="Q40" s="5"/>
      <c r="R40" s="5"/>
    </row>
    <row r="41" spans="1:18" ht="14.45">
      <c r="A41" s="297">
        <v>46284</v>
      </c>
      <c r="B41" s="188" t="s">
        <v>69</v>
      </c>
      <c r="C41" s="302" t="s">
        <v>77</v>
      </c>
      <c r="D41" s="407" t="s">
        <v>71</v>
      </c>
      <c r="E41" s="408">
        <v>1986</v>
      </c>
      <c r="F41" s="184">
        <v>2074</v>
      </c>
      <c r="G41" s="186">
        <v>2030</v>
      </c>
      <c r="H41" s="303">
        <v>2011</v>
      </c>
      <c r="I41" s="183" t="str">
        <f t="shared" si="2"/>
        <v>Verdadeiro</v>
      </c>
      <c r="J41" s="116" t="s">
        <v>72</v>
      </c>
      <c r="K41" s="32" t="str">
        <f t="shared" si="1"/>
        <v>Confirmar</v>
      </c>
      <c r="L41" s="306"/>
      <c r="M41" s="183" t="str">
        <f t="shared" si="3"/>
        <v>Confirmar</v>
      </c>
      <c r="N41" s="307" t="s">
        <v>58</v>
      </c>
      <c r="O41" s="5"/>
      <c r="P41" s="5"/>
      <c r="Q41" s="5"/>
      <c r="R41" s="5"/>
    </row>
    <row r="42" spans="1:18" ht="14.45">
      <c r="A42" s="297">
        <v>46285</v>
      </c>
      <c r="B42" s="188" t="s">
        <v>76</v>
      </c>
      <c r="C42" s="301" t="s">
        <v>81</v>
      </c>
      <c r="D42" s="406" t="s">
        <v>71</v>
      </c>
      <c r="E42" s="408">
        <v>1986</v>
      </c>
      <c r="F42" s="184">
        <v>2074</v>
      </c>
      <c r="G42" s="186">
        <v>2030</v>
      </c>
      <c r="H42" s="303">
        <v>2022</v>
      </c>
      <c r="I42" s="183" t="str">
        <f t="shared" si="2"/>
        <v>Verdadeiro</v>
      </c>
      <c r="J42" s="116" t="s">
        <v>72</v>
      </c>
      <c r="K42" s="32" t="str">
        <f t="shared" si="1"/>
        <v>Confirmar</v>
      </c>
      <c r="L42" s="306"/>
      <c r="M42" s="183" t="str">
        <f t="shared" si="3"/>
        <v>Confirmar</v>
      </c>
      <c r="N42" s="307" t="s">
        <v>87</v>
      </c>
      <c r="O42" s="5"/>
      <c r="P42" s="5"/>
      <c r="Q42" s="5"/>
      <c r="R42" s="5"/>
    </row>
    <row r="43" spans="1:18" ht="14.45">
      <c r="A43" s="297">
        <v>46285</v>
      </c>
      <c r="B43" s="188" t="s">
        <v>74</v>
      </c>
      <c r="C43" s="301" t="s">
        <v>77</v>
      </c>
      <c r="D43" s="406" t="s">
        <v>71</v>
      </c>
      <c r="E43" s="408">
        <v>1986</v>
      </c>
      <c r="F43" s="184">
        <v>2074</v>
      </c>
      <c r="G43" s="186">
        <v>2030</v>
      </c>
      <c r="H43" s="303">
        <v>2025</v>
      </c>
      <c r="I43" s="183" t="str">
        <f t="shared" si="2"/>
        <v>Verdadeiro</v>
      </c>
      <c r="J43" s="116" t="s">
        <v>72</v>
      </c>
      <c r="K43" s="32" t="str">
        <f t="shared" si="1"/>
        <v>Confirmar</v>
      </c>
      <c r="L43" s="306"/>
      <c r="M43" s="183" t="str">
        <f t="shared" si="3"/>
        <v>Confirmar</v>
      </c>
      <c r="N43" s="307" t="s">
        <v>24</v>
      </c>
      <c r="O43" s="5"/>
      <c r="P43" s="5"/>
      <c r="Q43" s="5"/>
      <c r="R43" s="5"/>
    </row>
    <row r="44" spans="1:18" ht="14.45">
      <c r="A44" s="297">
        <v>46286</v>
      </c>
      <c r="B44" s="46" t="s">
        <v>69</v>
      </c>
      <c r="C44" s="301" t="s">
        <v>81</v>
      </c>
      <c r="D44" s="406" t="s">
        <v>71</v>
      </c>
      <c r="E44" s="408">
        <v>1986</v>
      </c>
      <c r="F44" s="184">
        <v>2074</v>
      </c>
      <c r="G44" s="186">
        <v>2030</v>
      </c>
      <c r="H44" s="303">
        <v>2011</v>
      </c>
      <c r="I44" s="183" t="str">
        <f t="shared" si="2"/>
        <v>Verdadeiro</v>
      </c>
      <c r="J44" s="116" t="s">
        <v>72</v>
      </c>
      <c r="K44" s="32" t="str">
        <f t="shared" si="1"/>
        <v>Confirmar</v>
      </c>
      <c r="L44" s="306"/>
      <c r="M44" s="183" t="str">
        <f t="shared" si="3"/>
        <v>Confirmar</v>
      </c>
      <c r="N44" s="307" t="s">
        <v>25</v>
      </c>
      <c r="O44" s="5"/>
      <c r="P44" s="5"/>
      <c r="Q44" s="5"/>
      <c r="R44" s="5"/>
    </row>
    <row r="45" spans="1:18" ht="14.45">
      <c r="A45" s="297">
        <v>46286</v>
      </c>
      <c r="B45" s="188" t="s">
        <v>74</v>
      </c>
      <c r="C45" s="301" t="s">
        <v>75</v>
      </c>
      <c r="D45" s="406" t="s">
        <v>71</v>
      </c>
      <c r="E45" s="408">
        <v>1986</v>
      </c>
      <c r="F45" s="184">
        <v>2074</v>
      </c>
      <c r="G45" s="186">
        <v>2030</v>
      </c>
      <c r="H45" s="303">
        <v>2028</v>
      </c>
      <c r="I45" s="183" t="str">
        <f t="shared" si="2"/>
        <v>Verdadeiro</v>
      </c>
      <c r="J45" s="116" t="s">
        <v>72</v>
      </c>
      <c r="K45" s="32" t="str">
        <f t="shared" si="1"/>
        <v>Confirmar</v>
      </c>
      <c r="L45" s="306"/>
      <c r="M45" s="183" t="str">
        <f t="shared" si="3"/>
        <v>Confirmar</v>
      </c>
      <c r="N45" s="307" t="s">
        <v>58</v>
      </c>
      <c r="O45" s="5"/>
      <c r="P45" s="5"/>
      <c r="Q45" s="5"/>
      <c r="R45" s="5"/>
    </row>
    <row r="46" spans="1:18" ht="14.45">
      <c r="A46" s="297">
        <v>46287</v>
      </c>
      <c r="B46" s="188" t="s">
        <v>76</v>
      </c>
      <c r="C46" s="301" t="s">
        <v>75</v>
      </c>
      <c r="D46" s="406" t="s">
        <v>71</v>
      </c>
      <c r="E46" s="408">
        <v>1986</v>
      </c>
      <c r="F46" s="184">
        <v>2074</v>
      </c>
      <c r="G46" s="186">
        <v>2030</v>
      </c>
      <c r="H46" s="303">
        <v>2013</v>
      </c>
      <c r="I46" s="183" t="str">
        <f t="shared" si="2"/>
        <v>Verdadeiro</v>
      </c>
      <c r="J46" s="116" t="s">
        <v>72</v>
      </c>
      <c r="K46" s="32" t="str">
        <f t="shared" si="1"/>
        <v>Confirmar</v>
      </c>
      <c r="L46" s="306"/>
      <c r="M46" s="183" t="str">
        <f t="shared" si="3"/>
        <v>Confirmar</v>
      </c>
      <c r="N46" s="307" t="s">
        <v>60</v>
      </c>
      <c r="O46" s="5"/>
      <c r="P46" s="5"/>
      <c r="Q46" s="5"/>
      <c r="R46" s="5"/>
    </row>
    <row r="47" spans="1:18" ht="14.45">
      <c r="A47" s="297">
        <v>46287</v>
      </c>
      <c r="B47" s="188" t="s">
        <v>74</v>
      </c>
      <c r="C47" s="301" t="s">
        <v>81</v>
      </c>
      <c r="D47" s="406" t="s">
        <v>71</v>
      </c>
      <c r="E47" s="408">
        <v>1986</v>
      </c>
      <c r="F47" s="184">
        <v>2074</v>
      </c>
      <c r="G47" s="186">
        <v>2030</v>
      </c>
      <c r="H47" s="303">
        <v>2002</v>
      </c>
      <c r="I47" s="183" t="str">
        <f t="shared" si="2"/>
        <v>Verdadeiro</v>
      </c>
      <c r="J47" s="116" t="s">
        <v>72</v>
      </c>
      <c r="K47" s="32" t="str">
        <f t="shared" si="1"/>
        <v>Confirmar</v>
      </c>
      <c r="L47" s="306"/>
      <c r="M47" s="183" t="str">
        <f t="shared" si="3"/>
        <v>Confirmar</v>
      </c>
      <c r="N47" s="307" t="s">
        <v>82</v>
      </c>
      <c r="O47" s="5"/>
      <c r="P47" s="5"/>
      <c r="Q47" s="5"/>
      <c r="R47" s="5"/>
    </row>
    <row r="48" spans="1:18" ht="14.45">
      <c r="A48" s="297">
        <v>46288</v>
      </c>
      <c r="B48" s="188" t="s">
        <v>76</v>
      </c>
      <c r="C48" s="301" t="s">
        <v>75</v>
      </c>
      <c r="D48" s="406" t="s">
        <v>71</v>
      </c>
      <c r="E48" s="408">
        <v>1986</v>
      </c>
      <c r="F48" s="184">
        <v>2074</v>
      </c>
      <c r="G48" s="186">
        <v>2030</v>
      </c>
      <c r="H48" s="303">
        <v>2022</v>
      </c>
      <c r="I48" s="183" t="str">
        <f t="shared" si="2"/>
        <v>Verdadeiro</v>
      </c>
      <c r="J48" s="116" t="s">
        <v>72</v>
      </c>
      <c r="K48" s="32" t="str">
        <f t="shared" si="1"/>
        <v>Confirmar</v>
      </c>
      <c r="L48" s="306"/>
      <c r="M48" s="183" t="str">
        <f t="shared" si="3"/>
        <v>Confirmar</v>
      </c>
      <c r="N48" s="307" t="s">
        <v>60</v>
      </c>
      <c r="O48" s="5"/>
      <c r="P48" s="5"/>
      <c r="Q48" s="5"/>
      <c r="R48" s="5"/>
    </row>
    <row r="49" spans="1:19" ht="14.45">
      <c r="A49" s="297"/>
      <c r="B49" s="188" t="s">
        <v>74</v>
      </c>
      <c r="C49" s="301"/>
      <c r="D49" s="406" t="s">
        <v>71</v>
      </c>
      <c r="E49" s="408">
        <v>1986</v>
      </c>
      <c r="F49" s="184">
        <v>2074</v>
      </c>
      <c r="G49" s="186">
        <v>2030</v>
      </c>
      <c r="H49" s="303"/>
      <c r="I49" s="183" t="str">
        <f t="shared" si="2"/>
        <v>Confirmar</v>
      </c>
      <c r="J49" s="116" t="s">
        <v>72</v>
      </c>
      <c r="K49" s="32" t="str">
        <f t="shared" si="1"/>
        <v>Confirmar</v>
      </c>
      <c r="L49" s="306"/>
      <c r="M49" s="183" t="str">
        <f t="shared" si="3"/>
        <v>Confirmar</v>
      </c>
      <c r="N49" s="307"/>
      <c r="O49" s="5"/>
      <c r="P49" s="5"/>
      <c r="Q49" s="5"/>
      <c r="R49" s="5"/>
    </row>
    <row r="50" spans="1:19">
      <c r="A50" s="297"/>
      <c r="B50" s="46" t="s">
        <v>69</v>
      </c>
      <c r="C50" s="301"/>
      <c r="D50" s="407" t="s">
        <v>71</v>
      </c>
      <c r="E50" s="408">
        <v>1986</v>
      </c>
      <c r="F50" s="184">
        <v>2074</v>
      </c>
      <c r="G50" s="186">
        <v>2030</v>
      </c>
      <c r="H50" s="303"/>
      <c r="I50" s="183" t="str">
        <f t="shared" si="2"/>
        <v>Confirmar</v>
      </c>
      <c r="J50" s="116" t="s">
        <v>72</v>
      </c>
      <c r="K50" s="32" t="str">
        <f t="shared" si="1"/>
        <v>Confirmar</v>
      </c>
      <c r="L50" s="306"/>
      <c r="M50" s="183" t="str">
        <f t="shared" si="3"/>
        <v>Confirmar</v>
      </c>
      <c r="N50" s="307"/>
      <c r="O50" s="5"/>
      <c r="P50" s="5"/>
      <c r="Q50" s="5"/>
      <c r="R50" s="5"/>
    </row>
    <row r="51" spans="1:19" ht="14.45">
      <c r="A51" s="297"/>
      <c r="B51" s="188" t="s">
        <v>74</v>
      </c>
      <c r="C51" s="301"/>
      <c r="D51" s="406" t="s">
        <v>71</v>
      </c>
      <c r="E51" s="408">
        <v>1986</v>
      </c>
      <c r="F51" s="184">
        <v>2074</v>
      </c>
      <c r="G51" s="186">
        <v>2030</v>
      </c>
      <c r="H51" s="303"/>
      <c r="I51" s="183" t="str">
        <f t="shared" si="2"/>
        <v>Confirmar</v>
      </c>
      <c r="J51" s="116" t="s">
        <v>72</v>
      </c>
      <c r="K51" s="32" t="str">
        <f t="shared" si="1"/>
        <v>Confirmar</v>
      </c>
      <c r="L51" s="306"/>
      <c r="M51" s="183" t="str">
        <f t="shared" si="3"/>
        <v>Confirmar</v>
      </c>
      <c r="N51" s="307"/>
      <c r="O51" s="5"/>
      <c r="P51" s="5"/>
      <c r="Q51" s="5"/>
      <c r="R51" s="5"/>
    </row>
    <row r="52" spans="1:19" ht="14.45">
      <c r="A52" s="297"/>
      <c r="B52" s="188" t="s">
        <v>76</v>
      </c>
      <c r="C52" s="302"/>
      <c r="D52" s="406" t="s">
        <v>71</v>
      </c>
      <c r="E52" s="408">
        <v>1986</v>
      </c>
      <c r="F52" s="184">
        <v>2074</v>
      </c>
      <c r="G52" s="186">
        <v>2030</v>
      </c>
      <c r="H52" s="303"/>
      <c r="I52" s="183" t="str">
        <f t="shared" si="2"/>
        <v>Confirmar</v>
      </c>
      <c r="J52" s="116" t="s">
        <v>72</v>
      </c>
      <c r="K52" s="32" t="str">
        <f t="shared" si="1"/>
        <v>Confirmar</v>
      </c>
      <c r="L52" s="306"/>
      <c r="M52" s="183" t="str">
        <f t="shared" si="3"/>
        <v>Confirmar</v>
      </c>
      <c r="N52" s="307"/>
      <c r="O52" s="5"/>
      <c r="P52" s="5"/>
      <c r="Q52" s="5"/>
      <c r="R52" s="5"/>
    </row>
    <row r="53" spans="1:19" ht="14.45">
      <c r="A53" s="297"/>
      <c r="B53" s="188" t="s">
        <v>74</v>
      </c>
      <c r="C53" s="301"/>
      <c r="D53" s="407" t="s">
        <v>71</v>
      </c>
      <c r="E53" s="408">
        <v>1986</v>
      </c>
      <c r="F53" s="184">
        <v>2074</v>
      </c>
      <c r="G53" s="186">
        <v>2030</v>
      </c>
      <c r="H53" s="303"/>
      <c r="I53" s="183" t="str">
        <f t="shared" si="2"/>
        <v>Confirmar</v>
      </c>
      <c r="J53" s="116" t="s">
        <v>72</v>
      </c>
      <c r="K53" s="32" t="str">
        <f t="shared" si="1"/>
        <v>Confirmar</v>
      </c>
      <c r="L53" s="306"/>
      <c r="M53" s="183" t="str">
        <f t="shared" si="3"/>
        <v>Confirmar</v>
      </c>
      <c r="N53" s="307"/>
      <c r="O53" s="5"/>
      <c r="P53" s="5"/>
      <c r="Q53" s="5"/>
      <c r="R53" s="5"/>
    </row>
    <row r="54" spans="1:19" ht="14.45">
      <c r="A54" s="297"/>
      <c r="B54" s="188" t="s">
        <v>76</v>
      </c>
      <c r="C54" s="301"/>
      <c r="D54" s="406" t="s">
        <v>71</v>
      </c>
      <c r="E54" s="408">
        <v>1986</v>
      </c>
      <c r="F54" s="184">
        <v>2074</v>
      </c>
      <c r="G54" s="186">
        <v>2030</v>
      </c>
      <c r="H54" s="303"/>
      <c r="I54" s="183" t="str">
        <f t="shared" si="2"/>
        <v>Confirmar</v>
      </c>
      <c r="J54" s="116" t="s">
        <v>72</v>
      </c>
      <c r="K54" s="32" t="str">
        <f t="shared" si="1"/>
        <v>Confirmar</v>
      </c>
      <c r="L54" s="306"/>
      <c r="M54" s="183" t="str">
        <f t="shared" si="3"/>
        <v>Confirmar</v>
      </c>
      <c r="N54" s="307"/>
      <c r="O54" s="5"/>
      <c r="P54" s="5"/>
      <c r="Q54" s="5"/>
      <c r="R54" s="5"/>
    </row>
    <row r="55" spans="1:19" ht="14.45">
      <c r="A55" s="297"/>
      <c r="B55" s="188" t="s">
        <v>74</v>
      </c>
      <c r="C55" s="302"/>
      <c r="D55" s="406" t="s">
        <v>71</v>
      </c>
      <c r="E55" s="408">
        <v>1986</v>
      </c>
      <c r="F55" s="184">
        <v>2074</v>
      </c>
      <c r="G55" s="186">
        <v>2030</v>
      </c>
      <c r="H55" s="303"/>
      <c r="I55" s="183" t="str">
        <f t="shared" si="2"/>
        <v>Confirmar</v>
      </c>
      <c r="J55" s="116" t="s">
        <v>72</v>
      </c>
      <c r="K55" s="32" t="str">
        <f t="shared" si="1"/>
        <v>Confirmar</v>
      </c>
      <c r="L55" s="306"/>
      <c r="M55" s="183" t="str">
        <f t="shared" si="3"/>
        <v>Confirmar</v>
      </c>
      <c r="N55" s="307"/>
      <c r="O55" s="5"/>
      <c r="P55" s="5"/>
      <c r="Q55" s="5"/>
      <c r="R55" s="5"/>
    </row>
    <row r="56" spans="1:19" ht="14.45">
      <c r="A56" s="297"/>
      <c r="B56" s="46" t="s">
        <v>69</v>
      </c>
      <c r="C56" s="301"/>
      <c r="D56" s="406" t="s">
        <v>71</v>
      </c>
      <c r="E56" s="408">
        <v>1986</v>
      </c>
      <c r="F56" s="184">
        <v>2074</v>
      </c>
      <c r="G56" s="186">
        <v>2030</v>
      </c>
      <c r="H56" s="303"/>
      <c r="I56" s="183" t="str">
        <f t="shared" si="2"/>
        <v>Confirmar</v>
      </c>
      <c r="J56" s="116" t="s">
        <v>72</v>
      </c>
      <c r="K56" s="32" t="str">
        <f t="shared" si="1"/>
        <v>Confirmar</v>
      </c>
      <c r="L56" s="306"/>
      <c r="M56" s="183" t="str">
        <f t="shared" si="3"/>
        <v>Confirmar</v>
      </c>
      <c r="N56" s="307"/>
      <c r="O56" s="685"/>
      <c r="P56" s="685"/>
      <c r="Q56" s="685"/>
      <c r="R56" s="685"/>
      <c r="S56" s="685"/>
    </row>
    <row r="57" spans="1:19" ht="14.45">
      <c r="A57" s="297"/>
      <c r="B57" s="188" t="s">
        <v>74</v>
      </c>
      <c r="C57" s="302"/>
      <c r="D57" s="406" t="s">
        <v>71</v>
      </c>
      <c r="E57" s="408">
        <v>1986</v>
      </c>
      <c r="F57" s="184">
        <v>2074</v>
      </c>
      <c r="G57" s="186">
        <v>2030</v>
      </c>
      <c r="H57" s="303"/>
      <c r="I57" s="183" t="str">
        <f t="shared" si="2"/>
        <v>Confirmar</v>
      </c>
      <c r="J57" s="116" t="s">
        <v>72</v>
      </c>
      <c r="K57" s="32" t="str">
        <f t="shared" si="1"/>
        <v>Confirmar</v>
      </c>
      <c r="L57" s="306"/>
      <c r="M57" s="183" t="str">
        <f t="shared" si="3"/>
        <v>Confirmar</v>
      </c>
      <c r="N57" s="307"/>
      <c r="O57" s="5"/>
      <c r="P57" s="5"/>
      <c r="Q57" s="5"/>
      <c r="R57" s="5"/>
    </row>
    <row r="58" spans="1:19" ht="14.45">
      <c r="A58" s="297"/>
      <c r="B58" s="188" t="s">
        <v>76</v>
      </c>
      <c r="C58" s="301"/>
      <c r="D58" s="406" t="s">
        <v>71</v>
      </c>
      <c r="E58" s="408">
        <v>1986</v>
      </c>
      <c r="F58" s="184">
        <v>2074</v>
      </c>
      <c r="G58" s="186">
        <v>2030</v>
      </c>
      <c r="H58" s="303"/>
      <c r="I58" s="183" t="str">
        <f t="shared" si="2"/>
        <v>Confirmar</v>
      </c>
      <c r="J58" s="116" t="s">
        <v>72</v>
      </c>
      <c r="K58" s="32" t="str">
        <f t="shared" si="1"/>
        <v>Confirmar</v>
      </c>
      <c r="L58" s="306"/>
      <c r="M58" s="183" t="str">
        <f t="shared" si="3"/>
        <v>Confirmar</v>
      </c>
      <c r="N58" s="307"/>
      <c r="O58" s="5"/>
      <c r="P58" s="5"/>
      <c r="Q58" s="5"/>
      <c r="R58" s="5"/>
    </row>
    <row r="59" spans="1:19" ht="14.45">
      <c r="A59" s="297"/>
      <c r="B59" s="188" t="s">
        <v>74</v>
      </c>
      <c r="C59" s="301"/>
      <c r="D59" s="406" t="s">
        <v>71</v>
      </c>
      <c r="E59" s="408">
        <v>1986</v>
      </c>
      <c r="F59" s="184">
        <v>2074</v>
      </c>
      <c r="G59" s="186">
        <v>2030</v>
      </c>
      <c r="H59" s="303"/>
      <c r="I59" s="183" t="str">
        <f t="shared" si="2"/>
        <v>Confirmar</v>
      </c>
      <c r="J59" s="116" t="s">
        <v>72</v>
      </c>
      <c r="K59" s="32" t="str">
        <f t="shared" si="1"/>
        <v>Confirmar</v>
      </c>
      <c r="L59" s="306"/>
      <c r="M59" s="183" t="str">
        <f t="shared" si="3"/>
        <v>Confirmar</v>
      </c>
      <c r="N59" s="307"/>
      <c r="O59" s="5"/>
      <c r="P59" s="5"/>
      <c r="Q59" s="5"/>
      <c r="R59" s="5"/>
    </row>
    <row r="60" spans="1:19" ht="14.45">
      <c r="A60" s="297"/>
      <c r="B60" s="188" t="s">
        <v>76</v>
      </c>
      <c r="C60" s="301"/>
      <c r="D60" s="406" t="s">
        <v>71</v>
      </c>
      <c r="E60" s="408">
        <v>1986</v>
      </c>
      <c r="F60" s="184">
        <v>2074</v>
      </c>
      <c r="G60" s="186">
        <v>2030</v>
      </c>
      <c r="H60" s="303"/>
      <c r="I60" s="183" t="str">
        <f t="shared" si="2"/>
        <v>Confirmar</v>
      </c>
      <c r="J60" s="116" t="s">
        <v>72</v>
      </c>
      <c r="K60" s="32" t="str">
        <f t="shared" si="1"/>
        <v>Confirmar</v>
      </c>
      <c r="L60" s="306"/>
      <c r="M60" s="183" t="str">
        <f t="shared" si="3"/>
        <v>Confirmar</v>
      </c>
      <c r="N60" s="307"/>
      <c r="O60" s="5"/>
      <c r="P60" s="5"/>
      <c r="Q60" s="5"/>
      <c r="R60" s="5"/>
    </row>
    <row r="61" spans="1:19">
      <c r="A61" s="297"/>
      <c r="B61" s="188" t="s">
        <v>74</v>
      </c>
      <c r="C61" s="301"/>
      <c r="D61" s="406" t="s">
        <v>71</v>
      </c>
      <c r="E61" s="408">
        <v>1986</v>
      </c>
      <c r="F61" s="184">
        <v>2074</v>
      </c>
      <c r="G61" s="186">
        <v>2030</v>
      </c>
      <c r="H61" s="303"/>
      <c r="I61" s="183" t="str">
        <f t="shared" si="2"/>
        <v>Confirmar</v>
      </c>
      <c r="J61" s="116" t="s">
        <v>72</v>
      </c>
      <c r="K61" s="32" t="str">
        <f t="shared" si="1"/>
        <v>Confirmar</v>
      </c>
      <c r="L61" s="306"/>
      <c r="M61" s="183" t="str">
        <f t="shared" si="3"/>
        <v>Confirmar</v>
      </c>
      <c r="N61" s="307"/>
      <c r="O61" s="5"/>
      <c r="P61" s="5"/>
      <c r="Q61" s="5"/>
      <c r="R61" s="5"/>
    </row>
    <row r="62" spans="1:19">
      <c r="A62" s="297"/>
      <c r="B62" s="46" t="s">
        <v>69</v>
      </c>
      <c r="C62" s="301"/>
      <c r="D62" s="406" t="s">
        <v>71</v>
      </c>
      <c r="E62" s="408">
        <v>1986</v>
      </c>
      <c r="F62" s="184">
        <v>2074</v>
      </c>
      <c r="G62" s="186">
        <v>2030</v>
      </c>
      <c r="H62" s="303"/>
      <c r="I62" s="183" t="str">
        <f t="shared" si="2"/>
        <v>Confirmar</v>
      </c>
      <c r="J62" s="116" t="s">
        <v>72</v>
      </c>
      <c r="K62" s="32" t="str">
        <f t="shared" si="1"/>
        <v>Confirmar</v>
      </c>
      <c r="L62" s="306"/>
      <c r="M62" s="183" t="str">
        <f t="shared" si="3"/>
        <v>Confirmar</v>
      </c>
      <c r="N62" s="307"/>
      <c r="O62" s="5"/>
      <c r="P62" s="5"/>
      <c r="Q62" s="5"/>
      <c r="R62" s="5"/>
    </row>
    <row r="63" spans="1:19" ht="14.45">
      <c r="A63" s="297"/>
      <c r="B63" s="188" t="s">
        <v>74</v>
      </c>
      <c r="C63" s="301"/>
      <c r="D63" s="406" t="s">
        <v>71</v>
      </c>
      <c r="E63" s="408">
        <v>1986</v>
      </c>
      <c r="F63" s="184">
        <v>2074</v>
      </c>
      <c r="G63" s="186">
        <v>2030</v>
      </c>
      <c r="H63" s="303"/>
      <c r="I63" s="183" t="str">
        <f t="shared" si="2"/>
        <v>Confirmar</v>
      </c>
      <c r="J63" s="116"/>
      <c r="K63" s="32"/>
      <c r="L63" s="306"/>
      <c r="M63" s="183" t="str">
        <f t="shared" si="3"/>
        <v>Confirmar</v>
      </c>
      <c r="N63" s="307"/>
      <c r="O63" s="5"/>
      <c r="P63" s="5"/>
      <c r="Q63" s="5"/>
      <c r="R63" s="5"/>
    </row>
    <row r="64" spans="1:19" ht="14.45">
      <c r="A64" s="297"/>
      <c r="B64" s="188" t="s">
        <v>76</v>
      </c>
      <c r="C64" s="301"/>
      <c r="D64" s="406" t="s">
        <v>71</v>
      </c>
      <c r="E64" s="408">
        <v>1986</v>
      </c>
      <c r="F64" s="184">
        <v>2074</v>
      </c>
      <c r="G64" s="186">
        <v>2030</v>
      </c>
      <c r="H64" s="303"/>
      <c r="I64" s="183" t="str">
        <f t="shared" si="2"/>
        <v>Confirmar</v>
      </c>
      <c r="J64" s="116"/>
      <c r="K64" s="32"/>
      <c r="L64" s="306"/>
      <c r="M64" s="183" t="str">
        <f t="shared" si="3"/>
        <v>Confirmar</v>
      </c>
      <c r="N64" s="307"/>
      <c r="O64" s="5"/>
      <c r="P64" s="5"/>
      <c r="Q64" s="5"/>
      <c r="R64" s="5"/>
    </row>
    <row r="65" spans="1:14">
      <c r="A65" s="525"/>
      <c r="B65" s="526" t="s">
        <v>74</v>
      </c>
      <c r="C65" s="527"/>
      <c r="D65" s="528" t="s">
        <v>71</v>
      </c>
      <c r="E65" s="529">
        <v>1986</v>
      </c>
      <c r="F65" s="530">
        <v>2074</v>
      </c>
      <c r="G65" s="531">
        <v>2030</v>
      </c>
      <c r="H65" s="532"/>
      <c r="I65" s="533" t="str">
        <f t="shared" si="2"/>
        <v>Confirmar</v>
      </c>
      <c r="J65" s="534" t="s">
        <v>72</v>
      </c>
      <c r="K65" s="535" t="str">
        <f t="shared" si="1"/>
        <v>Confirmar</v>
      </c>
      <c r="L65" s="536"/>
      <c r="M65" s="533" t="str">
        <f t="shared" si="3"/>
        <v>Confirmar</v>
      </c>
      <c r="N65" s="537"/>
    </row>
    <row r="66" spans="1:14">
      <c r="A66" s="514"/>
      <c r="B66" s="188" t="s">
        <v>76</v>
      </c>
      <c r="C66" s="515"/>
      <c r="D66" s="406" t="s">
        <v>71</v>
      </c>
      <c r="E66" s="408">
        <v>1986</v>
      </c>
      <c r="F66" s="184">
        <v>2074</v>
      </c>
      <c r="G66" s="186">
        <v>2030</v>
      </c>
      <c r="H66" s="516"/>
      <c r="I66" s="183" t="str">
        <f t="shared" si="2"/>
        <v>Confirmar</v>
      </c>
      <c r="J66" s="518"/>
      <c r="K66" s="517"/>
      <c r="L66" s="519"/>
      <c r="M66" s="517"/>
      <c r="N66" s="520"/>
    </row>
    <row r="67" spans="1:14">
      <c r="A67" s="514"/>
      <c r="B67" s="188" t="s">
        <v>74</v>
      </c>
      <c r="C67" s="515"/>
      <c r="D67" s="406" t="s">
        <v>71</v>
      </c>
      <c r="E67" s="408">
        <v>1986</v>
      </c>
      <c r="F67" s="184">
        <v>2074</v>
      </c>
      <c r="G67" s="186">
        <v>2030</v>
      </c>
      <c r="H67" s="516"/>
      <c r="I67" s="183" t="str">
        <f t="shared" si="2"/>
        <v>Confirmar</v>
      </c>
      <c r="J67" s="518"/>
      <c r="K67" s="517"/>
      <c r="L67" s="519"/>
      <c r="M67" s="517"/>
      <c r="N67" s="520"/>
    </row>
    <row r="68" spans="1:14">
      <c r="A68" s="514"/>
      <c r="B68" s="46" t="s">
        <v>69</v>
      </c>
      <c r="C68" s="515"/>
      <c r="D68" s="406" t="s">
        <v>71</v>
      </c>
      <c r="E68" s="408">
        <v>1986</v>
      </c>
      <c r="F68" s="184">
        <v>2074</v>
      </c>
      <c r="G68" s="186">
        <v>2030</v>
      </c>
      <c r="H68" s="516"/>
      <c r="I68" s="183" t="str">
        <f t="shared" si="2"/>
        <v>Confirmar</v>
      </c>
      <c r="J68" s="518"/>
      <c r="K68" s="517"/>
      <c r="L68" s="519"/>
      <c r="M68" s="517"/>
      <c r="N68" s="520"/>
    </row>
    <row r="69" spans="1:14">
      <c r="A69" s="514"/>
      <c r="B69" s="188" t="s">
        <v>74</v>
      </c>
      <c r="C69" s="515"/>
      <c r="D69" s="406" t="s">
        <v>71</v>
      </c>
      <c r="E69" s="408">
        <v>1986</v>
      </c>
      <c r="F69" s="184">
        <v>2074</v>
      </c>
      <c r="G69" s="186">
        <v>2030</v>
      </c>
      <c r="H69" s="516"/>
      <c r="I69" s="183" t="str">
        <f t="shared" si="2"/>
        <v>Confirmar</v>
      </c>
      <c r="J69" s="518"/>
      <c r="K69" s="517"/>
      <c r="L69" s="519"/>
      <c r="M69" s="517"/>
      <c r="N69" s="520"/>
    </row>
    <row r="70" spans="1:14">
      <c r="A70" s="514"/>
      <c r="B70" s="188" t="s">
        <v>76</v>
      </c>
      <c r="C70" s="515"/>
      <c r="D70" s="406" t="s">
        <v>71</v>
      </c>
      <c r="E70" s="408">
        <v>1986</v>
      </c>
      <c r="F70" s="184">
        <v>2074</v>
      </c>
      <c r="G70" s="531">
        <v>2030</v>
      </c>
      <c r="H70" s="516"/>
      <c r="I70" s="183" t="str">
        <f t="shared" si="2"/>
        <v>Confirmar</v>
      </c>
      <c r="J70" s="518"/>
      <c r="K70" s="517"/>
      <c r="L70" s="519"/>
      <c r="M70" s="517"/>
      <c r="N70" s="520"/>
    </row>
    <row r="71" spans="1:14">
      <c r="A71" s="521"/>
      <c r="B71" s="526" t="s">
        <v>74</v>
      </c>
      <c r="C71" s="278"/>
      <c r="D71" s="528" t="s">
        <v>71</v>
      </c>
      <c r="E71" s="529">
        <v>1986</v>
      </c>
      <c r="F71" s="530">
        <v>2074</v>
      </c>
      <c r="G71" s="531">
        <v>2030</v>
      </c>
      <c r="H71" s="521"/>
      <c r="I71" s="183" t="str">
        <f t="shared" si="2"/>
        <v>Confirmar</v>
      </c>
      <c r="J71" s="522"/>
      <c r="K71" s="522"/>
      <c r="L71" s="521"/>
      <c r="M71" s="523"/>
      <c r="N71" s="524"/>
    </row>
    <row r="72" spans="1:14" s="38" customFormat="1" ht="21.75" customHeight="1">
      <c r="A72" s="690" t="s">
        <v>26</v>
      </c>
      <c r="B72" s="691"/>
      <c r="C72" s="691"/>
      <c r="D72" s="691"/>
      <c r="E72" s="691"/>
      <c r="F72" s="691"/>
      <c r="G72" s="692"/>
      <c r="H72" s="538">
        <f>AVERAGE(H6:H65)</f>
        <v>2021.5714285714287</v>
      </c>
      <c r="I72" s="52"/>
      <c r="J72" s="538" t="e">
        <f>AVERAGE(J6:J65)</f>
        <v>#DIV/0!</v>
      </c>
      <c r="K72" s="52"/>
      <c r="L72" s="538" t="e">
        <f>AVERAGE(L6:L65)</f>
        <v>#DIV/0!</v>
      </c>
      <c r="M72" s="24"/>
      <c r="N72" s="56"/>
    </row>
    <row r="75" spans="1:14" ht="14.45">
      <c r="A75" t="s">
        <v>88</v>
      </c>
      <c r="B75">
        <f>COUNT(H6:H65,L6:L65)</f>
        <v>42</v>
      </c>
    </row>
  </sheetData>
  <customSheetViews>
    <customSheetView guid="{CCCF8C80-0A30-4E00-90E2-6A0478F5DFB8}">
      <selection activeCell="D8" sqref="D8"/>
      <pageMargins left="0" right="0" top="0" bottom="0" header="0" footer="0"/>
    </customSheetView>
    <customSheetView guid="{BB76541C-9734-4AE6-BF63-6D073F753C9C}">
      <selection activeCell="K18" sqref="K18"/>
      <pageMargins left="0" right="0" top="0" bottom="0" header="0" footer="0"/>
      <pageSetup paperSize="9" orientation="portrait" r:id="rId1"/>
    </customSheetView>
    <customSheetView guid="{B5E2B02B-7E99-408C-BB6F-FFF2280098B7}">
      <selection activeCell="G14" sqref="G14"/>
      <pageMargins left="0" right="0" top="0" bottom="0" header="0" footer="0"/>
      <pageSetup paperSize="9" orientation="portrait" r:id="rId2"/>
    </customSheetView>
    <customSheetView guid="{C2E74EDD-1B26-4C41-B9BB-CBF9BFB9023A}">
      <selection activeCell="N24" sqref="N24"/>
      <pageMargins left="0" right="0" top="0" bottom="0" header="0" footer="0"/>
      <pageSetup paperSize="9" orientation="portrait" r:id="rId3"/>
    </customSheetView>
    <customSheetView guid="{350D256E-484A-493C-BEC1-E6E92C0ED1FB}">
      <selection activeCell="K12" sqref="K12"/>
      <pageMargins left="0" right="0" top="0" bottom="0" header="0" footer="0"/>
    </customSheetView>
    <customSheetView guid="{66B043C9-090A-44CE-8F78-F01A2E95C074}" topLeftCell="A10">
      <selection activeCell="N32" sqref="N32"/>
      <pageMargins left="0" right="0" top="0" bottom="0" header="0" footer="0"/>
      <pageSetup paperSize="9" orientation="portrait" r:id="rId4"/>
    </customSheetView>
    <customSheetView guid="{71E28378-5869-4383-8FDC-814E20362E22}">
      <selection activeCell="A3" sqref="A3:K3"/>
      <pageMargins left="0" right="0" top="0" bottom="0" header="0" footer="0"/>
      <pageSetup paperSize="9" orientation="portrait" r:id="rId5"/>
    </customSheetView>
    <customSheetView guid="{F714CF42-7A1C-4705-AE29-392CBBABC9F9}">
      <selection activeCell="A3" sqref="A3:K3"/>
      <pageMargins left="0" right="0" top="0" bottom="0" header="0" footer="0"/>
      <pageSetup paperSize="9" orientation="portrait" r:id="rId6"/>
    </customSheetView>
    <customSheetView guid="{693A9131-2702-4FE7-A7C7-E6EDDD138512}">
      <selection activeCell="I5" sqref="I5"/>
      <pageMargins left="0" right="0" top="0" bottom="0" header="0" footer="0"/>
      <pageSetup paperSize="9" orientation="portrait" r:id="rId7"/>
    </customSheetView>
    <customSheetView guid="{4748EC4C-81D5-43D5-94BD-A5B223346BCF}">
      <selection activeCell="A3" sqref="A3:K3"/>
      <pageMargins left="0" right="0" top="0" bottom="0" header="0" footer="0"/>
    </customSheetView>
    <customSheetView guid="{CBDC2B44-0B12-42F6-8A83-327620A020F0}" topLeftCell="A10">
      <selection activeCell="D23" sqref="D23"/>
      <pageMargins left="0" right="0" top="0" bottom="0" header="0" footer="0"/>
      <pageSetup paperSize="9" orientation="portrait" r:id="rId8"/>
    </customSheetView>
    <customSheetView guid="{713A1DD7-FA1F-4623-B0E6-A04686290522}">
      <selection activeCell="G18" sqref="G18"/>
      <pageMargins left="0" right="0" top="0" bottom="0" header="0" footer="0"/>
      <pageSetup paperSize="9" orientation="portrait" r:id="rId9"/>
    </customSheetView>
    <customSheetView guid="{70843BDF-D655-4848-BCD4-BDFD277BBD35}">
      <selection activeCell="M28" sqref="M28"/>
      <pageMargins left="0" right="0" top="0" bottom="0" header="0" footer="0"/>
      <pageSetup paperSize="9" orientation="portrait" r:id="rId10"/>
    </customSheetView>
    <customSheetView guid="{8C81953D-A26D-4ACF-9D7D-729107B858BE}">
      <selection activeCell="A3" sqref="A3:K3"/>
      <pageMargins left="0" right="0" top="0" bottom="0" header="0" footer="0"/>
      <pageSetup paperSize="9" orientation="portrait" r:id="rId11"/>
    </customSheetView>
    <customSheetView guid="{F237F3C3-0F47-464A-8293-D057DA35FD3F}">
      <selection activeCell="A3" sqref="A3:K3"/>
      <pageMargins left="0" right="0" top="0" bottom="0" header="0" footer="0"/>
      <pageSetup paperSize="9" orientation="portrait" r:id="rId12"/>
    </customSheetView>
    <customSheetView guid="{5867E70C-6837-4B3A-9747-480F77CCE139}">
      <selection activeCell="L11" sqref="L11"/>
      <pageMargins left="0" right="0" top="0" bottom="0" header="0" footer="0"/>
      <pageSetup paperSize="9" orientation="portrait" r:id="rId13"/>
    </customSheetView>
    <customSheetView guid="{59F2B60C-C5F9-44B8-BC83-94BE106F57C3}" topLeftCell="F49">
      <selection activeCell="R68" sqref="R68"/>
      <pageMargins left="0" right="0" top="0" bottom="0" header="0" footer="0"/>
      <pageSetup paperSize="9" orientation="portrait" r:id="rId14"/>
    </customSheetView>
    <customSheetView guid="{0C0476DE-F4E6-4ADB-B504-A8D8F3A78376}">
      <selection activeCell="A6" sqref="A6:C6"/>
      <pageMargins left="0" right="0" top="0" bottom="0" header="0" footer="0"/>
      <pageSetup paperSize="9" orientation="portrait" r:id="rId15"/>
    </customSheetView>
    <customSheetView guid="{AAFEB45B-EC48-4A57-9442-3F536E68E653}" showAutoFilter="1">
      <selection activeCell="H38" sqref="H5:H38"/>
      <pageMargins left="0" right="0" top="0" bottom="0" header="0" footer="0"/>
      <autoFilter ref="B1:M1" xr:uid="{DD146924-079A-4A0C-B3B5-04D70DFDBC3C}"/>
    </customSheetView>
    <customSheetView guid="{18148FBC-4DDD-4025-B982-F009E34B76B6}" topLeftCell="I1">
      <selection activeCell="S71" sqref="S71"/>
      <pageMargins left="0" right="0" top="0" bottom="0" header="0" footer="0"/>
      <pageSetup paperSize="9" orientation="portrait" r:id="rId16"/>
    </customSheetView>
    <customSheetView guid="{45058AEB-0A55-4288-B2D5-D3D1B02DD62F}">
      <selection activeCell="A3" sqref="A3:I3"/>
      <pageMargins left="0" right="0" top="0" bottom="0" header="0" footer="0"/>
      <pageSetup paperSize="9" orientation="portrait" r:id="rId17"/>
    </customSheetView>
    <customSheetView guid="{0121BC5C-2AA6-4F6C-871B-F5CDF1633F72}" state="hidden">
      <selection activeCell="A3" sqref="A3:I3"/>
      <pageMargins left="0" right="0" top="0" bottom="0" header="0" footer="0"/>
      <pageSetup paperSize="9" orientation="portrait" r:id="rId18"/>
    </customSheetView>
    <customSheetView guid="{83581ACB-5281-4BE1-9AE2-7BAA59D29A86}" state="hidden" topLeftCell="A13">
      <selection activeCell="A3" sqref="A3:I3"/>
      <pageMargins left="0" right="0" top="0" bottom="0" header="0" footer="0"/>
      <pageSetup paperSize="9" orientation="portrait" r:id="rId19"/>
    </customSheetView>
    <customSheetView guid="{C4E0EA46-0B96-4EC7-979B-F7138E3B8454}" topLeftCell="A7">
      <selection activeCell="H32" sqref="H32:I32"/>
      <pageMargins left="0" right="0" top="0" bottom="0" header="0" footer="0"/>
      <pageSetup paperSize="9" orientation="portrait" r:id="rId20"/>
    </customSheetView>
    <customSheetView guid="{3D410819-5520-4C0F-958E-9FC09D4B42DD}">
      <selection activeCell="F6" sqref="F6:G6"/>
      <pageMargins left="0" right="0" top="0" bottom="0" header="0" footer="0"/>
      <pageSetup paperSize="9" orientation="portrait" r:id="rId21"/>
    </customSheetView>
    <customSheetView guid="{16402340-B3EF-461B-8AF9-D2FFE7E6BD1B}" state="hidden">
      <selection activeCell="A3" sqref="A3:I3"/>
      <pageMargins left="0" right="0" top="0" bottom="0" header="0" footer="0"/>
      <pageSetup paperSize="9" orientation="portrait" r:id="rId22"/>
    </customSheetView>
    <customSheetView guid="{EA7DCB4E-60E8-4E16-A16D-6D297CA2C1EC}" state="hidden">
      <selection activeCell="A3" sqref="A3:I3"/>
      <pageMargins left="0" right="0" top="0" bottom="0" header="0" footer="0"/>
      <pageSetup paperSize="9" orientation="portrait" r:id="rId23"/>
    </customSheetView>
    <customSheetView guid="{99844124-CC26-41CC-BF01-C430840B6A11}">
      <selection activeCell="A3" sqref="A3:K3"/>
      <pageMargins left="0" right="0" top="0" bottom="0" header="0" footer="0"/>
      <pageSetup paperSize="9" orientation="portrait" r:id="rId24"/>
    </customSheetView>
    <customSheetView guid="{4928B0BF-3605-4228-B5EA-B9EFCB2DA176}">
      <selection activeCell="G25" sqref="G25"/>
      <pageMargins left="0" right="0" top="0" bottom="0" header="0" footer="0"/>
      <pageSetup paperSize="9" orientation="portrait" r:id="rId25"/>
    </customSheetView>
    <customSheetView guid="{3BD3E38B-E288-4CCF-9EE9-3A5263D49C28}">
      <selection activeCell="D16" sqref="D16"/>
      <pageMargins left="0" right="0" top="0" bottom="0" header="0" footer="0"/>
      <pageSetup paperSize="9" orientation="portrait" r:id="rId26"/>
    </customSheetView>
    <customSheetView guid="{C77CCEB6-690D-489F-B3AF-2BAA99B10E03}">
      <selection activeCell="H6" sqref="H6"/>
      <pageMargins left="0" right="0" top="0" bottom="0" header="0" footer="0"/>
      <pageSetup paperSize="9" orientation="portrait" r:id="rId27"/>
    </customSheetView>
    <customSheetView guid="{59668F56-2642-434E-822C-BDA8586DAA1D}">
      <selection activeCell="A3" sqref="A3:K3"/>
      <pageMargins left="0" right="0" top="0" bottom="0" header="0" footer="0"/>
      <pageSetup paperSize="9" orientation="portrait" r:id="rId28"/>
    </customSheetView>
    <customSheetView guid="{A9DC904F-863E-4EE0-A626-0795983927A7}">
      <selection activeCell="K9" sqref="K9"/>
      <pageMargins left="0" right="0" top="0" bottom="0" header="0" footer="0"/>
      <pageSetup paperSize="9" orientation="portrait" r:id="rId29"/>
    </customSheetView>
    <customSheetView guid="{E8ADB739-37E9-4E75-B31D-C7B374D790E1}">
      <selection activeCell="H15" sqref="H15:I15"/>
      <pageMargins left="0" right="0" top="0" bottom="0" header="0" footer="0"/>
      <pageSetup paperSize="9" orientation="portrait" r:id="rId30"/>
    </customSheetView>
    <customSheetView guid="{875BCD04-10B9-4BB6-BBE5-9B2301DD2EC9}">
      <selection activeCell="N34" sqref="N34"/>
      <pageMargins left="0" right="0" top="0" bottom="0" header="0" footer="0"/>
      <pageSetup paperSize="9" orientation="portrait" r:id="rId31"/>
    </customSheetView>
    <customSheetView guid="{681A0256-766F-4C32-B8C6-D64468E2450A}">
      <selection activeCell="I12" sqref="I12"/>
      <pageMargins left="0" right="0" top="0" bottom="0" header="0" footer="0"/>
    </customSheetView>
  </customSheetViews>
  <mergeCells count="6">
    <mergeCell ref="O56:S56"/>
    <mergeCell ref="A1:C2"/>
    <mergeCell ref="A72:G72"/>
    <mergeCell ref="A4:N4"/>
    <mergeCell ref="A3:N3"/>
    <mergeCell ref="E1:N2"/>
  </mergeCells>
  <conditionalFormatting sqref="K6:K27 I6:I27 M7:M70">
    <cfRule type="containsText" dxfId="26" priority="28" operator="containsText" text="Verdadeiro">
      <formula>NOT(ISERROR(SEARCH("Verdadeiro",I6)))</formula>
    </cfRule>
    <cfRule type="containsText" dxfId="25" priority="29" operator="containsText" text="Confirmar">
      <formula>NOT(ISERROR(SEARCH("Confirmar",I6)))</formula>
    </cfRule>
  </conditionalFormatting>
  <conditionalFormatting sqref="H1:H4 H13:H27 H36:H1048576">
    <cfRule type="cellIs" dxfId="24" priority="27" operator="greaterThan">
      <formula>2164</formula>
    </cfRule>
  </conditionalFormatting>
  <conditionalFormatting sqref="H36:H70 H13:H27">
    <cfRule type="cellIs" dxfId="23" priority="26" operator="lessThan">
      <formula>2076</formula>
    </cfRule>
  </conditionalFormatting>
  <conditionalFormatting sqref="K36:K70 I36:I71">
    <cfRule type="containsText" dxfId="22" priority="20" operator="containsText" text="Verdadeiro">
      <formula>NOT(ISERROR(SEARCH("Verdadeiro",I36)))</formula>
    </cfRule>
    <cfRule type="containsText" dxfId="21" priority="21" operator="containsText" text="Confirmar">
      <formula>NOT(ISERROR(SEARCH("Confirmar",I36)))</formula>
    </cfRule>
  </conditionalFormatting>
  <conditionalFormatting sqref="M6">
    <cfRule type="containsText" dxfId="20" priority="22" operator="containsText" text="Verdadeiro">
      <formula>NOT(ISERROR(SEARCH("Verdadeiro",M6)))</formula>
    </cfRule>
    <cfRule type="containsText" dxfId="19" priority="23" operator="containsText" text="Confirmar">
      <formula>NOT(ISERROR(SEARCH("Confirmar",M6)))</formula>
    </cfRule>
  </conditionalFormatting>
  <conditionalFormatting sqref="H12">
    <cfRule type="cellIs" dxfId="18" priority="17" operator="greaterThan">
      <formula>2164</formula>
    </cfRule>
  </conditionalFormatting>
  <conditionalFormatting sqref="H12">
    <cfRule type="cellIs" dxfId="17" priority="16" operator="lessThan">
      <formula>2076</formula>
    </cfRule>
  </conditionalFormatting>
  <conditionalFormatting sqref="I28:I35">
    <cfRule type="containsText" dxfId="16" priority="10" operator="containsText" text="Verdadeiro">
      <formula>NOT(ISERROR(SEARCH("Verdadeiro",I28)))</formula>
    </cfRule>
    <cfRule type="containsText" dxfId="15" priority="11" operator="containsText" text="Confirmar">
      <formula>NOT(ISERROR(SEARCH("Confirmar",I28)))</formula>
    </cfRule>
  </conditionalFormatting>
  <conditionalFormatting sqref="L72">
    <cfRule type="cellIs" dxfId="14" priority="9" operator="greaterThan">
      <formula>2164</formula>
    </cfRule>
  </conditionalFormatting>
  <conditionalFormatting sqref="H6:H8">
    <cfRule type="cellIs" dxfId="13" priority="4" operator="greaterThan">
      <formula>2164</formula>
    </cfRule>
  </conditionalFormatting>
  <conditionalFormatting sqref="H6:H8">
    <cfRule type="cellIs" dxfId="12" priority="3" operator="lessThan">
      <formula>2076</formula>
    </cfRule>
  </conditionalFormatting>
  <conditionalFormatting sqref="H9:H11">
    <cfRule type="cellIs" dxfId="11" priority="2" operator="greaterThan">
      <formula>2164</formula>
    </cfRule>
  </conditionalFormatting>
  <conditionalFormatting sqref="H9:H11">
    <cfRule type="cellIs" dxfId="10" priority="1" operator="lessThan">
      <formula>2076</formula>
    </cfRule>
  </conditionalFormatting>
  <pageMargins left="0.23622047244094491" right="0.23622047244094491" top="0.74803149606299213" bottom="0.74803149606299213" header="0.31496062992125984" footer="0.31496062992125984"/>
  <pageSetup scale="60" orientation="portrait" r:id="rId32"/>
  <drawing r:id="rId3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3"/>
  <sheetViews>
    <sheetView workbookViewId="0">
      <selection activeCell="A8" sqref="A8:E8"/>
    </sheetView>
  </sheetViews>
  <sheetFormatPr defaultColWidth="7.85546875" defaultRowHeight="12.95"/>
  <cols>
    <col min="1" max="1" width="10.140625" style="437" customWidth="1"/>
    <col min="2" max="2" width="15.42578125" style="437" customWidth="1"/>
    <col min="3" max="3" width="36.5703125" style="437" customWidth="1"/>
    <col min="4" max="5" width="18.28515625" style="438" customWidth="1"/>
    <col min="6" max="6" width="9.28515625" style="437" customWidth="1"/>
    <col min="7" max="8" width="7.85546875" style="437" customWidth="1"/>
    <col min="9" max="11" width="13.7109375" style="437" customWidth="1"/>
    <col min="12" max="13" width="7.85546875" style="437" customWidth="1"/>
    <col min="14" max="14" width="13.5703125" style="437" customWidth="1"/>
    <col min="15" max="15" width="13.7109375" style="437" customWidth="1"/>
    <col min="16" max="16384" width="7.85546875" style="437"/>
  </cols>
  <sheetData>
    <row r="1" spans="1:18" ht="5.0999999999999996" customHeight="1" thickBot="1"/>
    <row r="2" spans="1:18" ht="44.25" customHeight="1" thickBot="1">
      <c r="A2" s="707" t="s">
        <v>89</v>
      </c>
      <c r="B2" s="708"/>
      <c r="C2" s="708"/>
      <c r="D2" s="708"/>
      <c r="E2" s="708"/>
      <c r="F2" s="709"/>
    </row>
    <row r="3" spans="1:18" ht="5.0999999999999996" customHeight="1" thickBot="1">
      <c r="C3" s="439"/>
      <c r="D3" s="440"/>
      <c r="E3" s="441"/>
    </row>
    <row r="4" spans="1:18" ht="29.1" customHeight="1" thickBot="1">
      <c r="A4" s="706" t="s">
        <v>90</v>
      </c>
      <c r="B4" s="706"/>
      <c r="C4" s="706"/>
      <c r="D4" s="706"/>
      <c r="E4" s="706"/>
      <c r="F4" s="706"/>
      <c r="G4" s="457"/>
      <c r="H4" s="457"/>
      <c r="I4" s="457"/>
      <c r="J4" s="457"/>
      <c r="K4" s="457"/>
      <c r="L4" s="457"/>
      <c r="M4" s="457"/>
      <c r="N4" s="457"/>
      <c r="O4" s="457"/>
      <c r="P4" s="457"/>
      <c r="Q4" s="457"/>
      <c r="R4" s="458"/>
    </row>
    <row r="5" spans="1:18" ht="5.0999999999999996" customHeight="1" thickBot="1">
      <c r="C5" s="442"/>
      <c r="D5" s="443"/>
      <c r="E5" s="444"/>
    </row>
    <row r="6" spans="1:18" ht="24.6" customHeight="1" thickBot="1">
      <c r="A6" s="445"/>
      <c r="B6" s="445"/>
      <c r="C6" s="445" t="s">
        <v>91</v>
      </c>
      <c r="D6" s="446" t="s">
        <v>92</v>
      </c>
      <c r="E6" s="447" t="s">
        <v>93</v>
      </c>
      <c r="F6" s="704" t="s">
        <v>94</v>
      </c>
    </row>
    <row r="7" spans="1:18" ht="24.95" customHeight="1" thickBot="1">
      <c r="A7" s="448" t="s">
        <v>5</v>
      </c>
      <c r="B7" s="448" t="s">
        <v>95</v>
      </c>
      <c r="C7" s="448" t="s">
        <v>96</v>
      </c>
      <c r="D7" s="702" t="s">
        <v>97</v>
      </c>
      <c r="E7" s="703"/>
      <c r="F7" s="705"/>
    </row>
    <row r="8" spans="1:18" ht="24.95" customHeight="1">
      <c r="A8" s="456"/>
      <c r="B8" s="450"/>
      <c r="C8" s="450"/>
      <c r="D8" s="449"/>
      <c r="E8" s="459"/>
      <c r="F8" s="463">
        <f>IMABS(D8-E8)</f>
        <v>0</v>
      </c>
    </row>
    <row r="9" spans="1:18" ht="24.95" customHeight="1">
      <c r="A9" s="456"/>
      <c r="B9" s="450"/>
      <c r="C9" s="450"/>
      <c r="D9" s="451"/>
      <c r="E9" s="460"/>
      <c r="F9" s="464">
        <f t="shared" ref="F9:F12" si="0">IMABS(D9-E9)</f>
        <v>0</v>
      </c>
    </row>
    <row r="10" spans="1:18" ht="24.95" customHeight="1">
      <c r="A10" s="456"/>
      <c r="B10" s="450"/>
      <c r="C10" s="450"/>
      <c r="D10" s="451"/>
      <c r="E10" s="460"/>
      <c r="F10" s="464">
        <f t="shared" si="0"/>
        <v>0</v>
      </c>
    </row>
    <row r="11" spans="1:18" ht="24.95" customHeight="1">
      <c r="A11" s="456"/>
      <c r="B11" s="450"/>
      <c r="C11" s="450"/>
      <c r="D11" s="451"/>
      <c r="E11" s="460"/>
      <c r="F11" s="464">
        <f t="shared" si="0"/>
        <v>0</v>
      </c>
    </row>
    <row r="12" spans="1:18" ht="24.95" customHeight="1">
      <c r="A12" s="456"/>
      <c r="B12" s="450"/>
      <c r="C12" s="450"/>
      <c r="D12" s="451"/>
      <c r="E12" s="460"/>
      <c r="F12" s="464">
        <f t="shared" si="0"/>
        <v>0</v>
      </c>
    </row>
    <row r="13" spans="1:18" ht="24.95" customHeight="1" thickBot="1">
      <c r="A13" s="452"/>
      <c r="B13" s="452"/>
      <c r="C13" s="452" t="s">
        <v>98</v>
      </c>
      <c r="D13" s="453" t="e">
        <f>AVERAGE(D8:D12)</f>
        <v>#DIV/0!</v>
      </c>
      <c r="E13" s="461" t="e">
        <f>AVERAGE(E8:E12)</f>
        <v>#DIV/0!</v>
      </c>
      <c r="F13" s="462"/>
    </row>
    <row r="14" spans="1:18" ht="15.6">
      <c r="C14" s="454"/>
      <c r="D14" s="455"/>
      <c r="E14" s="455"/>
    </row>
    <row r="15" spans="1:18" ht="15.6">
      <c r="C15" s="454"/>
      <c r="D15" s="455"/>
      <c r="E15" s="455"/>
    </row>
    <row r="16" spans="1:18" ht="15.6">
      <c r="C16" s="454"/>
      <c r="D16" s="455"/>
      <c r="E16" s="455"/>
    </row>
    <row r="17" spans="3:5" ht="15.6">
      <c r="C17" s="454"/>
      <c r="D17" s="455"/>
      <c r="E17" s="455"/>
    </row>
    <row r="18" spans="3:5" ht="15.6">
      <c r="C18" s="454"/>
      <c r="D18" s="455"/>
      <c r="E18" s="455"/>
    </row>
    <row r="19" spans="3:5" ht="15.6">
      <c r="C19" s="454"/>
      <c r="D19" s="455"/>
      <c r="E19" s="455"/>
    </row>
    <row r="20" spans="3:5" ht="15.6">
      <c r="C20" s="454"/>
      <c r="D20" s="455"/>
      <c r="E20" s="455"/>
    </row>
    <row r="21" spans="3:5" ht="15.6">
      <c r="C21" s="454"/>
      <c r="D21" s="455"/>
      <c r="E21" s="455"/>
    </row>
    <row r="22" spans="3:5" ht="15.6">
      <c r="C22" s="454"/>
      <c r="D22" s="455"/>
      <c r="E22" s="455"/>
    </row>
    <row r="23" spans="3:5" ht="15.6">
      <c r="C23" s="454"/>
      <c r="D23" s="455"/>
      <c r="E23" s="455"/>
    </row>
    <row r="24" spans="3:5" ht="15.6">
      <c r="C24" s="454"/>
      <c r="D24" s="455"/>
      <c r="E24" s="455"/>
    </row>
    <row r="25" spans="3:5" ht="15.6">
      <c r="C25" s="454"/>
      <c r="D25" s="455"/>
      <c r="E25" s="455"/>
    </row>
    <row r="26" spans="3:5" ht="15.6">
      <c r="C26" s="454"/>
      <c r="D26" s="455"/>
      <c r="E26" s="455"/>
    </row>
    <row r="27" spans="3:5" ht="15.6">
      <c r="C27" s="454"/>
      <c r="D27" s="455"/>
      <c r="E27" s="455"/>
    </row>
    <row r="28" spans="3:5" ht="15.6">
      <c r="C28" s="454"/>
      <c r="D28" s="455"/>
      <c r="E28" s="455"/>
    </row>
    <row r="29" spans="3:5" ht="15.6">
      <c r="C29" s="454"/>
      <c r="D29" s="455"/>
      <c r="E29" s="455"/>
    </row>
    <row r="30" spans="3:5" ht="15.6">
      <c r="C30" s="454"/>
      <c r="D30" s="455"/>
      <c r="E30" s="455"/>
    </row>
    <row r="31" spans="3:5" ht="15.6">
      <c r="C31" s="454"/>
      <c r="D31" s="455"/>
      <c r="E31" s="455"/>
    </row>
    <row r="32" spans="3:5" ht="15.6">
      <c r="C32" s="454"/>
      <c r="D32" s="455"/>
      <c r="E32" s="455"/>
    </row>
    <row r="33" spans="3:5" ht="15.6">
      <c r="C33" s="454"/>
      <c r="D33" s="455"/>
      <c r="E33" s="455"/>
    </row>
    <row r="34" spans="3:5" ht="15.6">
      <c r="C34" s="454"/>
      <c r="D34" s="455"/>
      <c r="E34" s="455"/>
    </row>
    <row r="35" spans="3:5" ht="15.6">
      <c r="C35" s="454"/>
      <c r="D35" s="455"/>
      <c r="E35" s="455"/>
    </row>
    <row r="36" spans="3:5" ht="15.6">
      <c r="C36" s="454"/>
      <c r="D36" s="455"/>
      <c r="E36" s="455"/>
    </row>
    <row r="37" spans="3:5" ht="15.6">
      <c r="C37" s="454"/>
      <c r="D37" s="455"/>
      <c r="E37" s="455"/>
    </row>
    <row r="38" spans="3:5" ht="15.6">
      <c r="C38" s="454"/>
      <c r="D38" s="455"/>
      <c r="E38" s="455"/>
    </row>
    <row r="39" spans="3:5" ht="15.6">
      <c r="C39" s="454"/>
      <c r="D39" s="455"/>
      <c r="E39" s="455"/>
    </row>
    <row r="40" spans="3:5" ht="15.6">
      <c r="C40" s="454"/>
      <c r="D40" s="455"/>
      <c r="E40" s="455"/>
    </row>
    <row r="41" spans="3:5" ht="15.6">
      <c r="C41" s="454"/>
      <c r="D41" s="455"/>
      <c r="E41" s="455"/>
    </row>
    <row r="42" spans="3:5" ht="15.6">
      <c r="C42" s="454"/>
      <c r="D42" s="455"/>
      <c r="E42" s="455"/>
    </row>
    <row r="43" spans="3:5" ht="15.6">
      <c r="C43" s="454"/>
      <c r="D43" s="455"/>
      <c r="E43" s="455"/>
    </row>
    <row r="44" spans="3:5" ht="15.6">
      <c r="C44" s="454"/>
      <c r="D44" s="455"/>
      <c r="E44" s="455"/>
    </row>
    <row r="45" spans="3:5" ht="15.6">
      <c r="C45" s="454"/>
      <c r="D45" s="455"/>
      <c r="E45" s="455"/>
    </row>
    <row r="46" spans="3:5" ht="15.6">
      <c r="C46" s="454"/>
      <c r="D46" s="455"/>
      <c r="E46" s="455"/>
    </row>
    <row r="47" spans="3:5" ht="15.6">
      <c r="C47" s="454"/>
      <c r="D47" s="455"/>
      <c r="E47" s="455"/>
    </row>
    <row r="48" spans="3:5" ht="15.6">
      <c r="C48" s="454"/>
      <c r="D48" s="455"/>
      <c r="E48" s="455"/>
    </row>
    <row r="49" spans="3:5" ht="15.6">
      <c r="C49" s="454"/>
      <c r="D49" s="455"/>
      <c r="E49" s="455"/>
    </row>
    <row r="50" spans="3:5" ht="15.6">
      <c r="C50" s="454"/>
      <c r="D50" s="455"/>
      <c r="E50" s="455"/>
    </row>
    <row r="51" spans="3:5" ht="15.6">
      <c r="C51" s="454"/>
      <c r="D51" s="455"/>
      <c r="E51" s="455"/>
    </row>
    <row r="52" spans="3:5" ht="15.6">
      <c r="C52" s="454"/>
      <c r="D52" s="455"/>
      <c r="E52" s="455"/>
    </row>
    <row r="53" spans="3:5" ht="15.6">
      <c r="C53" s="454"/>
      <c r="D53" s="455"/>
      <c r="E53" s="455"/>
    </row>
    <row r="54" spans="3:5" ht="15.6">
      <c r="C54" s="454"/>
      <c r="D54" s="455"/>
      <c r="E54" s="455"/>
    </row>
    <row r="55" spans="3:5" ht="15.6">
      <c r="C55" s="454"/>
      <c r="D55" s="455"/>
      <c r="E55" s="455"/>
    </row>
    <row r="56" spans="3:5" ht="15.6">
      <c r="C56" s="454"/>
      <c r="D56" s="455"/>
      <c r="E56" s="455"/>
    </row>
    <row r="57" spans="3:5" ht="15.6">
      <c r="C57" s="454"/>
      <c r="D57" s="455"/>
      <c r="E57" s="455"/>
    </row>
    <row r="58" spans="3:5" ht="15.6">
      <c r="C58" s="454"/>
      <c r="D58" s="455"/>
      <c r="E58" s="455"/>
    </row>
    <row r="59" spans="3:5" ht="15.6">
      <c r="C59" s="454"/>
      <c r="D59" s="455"/>
      <c r="E59" s="455"/>
    </row>
    <row r="60" spans="3:5" ht="15.6">
      <c r="C60" s="454"/>
      <c r="D60" s="455"/>
      <c r="E60" s="455"/>
    </row>
    <row r="61" spans="3:5" ht="15.6">
      <c r="C61" s="454"/>
      <c r="D61" s="455"/>
      <c r="E61" s="455"/>
    </row>
    <row r="62" spans="3:5" ht="15.6">
      <c r="C62" s="454"/>
      <c r="D62" s="455"/>
      <c r="E62" s="455"/>
    </row>
    <row r="63" spans="3:5" ht="15.6">
      <c r="C63" s="454"/>
      <c r="D63" s="455"/>
      <c r="E63" s="455"/>
    </row>
    <row r="64" spans="3:5" ht="15.6">
      <c r="C64" s="454"/>
      <c r="D64" s="455"/>
      <c r="E64" s="455"/>
    </row>
    <row r="65" spans="3:5" ht="15.6">
      <c r="C65" s="454"/>
      <c r="D65" s="455"/>
      <c r="E65" s="455"/>
    </row>
    <row r="66" spans="3:5" ht="15.6">
      <c r="C66" s="454"/>
      <c r="D66" s="455"/>
      <c r="E66" s="455"/>
    </row>
    <row r="67" spans="3:5" ht="15.6">
      <c r="C67" s="454"/>
      <c r="D67" s="455"/>
      <c r="E67" s="455"/>
    </row>
    <row r="68" spans="3:5" ht="15.6">
      <c r="C68" s="454"/>
      <c r="D68" s="455"/>
      <c r="E68" s="455"/>
    </row>
    <row r="69" spans="3:5" ht="15.6">
      <c r="C69" s="454"/>
      <c r="D69" s="455"/>
      <c r="E69" s="455"/>
    </row>
    <row r="70" spans="3:5" ht="15.6">
      <c r="C70" s="454"/>
      <c r="D70" s="455"/>
      <c r="E70" s="455"/>
    </row>
    <row r="71" spans="3:5" ht="15.6">
      <c r="C71" s="454"/>
      <c r="D71" s="455"/>
      <c r="E71" s="455"/>
    </row>
    <row r="72" spans="3:5" ht="15.6">
      <c r="C72" s="454"/>
      <c r="D72" s="455"/>
      <c r="E72" s="455"/>
    </row>
    <row r="73" spans="3:5" ht="15.6">
      <c r="C73" s="454"/>
      <c r="D73" s="455"/>
      <c r="E73" s="455"/>
    </row>
    <row r="74" spans="3:5" ht="15.6">
      <c r="C74" s="454"/>
      <c r="D74" s="455"/>
      <c r="E74" s="455"/>
    </row>
    <row r="75" spans="3:5" ht="15.6">
      <c r="C75" s="454"/>
      <c r="D75" s="455"/>
      <c r="E75" s="455"/>
    </row>
    <row r="76" spans="3:5" ht="15.6">
      <c r="C76" s="454"/>
      <c r="D76" s="455"/>
      <c r="E76" s="455"/>
    </row>
    <row r="77" spans="3:5" ht="15.6">
      <c r="C77" s="454"/>
      <c r="D77" s="455"/>
      <c r="E77" s="455"/>
    </row>
    <row r="78" spans="3:5" ht="15.6">
      <c r="C78" s="454"/>
      <c r="D78" s="455"/>
      <c r="E78" s="455"/>
    </row>
    <row r="79" spans="3:5" ht="15.6">
      <c r="C79" s="454"/>
      <c r="D79" s="455"/>
      <c r="E79" s="455"/>
    </row>
    <row r="80" spans="3:5" ht="15.6">
      <c r="C80" s="454"/>
      <c r="D80" s="455"/>
      <c r="E80" s="455"/>
    </row>
    <row r="81" spans="3:5" ht="15.6">
      <c r="C81" s="454"/>
      <c r="D81" s="455"/>
      <c r="E81" s="455"/>
    </row>
    <row r="82" spans="3:5" ht="15.6">
      <c r="C82" s="454"/>
      <c r="D82" s="455"/>
      <c r="E82" s="455"/>
    </row>
    <row r="83" spans="3:5" ht="15.6">
      <c r="C83" s="454"/>
      <c r="D83" s="455"/>
      <c r="E83" s="455"/>
    </row>
    <row r="84" spans="3:5" ht="15.6">
      <c r="C84" s="454"/>
      <c r="D84" s="455"/>
      <c r="E84" s="455"/>
    </row>
    <row r="85" spans="3:5" ht="15.6">
      <c r="C85" s="454"/>
      <c r="D85" s="455"/>
      <c r="E85" s="455"/>
    </row>
    <row r="86" spans="3:5" ht="15.6">
      <c r="C86" s="454"/>
      <c r="D86" s="455"/>
      <c r="E86" s="455"/>
    </row>
    <row r="87" spans="3:5" ht="15.6">
      <c r="C87" s="454"/>
      <c r="D87" s="455"/>
      <c r="E87" s="455"/>
    </row>
    <row r="88" spans="3:5" ht="15.6">
      <c r="C88" s="454"/>
      <c r="D88" s="455"/>
      <c r="E88" s="455"/>
    </row>
    <row r="89" spans="3:5" ht="15.6">
      <c r="C89" s="454"/>
      <c r="D89" s="455"/>
      <c r="E89" s="455"/>
    </row>
    <row r="90" spans="3:5" ht="15.6">
      <c r="C90" s="454"/>
      <c r="D90" s="455"/>
      <c r="E90" s="455"/>
    </row>
    <row r="91" spans="3:5" ht="15.6">
      <c r="C91" s="454"/>
      <c r="D91" s="455"/>
      <c r="E91" s="455"/>
    </row>
    <row r="92" spans="3:5" ht="15.6">
      <c r="C92" s="454"/>
      <c r="D92" s="455"/>
      <c r="E92" s="455"/>
    </row>
    <row r="93" spans="3:5" ht="15.6">
      <c r="C93" s="454"/>
      <c r="D93" s="455"/>
      <c r="E93" s="455"/>
    </row>
    <row r="94" spans="3:5" ht="15.6">
      <c r="C94" s="454"/>
      <c r="D94" s="455"/>
      <c r="E94" s="455"/>
    </row>
    <row r="95" spans="3:5" ht="15.6">
      <c r="C95" s="454"/>
      <c r="D95" s="455"/>
      <c r="E95" s="455"/>
    </row>
    <row r="96" spans="3:5" ht="15.6">
      <c r="C96" s="454"/>
      <c r="D96" s="455"/>
      <c r="E96" s="455"/>
    </row>
    <row r="97" spans="3:5" ht="15.6">
      <c r="C97" s="454"/>
      <c r="D97" s="455"/>
      <c r="E97" s="455"/>
    </row>
    <row r="98" spans="3:5" ht="15.6">
      <c r="C98" s="454"/>
      <c r="D98" s="455"/>
      <c r="E98" s="455"/>
    </row>
    <row r="99" spans="3:5" ht="15.6">
      <c r="C99" s="454"/>
      <c r="D99" s="455"/>
      <c r="E99" s="455"/>
    </row>
    <row r="100" spans="3:5" ht="15.6">
      <c r="C100" s="454"/>
      <c r="D100" s="455"/>
      <c r="E100" s="455"/>
    </row>
    <row r="101" spans="3:5" ht="15.6">
      <c r="C101" s="454"/>
      <c r="D101" s="455"/>
      <c r="E101" s="455"/>
    </row>
    <row r="102" spans="3:5" ht="15.6">
      <c r="C102" s="454"/>
      <c r="D102" s="455"/>
      <c r="E102" s="455"/>
    </row>
    <row r="103" spans="3:5" ht="12.75"/>
  </sheetData>
  <mergeCells count="4">
    <mergeCell ref="D7:E7"/>
    <mergeCell ref="F6:F7"/>
    <mergeCell ref="A4:F4"/>
    <mergeCell ref="A2:F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pageSetUpPr fitToPage="1"/>
  </sheetPr>
  <dimension ref="A1:BJ132"/>
  <sheetViews>
    <sheetView showGridLines="0" zoomScale="78" zoomScaleNormal="70" workbookViewId="0">
      <pane ySplit="3" topLeftCell="G41" activePane="bottomLeft" state="frozen"/>
      <selection pane="bottomLeft" activeCell="AE53" sqref="AE53:AE62"/>
    </sheetView>
  </sheetViews>
  <sheetFormatPr defaultRowHeight="15" customHeight="1"/>
  <cols>
    <col min="1" max="1" width="23.5703125" bestFit="1" customWidth="1"/>
    <col min="2" max="3" width="8.140625" style="130" customWidth="1"/>
    <col min="4" max="4" width="8.85546875" style="130" customWidth="1"/>
    <col min="5" max="28" width="8.140625" style="130" customWidth="1"/>
    <col min="29" max="29" width="10.5703125" bestFit="1" customWidth="1"/>
    <col min="31" max="31" width="15.42578125" customWidth="1"/>
    <col min="37" max="42" width="9.140625" style="127"/>
    <col min="43" max="43" width="16" style="127" bestFit="1" customWidth="1"/>
    <col min="44" max="62" width="9.140625" style="127"/>
  </cols>
  <sheetData>
    <row r="1" spans="1:43" ht="41.25" customHeight="1">
      <c r="A1" s="609" t="s">
        <v>99</v>
      </c>
      <c r="B1" s="610"/>
      <c r="C1" s="610"/>
      <c r="D1" s="610"/>
      <c r="E1" s="610"/>
      <c r="F1" s="610"/>
      <c r="G1" s="610"/>
      <c r="H1" s="610"/>
      <c r="I1" s="610"/>
      <c r="J1" s="610"/>
      <c r="K1" s="610"/>
      <c r="L1" s="610"/>
      <c r="M1" s="610"/>
      <c r="N1" s="610"/>
      <c r="O1" s="610"/>
      <c r="P1" s="610"/>
      <c r="Q1" s="610"/>
      <c r="R1" s="610"/>
      <c r="S1" s="610"/>
      <c r="T1" s="610"/>
      <c r="U1" s="610"/>
      <c r="V1" s="610"/>
      <c r="W1" s="610"/>
      <c r="X1" s="610"/>
      <c r="Y1" s="610"/>
      <c r="Z1" s="610"/>
      <c r="AA1" s="611"/>
      <c r="AB1" s="611"/>
      <c r="AC1" s="611"/>
      <c r="AD1" s="611"/>
      <c r="AE1" s="612"/>
    </row>
    <row r="2" spans="1:43" ht="18.75">
      <c r="A2" s="101"/>
      <c r="B2" s="613" t="s">
        <v>100</v>
      </c>
      <c r="C2" s="614"/>
      <c r="D2" s="614"/>
      <c r="E2" s="614"/>
      <c r="F2" s="614"/>
      <c r="G2" s="614"/>
      <c r="H2" s="614"/>
      <c r="I2" s="614"/>
      <c r="J2" s="614"/>
      <c r="K2" s="614"/>
      <c r="L2" s="615"/>
      <c r="M2" s="621" t="s">
        <v>101</v>
      </c>
      <c r="N2" s="622"/>
      <c r="O2" s="622"/>
      <c r="P2" s="622"/>
      <c r="Q2" s="622"/>
      <c r="R2" s="622"/>
      <c r="S2" s="623"/>
      <c r="T2" s="621" t="s">
        <v>102</v>
      </c>
      <c r="U2" s="622"/>
      <c r="V2" s="622"/>
      <c r="W2" s="622"/>
      <c r="X2" s="622"/>
      <c r="Y2" s="622"/>
      <c r="Z2" s="623"/>
      <c r="AA2" s="619" t="s">
        <v>103</v>
      </c>
      <c r="AB2" s="620"/>
      <c r="AC2" s="189" t="s">
        <v>5</v>
      </c>
      <c r="AD2" s="190" t="s">
        <v>104</v>
      </c>
      <c r="AE2" s="96" t="s">
        <v>13</v>
      </c>
    </row>
    <row r="3" spans="1:43" ht="18.95" customHeight="1">
      <c r="A3" s="67" t="s">
        <v>105</v>
      </c>
      <c r="B3" s="365">
        <v>19</v>
      </c>
      <c r="C3" s="366">
        <v>16</v>
      </c>
      <c r="D3" s="504">
        <v>12.5</v>
      </c>
      <c r="E3" s="505">
        <v>10</v>
      </c>
      <c r="F3" s="482">
        <v>9</v>
      </c>
      <c r="G3" s="370">
        <v>8</v>
      </c>
      <c r="H3" s="365">
        <v>6.3</v>
      </c>
      <c r="I3" s="367">
        <v>5</v>
      </c>
      <c r="J3" s="370">
        <v>3.15</v>
      </c>
      <c r="K3" s="506">
        <v>0.5</v>
      </c>
      <c r="L3" s="507">
        <v>1</v>
      </c>
      <c r="M3" s="191">
        <v>19</v>
      </c>
      <c r="N3" s="192">
        <v>16</v>
      </c>
      <c r="O3" s="128">
        <v>14</v>
      </c>
      <c r="P3" s="191">
        <v>12.5</v>
      </c>
      <c r="Q3" s="128">
        <v>9</v>
      </c>
      <c r="R3" s="191">
        <v>8</v>
      </c>
      <c r="S3" s="129">
        <v>6.3</v>
      </c>
      <c r="T3" s="368">
        <v>19</v>
      </c>
      <c r="U3" s="369">
        <v>16</v>
      </c>
      <c r="V3" s="370">
        <v>14</v>
      </c>
      <c r="W3" s="368">
        <v>12.5</v>
      </c>
      <c r="X3" s="370">
        <v>9</v>
      </c>
      <c r="Y3" s="368">
        <v>8</v>
      </c>
      <c r="Z3" s="371">
        <v>6.3</v>
      </c>
      <c r="AA3" s="372">
        <v>6.3</v>
      </c>
      <c r="AB3" s="373">
        <v>10</v>
      </c>
      <c r="AC3" s="624">
        <v>46271</v>
      </c>
      <c r="AD3" s="626" t="s">
        <v>81</v>
      </c>
      <c r="AE3" s="617" t="s">
        <v>25</v>
      </c>
      <c r="AF3" s="2"/>
      <c r="AG3" s="2"/>
      <c r="AH3" s="2"/>
    </row>
    <row r="4" spans="1:43" ht="18.95" customHeight="1">
      <c r="A4" s="67" t="s">
        <v>106</v>
      </c>
      <c r="B4" s="344" t="s">
        <v>107</v>
      </c>
      <c r="C4" s="345" t="s">
        <v>108</v>
      </c>
      <c r="D4" s="480" t="s">
        <v>109</v>
      </c>
      <c r="E4" s="347" t="s">
        <v>110</v>
      </c>
      <c r="F4" s="508" t="s">
        <v>111</v>
      </c>
      <c r="G4" s="347" t="s">
        <v>112</v>
      </c>
      <c r="H4" s="481" t="s">
        <v>113</v>
      </c>
      <c r="I4" s="344" t="s">
        <v>114</v>
      </c>
      <c r="J4" s="349" t="s">
        <v>115</v>
      </c>
      <c r="K4" s="347" t="s">
        <v>116</v>
      </c>
      <c r="L4" s="346" t="s">
        <v>117</v>
      </c>
      <c r="M4" s="478" t="s">
        <v>118</v>
      </c>
      <c r="N4" s="348" t="s">
        <v>119</v>
      </c>
      <c r="O4" s="349" t="s">
        <v>120</v>
      </c>
      <c r="P4" s="347" t="s">
        <v>121</v>
      </c>
      <c r="Q4" s="348" t="s">
        <v>122</v>
      </c>
      <c r="R4" s="349" t="s">
        <v>123</v>
      </c>
      <c r="S4" s="347" t="s">
        <v>124</v>
      </c>
      <c r="T4" s="539" t="s">
        <v>125</v>
      </c>
      <c r="U4" s="348" t="s">
        <v>126</v>
      </c>
      <c r="V4" s="349" t="s">
        <v>127</v>
      </c>
      <c r="W4" s="347" t="s">
        <v>127</v>
      </c>
      <c r="X4" s="348" t="s">
        <v>128</v>
      </c>
      <c r="Y4" s="349" t="s">
        <v>129</v>
      </c>
      <c r="Z4" s="347" t="s">
        <v>130</v>
      </c>
      <c r="AA4" s="351" t="s">
        <v>131</v>
      </c>
      <c r="AB4" s="350" t="s">
        <v>132</v>
      </c>
      <c r="AC4" s="625"/>
      <c r="AD4" s="627"/>
      <c r="AE4" s="618"/>
      <c r="AF4" s="2"/>
      <c r="AG4" s="2"/>
      <c r="AH4" s="2"/>
    </row>
    <row r="5" spans="1:43">
      <c r="A5" s="193" t="s">
        <v>133</v>
      </c>
      <c r="B5" s="338"/>
      <c r="C5" s="339"/>
      <c r="D5" s="339"/>
      <c r="E5" s="340"/>
      <c r="F5" s="339"/>
      <c r="G5" s="339"/>
      <c r="H5" s="339"/>
      <c r="I5" s="339"/>
      <c r="J5" s="339"/>
      <c r="K5" s="339"/>
      <c r="L5" s="340"/>
      <c r="M5" s="341"/>
      <c r="N5" s="341"/>
      <c r="O5" s="341"/>
      <c r="P5" s="341"/>
      <c r="Q5" s="341"/>
      <c r="R5" s="341"/>
      <c r="S5" s="341"/>
      <c r="T5" s="341"/>
      <c r="U5" s="341"/>
      <c r="V5" s="341"/>
      <c r="W5" s="341"/>
      <c r="X5" s="341"/>
      <c r="Y5" s="341"/>
      <c r="Z5" s="341"/>
      <c r="AA5" s="342"/>
      <c r="AB5" s="343"/>
      <c r="AC5" s="625"/>
      <c r="AD5" s="627"/>
      <c r="AE5" s="618"/>
      <c r="AO5" s="127" t="s">
        <v>134</v>
      </c>
      <c r="AQ5" s="127" t="s">
        <v>13</v>
      </c>
    </row>
    <row r="6" spans="1:43" ht="15.75" customHeight="1">
      <c r="A6" s="194" t="s">
        <v>135</v>
      </c>
      <c r="B6" s="352" t="s">
        <v>136</v>
      </c>
      <c r="C6" s="352" t="s">
        <v>136</v>
      </c>
      <c r="D6" s="352" t="s">
        <v>136</v>
      </c>
      <c r="E6" s="352" t="s">
        <v>136</v>
      </c>
      <c r="F6" s="352" t="s">
        <v>136</v>
      </c>
      <c r="G6" s="352" t="s">
        <v>136</v>
      </c>
      <c r="H6" s="352" t="s">
        <v>136</v>
      </c>
      <c r="I6" s="352" t="s">
        <v>136</v>
      </c>
      <c r="J6" s="352" t="s">
        <v>136</v>
      </c>
      <c r="K6" s="352" t="s">
        <v>136</v>
      </c>
      <c r="L6" s="352" t="s">
        <v>136</v>
      </c>
      <c r="M6" s="352" t="s">
        <v>136</v>
      </c>
      <c r="N6" s="352" t="s">
        <v>136</v>
      </c>
      <c r="O6" s="352" t="s">
        <v>136</v>
      </c>
      <c r="P6" s="352" t="s">
        <v>136</v>
      </c>
      <c r="Q6" s="352" t="s">
        <v>136</v>
      </c>
      <c r="R6" s="352" t="s">
        <v>136</v>
      </c>
      <c r="S6" s="352" t="s">
        <v>136</v>
      </c>
      <c r="T6" s="352" t="s">
        <v>136</v>
      </c>
      <c r="U6" s="352" t="s">
        <v>136</v>
      </c>
      <c r="V6" s="352"/>
      <c r="W6" s="352"/>
      <c r="X6" s="352" t="s">
        <v>136</v>
      </c>
      <c r="Y6" s="352"/>
      <c r="Z6" s="540"/>
      <c r="AA6" s="352" t="s">
        <v>136</v>
      </c>
      <c r="AB6" s="352" t="s">
        <v>136</v>
      </c>
      <c r="AC6" s="625"/>
      <c r="AD6" s="627"/>
      <c r="AE6" s="618"/>
      <c r="AO6" s="127" t="s">
        <v>137</v>
      </c>
      <c r="AQ6" s="127" t="s">
        <v>138</v>
      </c>
    </row>
    <row r="7" spans="1:43">
      <c r="A7" s="195" t="s">
        <v>139</v>
      </c>
      <c r="B7" s="352" t="s">
        <v>136</v>
      </c>
      <c r="C7" s="352" t="s">
        <v>136</v>
      </c>
      <c r="D7" s="352" t="s">
        <v>136</v>
      </c>
      <c r="E7" s="352" t="s">
        <v>136</v>
      </c>
      <c r="F7" s="352" t="s">
        <v>136</v>
      </c>
      <c r="G7" s="352" t="s">
        <v>136</v>
      </c>
      <c r="H7" s="352" t="s">
        <v>136</v>
      </c>
      <c r="I7" s="352" t="s">
        <v>136</v>
      </c>
      <c r="J7" s="352" t="s">
        <v>136</v>
      </c>
      <c r="K7" s="352" t="s">
        <v>136</v>
      </c>
      <c r="L7" s="352" t="s">
        <v>136</v>
      </c>
      <c r="M7" s="352" t="s">
        <v>136</v>
      </c>
      <c r="N7" s="352" t="s">
        <v>136</v>
      </c>
      <c r="O7" s="352" t="s">
        <v>136</v>
      </c>
      <c r="P7" s="352" t="s">
        <v>136</v>
      </c>
      <c r="Q7" s="352" t="s">
        <v>136</v>
      </c>
      <c r="R7" s="352" t="s">
        <v>136</v>
      </c>
      <c r="S7" s="352" t="s">
        <v>136</v>
      </c>
      <c r="T7" s="352" t="s">
        <v>136</v>
      </c>
      <c r="U7" s="352" t="s">
        <v>136</v>
      </c>
      <c r="V7" s="352"/>
      <c r="W7" s="352"/>
      <c r="X7" s="352" t="s">
        <v>136</v>
      </c>
      <c r="Y7" s="352"/>
      <c r="Z7" s="540"/>
      <c r="AA7" s="352" t="s">
        <v>136</v>
      </c>
      <c r="AB7" s="352" t="s">
        <v>136</v>
      </c>
      <c r="AC7" s="625"/>
      <c r="AD7" s="627"/>
      <c r="AE7" s="618"/>
      <c r="AO7" s="127" t="s">
        <v>140</v>
      </c>
      <c r="AQ7" s="127" t="s">
        <v>141</v>
      </c>
    </row>
    <row r="8" spans="1:43" ht="15.75" customHeight="1">
      <c r="A8" s="195" t="s">
        <v>142</v>
      </c>
      <c r="B8" s="352" t="s">
        <v>136</v>
      </c>
      <c r="C8" s="352" t="s">
        <v>136</v>
      </c>
      <c r="D8" s="352" t="s">
        <v>136</v>
      </c>
      <c r="E8" s="352" t="s">
        <v>136</v>
      </c>
      <c r="F8" s="352" t="s">
        <v>136</v>
      </c>
      <c r="G8" s="352" t="s">
        <v>136</v>
      </c>
      <c r="H8" s="352" t="s">
        <v>136</v>
      </c>
      <c r="I8" s="352" t="s">
        <v>136</v>
      </c>
      <c r="J8" s="352" t="s">
        <v>136</v>
      </c>
      <c r="K8" s="352" t="s">
        <v>136</v>
      </c>
      <c r="L8" s="352" t="s">
        <v>136</v>
      </c>
      <c r="M8" s="352" t="s">
        <v>136</v>
      </c>
      <c r="N8" s="352" t="s">
        <v>136</v>
      </c>
      <c r="O8" s="352" t="s">
        <v>136</v>
      </c>
      <c r="P8" s="352" t="s">
        <v>136</v>
      </c>
      <c r="Q8" s="352" t="s">
        <v>136</v>
      </c>
      <c r="R8" s="352" t="s">
        <v>136</v>
      </c>
      <c r="S8" s="352" t="s">
        <v>136</v>
      </c>
      <c r="T8" s="352" t="s">
        <v>136</v>
      </c>
      <c r="U8" s="352" t="s">
        <v>136</v>
      </c>
      <c r="V8" s="352"/>
      <c r="W8" s="352"/>
      <c r="X8" s="352" t="s">
        <v>136</v>
      </c>
      <c r="Y8" s="352"/>
      <c r="Z8" s="540"/>
      <c r="AA8" s="352" t="s">
        <v>136</v>
      </c>
      <c r="AB8" s="352" t="s">
        <v>136</v>
      </c>
      <c r="AC8" s="625"/>
      <c r="AD8" s="627"/>
      <c r="AE8" s="618"/>
      <c r="AO8" s="127" t="s">
        <v>143</v>
      </c>
      <c r="AQ8" s="127" t="s">
        <v>144</v>
      </c>
    </row>
    <row r="9" spans="1:43" ht="15.75" customHeight="1">
      <c r="A9" s="195" t="s">
        <v>145</v>
      </c>
      <c r="B9" s="352" t="s">
        <v>136</v>
      </c>
      <c r="C9" s="352" t="s">
        <v>136</v>
      </c>
      <c r="D9" s="352" t="s">
        <v>136</v>
      </c>
      <c r="E9" s="352" t="s">
        <v>136</v>
      </c>
      <c r="F9" s="352" t="s">
        <v>136</v>
      </c>
      <c r="G9" s="352" t="s">
        <v>136</v>
      </c>
      <c r="H9" s="352" t="s">
        <v>136</v>
      </c>
      <c r="I9" s="352" t="s">
        <v>136</v>
      </c>
      <c r="J9" s="352" t="s">
        <v>136</v>
      </c>
      <c r="K9" s="352" t="s">
        <v>136</v>
      </c>
      <c r="L9" s="352" t="s">
        <v>136</v>
      </c>
      <c r="M9" s="352" t="s">
        <v>136</v>
      </c>
      <c r="N9" s="352" t="s">
        <v>136</v>
      </c>
      <c r="O9" s="352" t="s">
        <v>136</v>
      </c>
      <c r="P9" s="352" t="s">
        <v>136</v>
      </c>
      <c r="Q9" s="352" t="s">
        <v>136</v>
      </c>
      <c r="R9" s="352" t="s">
        <v>136</v>
      </c>
      <c r="S9" s="352" t="s">
        <v>136</v>
      </c>
      <c r="T9" s="352" t="s">
        <v>136</v>
      </c>
      <c r="U9" s="352" t="s">
        <v>136</v>
      </c>
      <c r="V9" s="352"/>
      <c r="W9" s="352"/>
      <c r="X9" s="352" t="s">
        <v>136</v>
      </c>
      <c r="Y9" s="352"/>
      <c r="Z9" s="540"/>
      <c r="AA9" s="352" t="s">
        <v>136</v>
      </c>
      <c r="AB9" s="352" t="s">
        <v>136</v>
      </c>
      <c r="AC9" s="625"/>
      <c r="AD9" s="627"/>
      <c r="AE9" s="618"/>
    </row>
    <row r="10" spans="1:43">
      <c r="A10" s="195" t="s">
        <v>146</v>
      </c>
      <c r="B10" s="352" t="s">
        <v>136</v>
      </c>
      <c r="C10" s="540" t="s">
        <v>147</v>
      </c>
      <c r="D10" s="540" t="s">
        <v>147</v>
      </c>
      <c r="E10" s="352" t="s">
        <v>147</v>
      </c>
      <c r="F10" s="352" t="s">
        <v>136</v>
      </c>
      <c r="G10" s="352" t="s">
        <v>136</v>
      </c>
      <c r="H10" s="352" t="s">
        <v>136</v>
      </c>
      <c r="I10" s="352" t="s">
        <v>136</v>
      </c>
      <c r="J10" s="352" t="s">
        <v>136</v>
      </c>
      <c r="K10" s="352" t="s">
        <v>136</v>
      </c>
      <c r="L10" s="352" t="s">
        <v>136</v>
      </c>
      <c r="M10" s="353" t="s">
        <v>136</v>
      </c>
      <c r="N10" s="353" t="s">
        <v>136</v>
      </c>
      <c r="O10" s="541" t="s">
        <v>147</v>
      </c>
      <c r="P10" s="353" t="s">
        <v>136</v>
      </c>
      <c r="Q10" s="353" t="s">
        <v>136</v>
      </c>
      <c r="R10" s="353" t="s">
        <v>136</v>
      </c>
      <c r="S10" s="541" t="s">
        <v>147</v>
      </c>
      <c r="T10" s="541" t="s">
        <v>147</v>
      </c>
      <c r="U10" s="353" t="s">
        <v>136</v>
      </c>
      <c r="V10" s="353"/>
      <c r="W10" s="353"/>
      <c r="X10" s="541" t="s">
        <v>148</v>
      </c>
      <c r="Y10" s="353"/>
      <c r="Z10" s="541" t="s">
        <v>147</v>
      </c>
      <c r="AA10" s="541" t="s">
        <v>148</v>
      </c>
      <c r="AB10" s="353" t="s">
        <v>136</v>
      </c>
      <c r="AC10" s="625"/>
      <c r="AD10" s="627"/>
      <c r="AE10" s="618"/>
      <c r="AO10" s="127" t="s">
        <v>149</v>
      </c>
      <c r="AQ10" s="127" t="s">
        <v>150</v>
      </c>
    </row>
    <row r="11" spans="1:43">
      <c r="A11" s="598" t="s">
        <v>151</v>
      </c>
      <c r="B11" s="600"/>
      <c r="C11" s="601"/>
      <c r="D11" s="601"/>
      <c r="E11" s="601"/>
      <c r="F11" s="601"/>
      <c r="G11" s="601"/>
      <c r="H11" s="601"/>
      <c r="I11" s="601"/>
      <c r="J11" s="601"/>
      <c r="K11" s="601"/>
      <c r="L11" s="602"/>
      <c r="M11" s="364"/>
      <c r="N11" s="364"/>
      <c r="O11" s="364"/>
      <c r="P11" s="364"/>
      <c r="Q11" s="364"/>
      <c r="R11" s="364"/>
      <c r="S11" s="364"/>
      <c r="T11" s="592"/>
      <c r="U11" s="593"/>
      <c r="V11" s="593"/>
      <c r="W11" s="593"/>
      <c r="X11" s="593"/>
      <c r="Y11" s="593"/>
      <c r="Z11" s="594"/>
      <c r="AA11" s="593"/>
      <c r="AB11" s="594"/>
      <c r="AC11" s="625"/>
      <c r="AD11" s="627"/>
      <c r="AE11" s="618"/>
      <c r="AO11" s="127" t="s">
        <v>152</v>
      </c>
      <c r="AQ11" s="127" t="s">
        <v>153</v>
      </c>
    </row>
    <row r="12" spans="1:43">
      <c r="A12" s="616"/>
      <c r="B12" s="603"/>
      <c r="C12" s="604"/>
      <c r="D12" s="604"/>
      <c r="E12" s="604"/>
      <c r="F12" s="604"/>
      <c r="G12" s="604"/>
      <c r="H12" s="604"/>
      <c r="I12" s="604"/>
      <c r="J12" s="604"/>
      <c r="K12" s="604"/>
      <c r="L12" s="605"/>
      <c r="M12" s="364"/>
      <c r="N12" s="364"/>
      <c r="O12" s="364"/>
      <c r="P12" s="364"/>
      <c r="Q12" s="364"/>
      <c r="R12" s="364"/>
      <c r="S12" s="364"/>
      <c r="T12" s="595"/>
      <c r="U12" s="596"/>
      <c r="V12" s="596"/>
      <c r="W12" s="596"/>
      <c r="X12" s="596"/>
      <c r="Y12" s="596"/>
      <c r="Z12" s="597"/>
      <c r="AA12" s="596"/>
      <c r="AB12" s="597"/>
      <c r="AC12" s="625"/>
      <c r="AD12" s="627"/>
      <c r="AE12" s="618"/>
      <c r="AO12" s="127" t="s">
        <v>154</v>
      </c>
      <c r="AQ12" s="127" t="s">
        <v>155</v>
      </c>
    </row>
    <row r="13" spans="1:43" ht="18.75">
      <c r="A13" s="67" t="s">
        <v>105</v>
      </c>
      <c r="B13" s="365">
        <v>19</v>
      </c>
      <c r="C13" s="366">
        <v>16</v>
      </c>
      <c r="D13" s="504">
        <v>12.5</v>
      </c>
      <c r="E13" s="505">
        <v>10</v>
      </c>
      <c r="F13" s="482">
        <v>9</v>
      </c>
      <c r="G13" s="370">
        <v>8</v>
      </c>
      <c r="H13" s="365">
        <v>6.3</v>
      </c>
      <c r="I13" s="367">
        <v>5</v>
      </c>
      <c r="J13" s="370">
        <v>3.15</v>
      </c>
      <c r="K13" s="506">
        <v>0.5</v>
      </c>
      <c r="L13" s="507">
        <v>1</v>
      </c>
      <c r="M13" s="191">
        <v>19</v>
      </c>
      <c r="N13" s="192">
        <v>16</v>
      </c>
      <c r="O13" s="128">
        <v>14</v>
      </c>
      <c r="P13" s="191">
        <v>12.5</v>
      </c>
      <c r="Q13" s="128">
        <v>9</v>
      </c>
      <c r="R13" s="191">
        <v>8</v>
      </c>
      <c r="S13" s="129">
        <v>6.3</v>
      </c>
      <c r="T13" s="368">
        <v>19</v>
      </c>
      <c r="U13" s="369">
        <v>16</v>
      </c>
      <c r="V13" s="370">
        <v>14</v>
      </c>
      <c r="W13" s="368">
        <v>12.5</v>
      </c>
      <c r="X13" s="370">
        <v>9</v>
      </c>
      <c r="Y13" s="368">
        <v>8</v>
      </c>
      <c r="Z13" s="371">
        <v>6.3</v>
      </c>
      <c r="AA13" s="372">
        <v>6.3</v>
      </c>
      <c r="AB13" s="373">
        <v>10</v>
      </c>
      <c r="AC13" s="557"/>
      <c r="AD13" s="560"/>
      <c r="AE13" s="555"/>
      <c r="AF13" s="2"/>
      <c r="AG13" s="2"/>
      <c r="AH13" s="2"/>
    </row>
    <row r="14" spans="1:43" ht="18.95" customHeight="1">
      <c r="A14" s="67" t="s">
        <v>106</v>
      </c>
      <c r="B14" s="344" t="s">
        <v>107</v>
      </c>
      <c r="C14" s="345" t="s">
        <v>108</v>
      </c>
      <c r="D14" s="480" t="s">
        <v>109</v>
      </c>
      <c r="E14" s="347" t="s">
        <v>110</v>
      </c>
      <c r="F14" s="508" t="s">
        <v>111</v>
      </c>
      <c r="G14" s="347" t="s">
        <v>112</v>
      </c>
      <c r="H14" s="481" t="s">
        <v>113</v>
      </c>
      <c r="I14" s="344" t="s">
        <v>114</v>
      </c>
      <c r="J14" s="349" t="s">
        <v>115</v>
      </c>
      <c r="K14" s="347" t="s">
        <v>116</v>
      </c>
      <c r="L14" s="346" t="s">
        <v>117</v>
      </c>
      <c r="M14" s="478" t="s">
        <v>118</v>
      </c>
      <c r="N14" s="348" t="s">
        <v>119</v>
      </c>
      <c r="O14" s="349" t="s">
        <v>120</v>
      </c>
      <c r="P14" s="347" t="s">
        <v>121</v>
      </c>
      <c r="Q14" s="348" t="s">
        <v>122</v>
      </c>
      <c r="R14" s="349" t="s">
        <v>123</v>
      </c>
      <c r="S14" s="347" t="s">
        <v>124</v>
      </c>
      <c r="T14" s="539" t="s">
        <v>125</v>
      </c>
      <c r="U14" s="348" t="s">
        <v>126</v>
      </c>
      <c r="V14" s="349" t="s">
        <v>127</v>
      </c>
      <c r="W14" s="347" t="s">
        <v>127</v>
      </c>
      <c r="X14" s="348" t="s">
        <v>128</v>
      </c>
      <c r="Y14" s="349" t="s">
        <v>129</v>
      </c>
      <c r="Z14" s="347" t="s">
        <v>130</v>
      </c>
      <c r="AA14" s="351" t="s">
        <v>131</v>
      </c>
      <c r="AB14" s="350" t="s">
        <v>132</v>
      </c>
      <c r="AC14" s="347"/>
      <c r="AD14" s="351"/>
      <c r="AE14" s="350"/>
      <c r="AF14" s="2"/>
      <c r="AG14" s="2"/>
      <c r="AH14" s="2"/>
    </row>
    <row r="15" spans="1:43">
      <c r="A15" s="193" t="s">
        <v>133</v>
      </c>
      <c r="B15" s="338"/>
      <c r="C15" s="339"/>
      <c r="D15" s="339"/>
      <c r="E15" s="340"/>
      <c r="F15" s="339"/>
      <c r="G15" s="339"/>
      <c r="H15" s="339"/>
      <c r="I15" s="339"/>
      <c r="J15" s="339"/>
      <c r="K15" s="339"/>
      <c r="L15" s="340"/>
      <c r="M15" s="341"/>
      <c r="N15" s="341"/>
      <c r="O15" s="341"/>
      <c r="P15" s="341"/>
      <c r="Q15" s="341"/>
      <c r="R15" s="341"/>
      <c r="S15" s="341"/>
      <c r="T15" s="341"/>
      <c r="U15" s="341"/>
      <c r="V15" s="341"/>
      <c r="W15" s="341"/>
      <c r="X15" s="341"/>
      <c r="Y15" s="341"/>
      <c r="Z15" s="341"/>
      <c r="AA15" s="342"/>
      <c r="AB15" s="343"/>
      <c r="AC15" s="558"/>
      <c r="AD15" s="561"/>
      <c r="AE15" s="556"/>
      <c r="AO15" s="127" t="s">
        <v>134</v>
      </c>
      <c r="AQ15" s="127" t="s">
        <v>13</v>
      </c>
    </row>
    <row r="16" spans="1:43" ht="15.75" customHeight="1">
      <c r="A16" s="194" t="s">
        <v>135</v>
      </c>
      <c r="B16" s="352" t="s">
        <v>136</v>
      </c>
      <c r="C16" s="352" t="s">
        <v>136</v>
      </c>
      <c r="D16" s="352" t="s">
        <v>136</v>
      </c>
      <c r="E16" s="352" t="s">
        <v>136</v>
      </c>
      <c r="F16" s="352" t="s">
        <v>136</v>
      </c>
      <c r="G16" s="352" t="s">
        <v>136</v>
      </c>
      <c r="H16" s="352" t="s">
        <v>136</v>
      </c>
      <c r="I16" s="352" t="s">
        <v>136</v>
      </c>
      <c r="J16" s="352" t="s">
        <v>136</v>
      </c>
      <c r="K16" s="352" t="s">
        <v>136</v>
      </c>
      <c r="L16" s="352" t="s">
        <v>136</v>
      </c>
      <c r="M16" s="352" t="s">
        <v>136</v>
      </c>
      <c r="N16" s="352" t="s">
        <v>136</v>
      </c>
      <c r="O16" s="352" t="s">
        <v>136</v>
      </c>
      <c r="P16" s="352" t="s">
        <v>136</v>
      </c>
      <c r="Q16" s="352" t="s">
        <v>136</v>
      </c>
      <c r="R16" s="352" t="s">
        <v>136</v>
      </c>
      <c r="S16" s="352" t="s">
        <v>136</v>
      </c>
      <c r="T16" s="352" t="s">
        <v>136</v>
      </c>
      <c r="U16" s="352" t="s">
        <v>136</v>
      </c>
      <c r="V16" s="352"/>
      <c r="W16" s="352"/>
      <c r="X16" s="352" t="s">
        <v>136</v>
      </c>
      <c r="Y16" s="352"/>
      <c r="Z16" s="540"/>
      <c r="AA16" s="352" t="s">
        <v>136</v>
      </c>
      <c r="AB16" s="352" t="s">
        <v>136</v>
      </c>
      <c r="AC16" s="558"/>
      <c r="AD16" s="561"/>
      <c r="AE16" s="556"/>
      <c r="AO16" s="127" t="s">
        <v>137</v>
      </c>
      <c r="AQ16" s="127" t="s">
        <v>138</v>
      </c>
    </row>
    <row r="17" spans="1:43" ht="15" customHeight="1">
      <c r="A17" s="195" t="s">
        <v>139</v>
      </c>
      <c r="B17" s="352" t="s">
        <v>136</v>
      </c>
      <c r="C17" s="352" t="s">
        <v>136</v>
      </c>
      <c r="D17" s="352" t="s">
        <v>136</v>
      </c>
      <c r="E17" s="352" t="s">
        <v>136</v>
      </c>
      <c r="F17" s="352" t="s">
        <v>136</v>
      </c>
      <c r="G17" s="352" t="s">
        <v>136</v>
      </c>
      <c r="H17" s="352" t="s">
        <v>136</v>
      </c>
      <c r="I17" s="352" t="s">
        <v>136</v>
      </c>
      <c r="J17" s="352" t="s">
        <v>136</v>
      </c>
      <c r="K17" s="352" t="s">
        <v>136</v>
      </c>
      <c r="L17" s="352" t="s">
        <v>136</v>
      </c>
      <c r="M17" s="352" t="s">
        <v>136</v>
      </c>
      <c r="N17" s="352" t="s">
        <v>136</v>
      </c>
      <c r="O17" s="352" t="s">
        <v>136</v>
      </c>
      <c r="P17" s="352" t="s">
        <v>136</v>
      </c>
      <c r="Q17" s="352" t="s">
        <v>136</v>
      </c>
      <c r="R17" s="352" t="s">
        <v>136</v>
      </c>
      <c r="S17" s="352" t="s">
        <v>136</v>
      </c>
      <c r="T17" s="352" t="s">
        <v>136</v>
      </c>
      <c r="U17" s="352" t="s">
        <v>136</v>
      </c>
      <c r="V17" s="352"/>
      <c r="W17" s="352"/>
      <c r="X17" s="352" t="s">
        <v>136</v>
      </c>
      <c r="Y17" s="352"/>
      <c r="Z17" s="540"/>
      <c r="AA17" s="352" t="s">
        <v>136</v>
      </c>
      <c r="AB17" s="352" t="s">
        <v>136</v>
      </c>
      <c r="AC17" s="558"/>
      <c r="AD17" s="561"/>
      <c r="AE17" s="556"/>
      <c r="AO17" s="127" t="s">
        <v>140</v>
      </c>
      <c r="AQ17" s="127" t="s">
        <v>141</v>
      </c>
    </row>
    <row r="18" spans="1:43" ht="15.75" customHeight="1">
      <c r="A18" s="195" t="s">
        <v>142</v>
      </c>
      <c r="B18" s="352" t="s">
        <v>136</v>
      </c>
      <c r="C18" s="352" t="s">
        <v>136</v>
      </c>
      <c r="D18" s="352" t="s">
        <v>136</v>
      </c>
      <c r="E18" s="352" t="s">
        <v>136</v>
      </c>
      <c r="F18" s="352" t="s">
        <v>136</v>
      </c>
      <c r="G18" s="352" t="s">
        <v>136</v>
      </c>
      <c r="H18" s="352" t="s">
        <v>136</v>
      </c>
      <c r="I18" s="352" t="s">
        <v>136</v>
      </c>
      <c r="J18" s="352" t="s">
        <v>136</v>
      </c>
      <c r="K18" s="352" t="s">
        <v>136</v>
      </c>
      <c r="L18" s="352" t="s">
        <v>136</v>
      </c>
      <c r="M18" s="352" t="s">
        <v>136</v>
      </c>
      <c r="N18" s="352" t="s">
        <v>136</v>
      </c>
      <c r="O18" s="352" t="s">
        <v>136</v>
      </c>
      <c r="P18" s="352" t="s">
        <v>136</v>
      </c>
      <c r="Q18" s="352" t="s">
        <v>136</v>
      </c>
      <c r="R18" s="352" t="s">
        <v>136</v>
      </c>
      <c r="S18" s="352" t="s">
        <v>136</v>
      </c>
      <c r="T18" s="352" t="s">
        <v>136</v>
      </c>
      <c r="U18" s="352" t="s">
        <v>136</v>
      </c>
      <c r="V18" s="352"/>
      <c r="W18" s="352"/>
      <c r="X18" s="352" t="s">
        <v>136</v>
      </c>
      <c r="Y18" s="352"/>
      <c r="Z18" s="540"/>
      <c r="AA18" s="352" t="s">
        <v>136</v>
      </c>
      <c r="AB18" s="352" t="s">
        <v>136</v>
      </c>
      <c r="AC18" s="558">
        <v>46273</v>
      </c>
      <c r="AD18" s="561" t="s">
        <v>75</v>
      </c>
      <c r="AE18" s="556"/>
      <c r="AO18" s="127" t="s">
        <v>143</v>
      </c>
      <c r="AQ18" s="127" t="s">
        <v>144</v>
      </c>
    </row>
    <row r="19" spans="1:43" ht="15.75" customHeight="1">
      <c r="A19" s="195" t="s">
        <v>145</v>
      </c>
      <c r="B19" s="352" t="s">
        <v>136</v>
      </c>
      <c r="C19" s="352" t="s">
        <v>136</v>
      </c>
      <c r="D19" s="352" t="s">
        <v>136</v>
      </c>
      <c r="E19" s="352" t="s">
        <v>136</v>
      </c>
      <c r="F19" s="352" t="s">
        <v>136</v>
      </c>
      <c r="G19" s="352" t="s">
        <v>136</v>
      </c>
      <c r="H19" s="352" t="s">
        <v>136</v>
      </c>
      <c r="I19" s="352" t="s">
        <v>136</v>
      </c>
      <c r="J19" s="352" t="s">
        <v>136</v>
      </c>
      <c r="K19" s="352" t="s">
        <v>136</v>
      </c>
      <c r="L19" s="352" t="s">
        <v>136</v>
      </c>
      <c r="M19" s="352" t="s">
        <v>136</v>
      </c>
      <c r="N19" s="352" t="s">
        <v>136</v>
      </c>
      <c r="O19" s="352" t="s">
        <v>136</v>
      </c>
      <c r="P19" s="352" t="s">
        <v>136</v>
      </c>
      <c r="Q19" s="352" t="s">
        <v>136</v>
      </c>
      <c r="R19" s="352" t="s">
        <v>136</v>
      </c>
      <c r="S19" s="352" t="s">
        <v>136</v>
      </c>
      <c r="T19" s="352" t="s">
        <v>136</v>
      </c>
      <c r="U19" s="352" t="s">
        <v>136</v>
      </c>
      <c r="V19" s="352"/>
      <c r="W19" s="352"/>
      <c r="X19" s="352" t="s">
        <v>136</v>
      </c>
      <c r="Y19" s="352"/>
      <c r="Z19" s="540"/>
      <c r="AA19" s="352" t="s">
        <v>136</v>
      </c>
      <c r="AB19" s="352" t="s">
        <v>136</v>
      </c>
      <c r="AC19" s="558"/>
      <c r="AD19" s="561"/>
      <c r="AE19" s="556" t="s">
        <v>22</v>
      </c>
    </row>
    <row r="20" spans="1:43">
      <c r="A20" s="195" t="s">
        <v>146</v>
      </c>
      <c r="B20" s="352" t="s">
        <v>136</v>
      </c>
      <c r="C20" s="540" t="s">
        <v>147</v>
      </c>
      <c r="D20" s="540" t="s">
        <v>147</v>
      </c>
      <c r="E20" s="352" t="s">
        <v>147</v>
      </c>
      <c r="F20" s="352" t="s">
        <v>136</v>
      </c>
      <c r="G20" s="352" t="s">
        <v>136</v>
      </c>
      <c r="H20" s="352" t="s">
        <v>136</v>
      </c>
      <c r="I20" s="352" t="s">
        <v>136</v>
      </c>
      <c r="J20" s="352" t="s">
        <v>136</v>
      </c>
      <c r="K20" s="352" t="s">
        <v>136</v>
      </c>
      <c r="L20" s="352" t="s">
        <v>136</v>
      </c>
      <c r="M20" s="353" t="s">
        <v>136</v>
      </c>
      <c r="N20" s="353" t="s">
        <v>136</v>
      </c>
      <c r="O20" s="541" t="s">
        <v>147</v>
      </c>
      <c r="P20" s="353" t="s">
        <v>136</v>
      </c>
      <c r="Q20" s="353" t="s">
        <v>136</v>
      </c>
      <c r="R20" s="353" t="s">
        <v>136</v>
      </c>
      <c r="S20" s="541" t="s">
        <v>147</v>
      </c>
      <c r="T20" s="541" t="s">
        <v>147</v>
      </c>
      <c r="U20" s="353" t="s">
        <v>136</v>
      </c>
      <c r="V20" s="353"/>
      <c r="W20" s="353"/>
      <c r="X20" s="541" t="s">
        <v>148</v>
      </c>
      <c r="Y20" s="353"/>
      <c r="Z20" s="541" t="s">
        <v>147</v>
      </c>
      <c r="AA20" s="541" t="s">
        <v>148</v>
      </c>
      <c r="AB20" s="353" t="s">
        <v>136</v>
      </c>
      <c r="AC20" s="558"/>
      <c r="AD20" s="561"/>
      <c r="AE20" s="556"/>
      <c r="AO20" s="127" t="s">
        <v>149</v>
      </c>
      <c r="AQ20" s="127" t="s">
        <v>150</v>
      </c>
    </row>
    <row r="21" spans="1:43" ht="15" customHeight="1">
      <c r="A21" s="598" t="s">
        <v>151</v>
      </c>
      <c r="B21" s="544"/>
      <c r="C21" s="545"/>
      <c r="D21" s="545"/>
      <c r="E21" s="545"/>
      <c r="F21" s="545"/>
      <c r="G21" s="545"/>
      <c r="H21" s="545"/>
      <c r="I21" s="545"/>
      <c r="J21" s="545"/>
      <c r="K21" s="545"/>
      <c r="L21" s="546"/>
      <c r="M21" s="364"/>
      <c r="N21" s="364"/>
      <c r="O21" s="364"/>
      <c r="P21" s="364"/>
      <c r="Q21" s="364"/>
      <c r="R21" s="364"/>
      <c r="S21" s="364"/>
      <c r="T21" s="549"/>
      <c r="U21" s="550"/>
      <c r="V21" s="550"/>
      <c r="W21" s="550"/>
      <c r="X21" s="550"/>
      <c r="Y21" s="550"/>
      <c r="Z21" s="551"/>
      <c r="AA21" s="550"/>
      <c r="AB21" s="551"/>
      <c r="AC21" s="558"/>
      <c r="AD21" s="561"/>
      <c r="AE21" s="556"/>
      <c r="AO21" s="127" t="s">
        <v>152</v>
      </c>
      <c r="AQ21" s="127" t="s">
        <v>153</v>
      </c>
    </row>
    <row r="22" spans="1:43">
      <c r="A22" s="599"/>
      <c r="B22" s="547"/>
      <c r="C22" s="364"/>
      <c r="D22" s="364"/>
      <c r="E22" s="364"/>
      <c r="F22" s="364"/>
      <c r="G22" s="364"/>
      <c r="H22" s="364"/>
      <c r="I22" s="364"/>
      <c r="J22" s="364"/>
      <c r="K22" s="364"/>
      <c r="L22" s="548"/>
      <c r="M22" s="364"/>
      <c r="N22" s="364"/>
      <c r="O22" s="364"/>
      <c r="P22" s="364"/>
      <c r="Q22" s="364"/>
      <c r="R22" s="364"/>
      <c r="S22" s="364"/>
      <c r="T22" s="552"/>
      <c r="U22" s="553"/>
      <c r="V22" s="553"/>
      <c r="W22" s="553"/>
      <c r="X22" s="553"/>
      <c r="Y22" s="553"/>
      <c r="Z22" s="554"/>
      <c r="AA22" s="553"/>
      <c r="AB22" s="554"/>
      <c r="AC22" s="559"/>
      <c r="AD22" s="562"/>
      <c r="AE22" s="563"/>
      <c r="AO22" s="127" t="s">
        <v>154</v>
      </c>
      <c r="AQ22" s="127" t="s">
        <v>155</v>
      </c>
    </row>
    <row r="23" spans="1:43" ht="18.75">
      <c r="A23" s="67" t="s">
        <v>105</v>
      </c>
      <c r="B23" s="365">
        <v>19</v>
      </c>
      <c r="C23" s="366">
        <v>16</v>
      </c>
      <c r="D23" s="504">
        <v>12.5</v>
      </c>
      <c r="E23" s="505">
        <v>10</v>
      </c>
      <c r="F23" s="482">
        <v>9</v>
      </c>
      <c r="G23" s="370">
        <v>8</v>
      </c>
      <c r="H23" s="365">
        <v>6.3</v>
      </c>
      <c r="I23" s="367">
        <v>5</v>
      </c>
      <c r="J23" s="370">
        <v>3.15</v>
      </c>
      <c r="K23" s="506">
        <v>0.5</v>
      </c>
      <c r="L23" s="507">
        <v>0.5</v>
      </c>
      <c r="M23" s="191">
        <v>19</v>
      </c>
      <c r="N23" s="192">
        <v>16</v>
      </c>
      <c r="O23" s="128">
        <v>14</v>
      </c>
      <c r="P23" s="191">
        <v>12.5</v>
      </c>
      <c r="Q23" s="128">
        <v>9</v>
      </c>
      <c r="R23" s="191">
        <v>8</v>
      </c>
      <c r="S23" s="129">
        <v>6.3</v>
      </c>
      <c r="T23" s="368">
        <v>19</v>
      </c>
      <c r="U23" s="369">
        <v>16</v>
      </c>
      <c r="V23" s="370">
        <v>14</v>
      </c>
      <c r="W23" s="368">
        <v>12.5</v>
      </c>
      <c r="X23" s="370">
        <v>9</v>
      </c>
      <c r="Y23" s="368">
        <v>8</v>
      </c>
      <c r="Z23" s="371">
        <v>6.3</v>
      </c>
      <c r="AA23" s="372">
        <v>6.3</v>
      </c>
      <c r="AB23" s="373">
        <v>10</v>
      </c>
      <c r="AC23" s="624">
        <v>46278</v>
      </c>
      <c r="AD23" s="626" t="s">
        <v>77</v>
      </c>
      <c r="AE23" s="617" t="s">
        <v>24</v>
      </c>
      <c r="AF23" s="2"/>
      <c r="AG23" s="2"/>
      <c r="AH23" s="2"/>
    </row>
    <row r="24" spans="1:43" ht="18.95" customHeight="1">
      <c r="A24" s="67" t="s">
        <v>106</v>
      </c>
      <c r="B24" s="344" t="s">
        <v>107</v>
      </c>
      <c r="C24" s="345" t="s">
        <v>108</v>
      </c>
      <c r="D24" s="480" t="s">
        <v>156</v>
      </c>
      <c r="E24" s="347" t="s">
        <v>110</v>
      </c>
      <c r="F24" s="508" t="s">
        <v>111</v>
      </c>
      <c r="G24" s="347" t="s">
        <v>112</v>
      </c>
      <c r="H24" s="481" t="s">
        <v>157</v>
      </c>
      <c r="I24" s="344" t="s">
        <v>158</v>
      </c>
      <c r="J24" s="349" t="s">
        <v>159</v>
      </c>
      <c r="K24" s="347" t="s">
        <v>160</v>
      </c>
      <c r="L24" s="346" t="s">
        <v>161</v>
      </c>
      <c r="M24" s="347" t="s">
        <v>118</v>
      </c>
      <c r="N24" s="348" t="s">
        <v>119</v>
      </c>
      <c r="O24" s="349" t="s">
        <v>162</v>
      </c>
      <c r="P24" s="347" t="s">
        <v>163</v>
      </c>
      <c r="Q24" s="348" t="s">
        <v>164</v>
      </c>
      <c r="R24" s="349" t="s">
        <v>165</v>
      </c>
      <c r="S24" s="347" t="s">
        <v>166</v>
      </c>
      <c r="T24" s="347" t="s">
        <v>167</v>
      </c>
      <c r="U24" s="348" t="s">
        <v>168</v>
      </c>
      <c r="V24" s="349" t="s">
        <v>120</v>
      </c>
      <c r="W24" s="347" t="s">
        <v>121</v>
      </c>
      <c r="X24" s="348" t="s">
        <v>128</v>
      </c>
      <c r="Y24" s="349" t="s">
        <v>123</v>
      </c>
      <c r="Z24" s="347" t="s">
        <v>131</v>
      </c>
      <c r="AA24" s="351" t="s">
        <v>169</v>
      </c>
      <c r="AB24" s="350" t="s">
        <v>132</v>
      </c>
      <c r="AC24" s="625"/>
      <c r="AD24" s="627"/>
      <c r="AE24" s="618"/>
      <c r="AF24" s="2"/>
      <c r="AG24" s="2"/>
      <c r="AH24" s="2"/>
    </row>
    <row r="25" spans="1:43">
      <c r="A25" s="193" t="s">
        <v>133</v>
      </c>
      <c r="B25" s="338"/>
      <c r="C25" s="339"/>
      <c r="D25" s="339"/>
      <c r="E25" s="340"/>
      <c r="F25" s="339"/>
      <c r="G25" s="339"/>
      <c r="H25" s="339"/>
      <c r="I25" s="339"/>
      <c r="J25" s="339"/>
      <c r="K25" s="339"/>
      <c r="L25" s="340"/>
      <c r="M25" s="341"/>
      <c r="N25" s="341"/>
      <c r="O25" s="341"/>
      <c r="P25" s="341"/>
      <c r="Q25" s="341"/>
      <c r="R25" s="341"/>
      <c r="S25" s="341"/>
      <c r="T25" s="341"/>
      <c r="U25" s="341"/>
      <c r="V25" s="341"/>
      <c r="W25" s="341"/>
      <c r="X25" s="341"/>
      <c r="Y25" s="341"/>
      <c r="Z25" s="341"/>
      <c r="AA25" s="342"/>
      <c r="AB25" s="343"/>
      <c r="AC25" s="625"/>
      <c r="AD25" s="627"/>
      <c r="AE25" s="618"/>
      <c r="AO25" s="127" t="s">
        <v>134</v>
      </c>
      <c r="AQ25" s="127" t="s">
        <v>13</v>
      </c>
    </row>
    <row r="26" spans="1:43" ht="15.75" customHeight="1">
      <c r="A26" s="194" t="s">
        <v>135</v>
      </c>
      <c r="B26" s="352" t="s">
        <v>136</v>
      </c>
      <c r="C26" s="352" t="s">
        <v>136</v>
      </c>
      <c r="D26" s="352" t="s">
        <v>136</v>
      </c>
      <c r="E26" s="352" t="s">
        <v>136</v>
      </c>
      <c r="F26" s="352" t="s">
        <v>136</v>
      </c>
      <c r="G26" s="352" t="s">
        <v>136</v>
      </c>
      <c r="H26" s="352" t="s">
        <v>136</v>
      </c>
      <c r="I26" s="352" t="s">
        <v>136</v>
      </c>
      <c r="J26" s="352" t="s">
        <v>136</v>
      </c>
      <c r="K26" s="352" t="s">
        <v>136</v>
      </c>
      <c r="L26" s="352" t="s">
        <v>136</v>
      </c>
      <c r="M26" s="352" t="s">
        <v>136</v>
      </c>
      <c r="N26" s="352" t="s">
        <v>136</v>
      </c>
      <c r="O26" s="352" t="s">
        <v>136</v>
      </c>
      <c r="P26" s="352" t="s">
        <v>136</v>
      </c>
      <c r="Q26" s="352" t="s">
        <v>136</v>
      </c>
      <c r="R26" s="352" t="s">
        <v>136</v>
      </c>
      <c r="S26" s="352" t="s">
        <v>136</v>
      </c>
      <c r="T26" s="352" t="s">
        <v>136</v>
      </c>
      <c r="U26" s="352" t="s">
        <v>136</v>
      </c>
      <c r="V26" s="352"/>
      <c r="W26" s="352"/>
      <c r="X26" s="352" t="s">
        <v>136</v>
      </c>
      <c r="Y26" s="352"/>
      <c r="Z26" s="540"/>
      <c r="AA26" s="352" t="s">
        <v>136</v>
      </c>
      <c r="AB26" s="352" t="s">
        <v>136</v>
      </c>
      <c r="AC26" s="625"/>
      <c r="AD26" s="627"/>
      <c r="AE26" s="618"/>
      <c r="AO26" s="127" t="s">
        <v>137</v>
      </c>
      <c r="AQ26" s="127" t="s">
        <v>138</v>
      </c>
    </row>
    <row r="27" spans="1:43">
      <c r="A27" s="195" t="s">
        <v>139</v>
      </c>
      <c r="B27" s="352" t="s">
        <v>136</v>
      </c>
      <c r="C27" s="352" t="s">
        <v>136</v>
      </c>
      <c r="D27" s="352" t="s">
        <v>136</v>
      </c>
      <c r="E27" s="352" t="s">
        <v>136</v>
      </c>
      <c r="F27" s="352" t="s">
        <v>136</v>
      </c>
      <c r="G27" s="352" t="s">
        <v>136</v>
      </c>
      <c r="H27" s="352" t="s">
        <v>136</v>
      </c>
      <c r="I27" s="352" t="s">
        <v>136</v>
      </c>
      <c r="J27" s="352" t="s">
        <v>136</v>
      </c>
      <c r="K27" s="352" t="s">
        <v>136</v>
      </c>
      <c r="L27" s="352" t="s">
        <v>136</v>
      </c>
      <c r="M27" s="352" t="s">
        <v>136</v>
      </c>
      <c r="N27" s="352" t="s">
        <v>136</v>
      </c>
      <c r="O27" s="352" t="s">
        <v>136</v>
      </c>
      <c r="P27" s="352" t="s">
        <v>136</v>
      </c>
      <c r="Q27" s="352" t="s">
        <v>136</v>
      </c>
      <c r="R27" s="352" t="s">
        <v>136</v>
      </c>
      <c r="S27" s="352" t="s">
        <v>136</v>
      </c>
      <c r="T27" s="352" t="s">
        <v>136</v>
      </c>
      <c r="U27" s="352" t="s">
        <v>136</v>
      </c>
      <c r="V27" s="352"/>
      <c r="W27" s="352"/>
      <c r="X27" s="352" t="s">
        <v>136</v>
      </c>
      <c r="Y27" s="352"/>
      <c r="Z27" s="540"/>
      <c r="AA27" s="352" t="s">
        <v>136</v>
      </c>
      <c r="AB27" s="352" t="s">
        <v>136</v>
      </c>
      <c r="AC27" s="625"/>
      <c r="AD27" s="627"/>
      <c r="AE27" s="618"/>
      <c r="AO27" s="127" t="s">
        <v>140</v>
      </c>
      <c r="AQ27" s="127" t="s">
        <v>141</v>
      </c>
    </row>
    <row r="28" spans="1:43" ht="15.75" customHeight="1">
      <c r="A28" s="195" t="s">
        <v>142</v>
      </c>
      <c r="B28" s="352" t="s">
        <v>136</v>
      </c>
      <c r="C28" s="352" t="s">
        <v>136</v>
      </c>
      <c r="D28" s="352" t="s">
        <v>136</v>
      </c>
      <c r="E28" s="352" t="s">
        <v>136</v>
      </c>
      <c r="F28" s="352" t="s">
        <v>136</v>
      </c>
      <c r="G28" s="352" t="s">
        <v>136</v>
      </c>
      <c r="H28" s="352" t="s">
        <v>136</v>
      </c>
      <c r="I28" s="352" t="s">
        <v>136</v>
      </c>
      <c r="J28" s="352" t="s">
        <v>136</v>
      </c>
      <c r="K28" s="352" t="s">
        <v>136</v>
      </c>
      <c r="L28" s="352" t="s">
        <v>136</v>
      </c>
      <c r="M28" s="352" t="s">
        <v>136</v>
      </c>
      <c r="N28" s="352" t="s">
        <v>136</v>
      </c>
      <c r="O28" s="352" t="s">
        <v>136</v>
      </c>
      <c r="P28" s="352" t="s">
        <v>136</v>
      </c>
      <c r="Q28" s="352" t="s">
        <v>136</v>
      </c>
      <c r="R28" s="352" t="s">
        <v>136</v>
      </c>
      <c r="S28" s="352" t="s">
        <v>136</v>
      </c>
      <c r="T28" s="352" t="s">
        <v>136</v>
      </c>
      <c r="U28" s="352" t="s">
        <v>136</v>
      </c>
      <c r="V28" s="352"/>
      <c r="W28" s="352"/>
      <c r="X28" s="352" t="s">
        <v>136</v>
      </c>
      <c r="Y28" s="352"/>
      <c r="Z28" s="540"/>
      <c r="AA28" s="352" t="s">
        <v>136</v>
      </c>
      <c r="AB28" s="352" t="s">
        <v>136</v>
      </c>
      <c r="AC28" s="625"/>
      <c r="AD28" s="627"/>
      <c r="AE28" s="618"/>
      <c r="AO28" s="127" t="s">
        <v>143</v>
      </c>
      <c r="AQ28" s="127" t="s">
        <v>144</v>
      </c>
    </row>
    <row r="29" spans="1:43" ht="15.75" customHeight="1">
      <c r="A29" s="195" t="s">
        <v>145</v>
      </c>
      <c r="B29" s="352" t="s">
        <v>136</v>
      </c>
      <c r="C29" s="352" t="s">
        <v>136</v>
      </c>
      <c r="D29" s="352" t="s">
        <v>136</v>
      </c>
      <c r="E29" s="352" t="s">
        <v>136</v>
      </c>
      <c r="F29" s="352" t="s">
        <v>136</v>
      </c>
      <c r="G29" s="352" t="s">
        <v>136</v>
      </c>
      <c r="H29" s="352" t="s">
        <v>136</v>
      </c>
      <c r="I29" s="352" t="s">
        <v>136</v>
      </c>
      <c r="J29" s="352" t="s">
        <v>136</v>
      </c>
      <c r="K29" s="352" t="s">
        <v>136</v>
      </c>
      <c r="L29" s="352" t="s">
        <v>136</v>
      </c>
      <c r="M29" s="352" t="s">
        <v>136</v>
      </c>
      <c r="N29" s="352" t="s">
        <v>136</v>
      </c>
      <c r="O29" s="352" t="s">
        <v>136</v>
      </c>
      <c r="P29" s="352" t="s">
        <v>136</v>
      </c>
      <c r="Q29" s="352" t="s">
        <v>136</v>
      </c>
      <c r="R29" s="352" t="s">
        <v>136</v>
      </c>
      <c r="S29" s="352" t="s">
        <v>136</v>
      </c>
      <c r="T29" s="352" t="s">
        <v>136</v>
      </c>
      <c r="U29" s="352" t="s">
        <v>136</v>
      </c>
      <c r="V29" s="352"/>
      <c r="W29" s="352"/>
      <c r="X29" s="352" t="s">
        <v>136</v>
      </c>
      <c r="Y29" s="352"/>
      <c r="Z29" s="540"/>
      <c r="AA29" s="352" t="s">
        <v>136</v>
      </c>
      <c r="AB29" s="352" t="s">
        <v>136</v>
      </c>
      <c r="AC29" s="625"/>
      <c r="AD29" s="627"/>
      <c r="AE29" s="618"/>
    </row>
    <row r="30" spans="1:43">
      <c r="A30" s="195" t="s">
        <v>146</v>
      </c>
      <c r="B30" s="352" t="s">
        <v>136</v>
      </c>
      <c r="C30" s="540" t="s">
        <v>147</v>
      </c>
      <c r="D30" s="540" t="s">
        <v>147</v>
      </c>
      <c r="E30" s="352" t="s">
        <v>147</v>
      </c>
      <c r="F30" s="352" t="s">
        <v>136</v>
      </c>
      <c r="G30" s="352" t="s">
        <v>136</v>
      </c>
      <c r="H30" s="352" t="s">
        <v>136</v>
      </c>
      <c r="I30" s="352" t="s">
        <v>136</v>
      </c>
      <c r="J30" s="352" t="s">
        <v>136</v>
      </c>
      <c r="K30" s="352" t="s">
        <v>136</v>
      </c>
      <c r="L30" s="352" t="s">
        <v>136</v>
      </c>
      <c r="M30" s="353" t="s">
        <v>136</v>
      </c>
      <c r="N30" s="353" t="s">
        <v>136</v>
      </c>
      <c r="O30" s="541" t="s">
        <v>147</v>
      </c>
      <c r="P30" s="353" t="s">
        <v>136</v>
      </c>
      <c r="Q30" s="353" t="s">
        <v>136</v>
      </c>
      <c r="R30" s="353" t="s">
        <v>136</v>
      </c>
      <c r="S30" s="541" t="s">
        <v>147</v>
      </c>
      <c r="T30" s="541" t="s">
        <v>147</v>
      </c>
      <c r="U30" s="353" t="s">
        <v>136</v>
      </c>
      <c r="V30" s="353"/>
      <c r="W30" s="353"/>
      <c r="X30" s="541" t="s">
        <v>148</v>
      </c>
      <c r="Y30" s="353"/>
      <c r="Z30" s="541" t="s">
        <v>147</v>
      </c>
      <c r="AA30" s="541" t="s">
        <v>148</v>
      </c>
      <c r="AB30" s="353" t="s">
        <v>136</v>
      </c>
      <c r="AC30" s="625"/>
      <c r="AD30" s="627"/>
      <c r="AE30" s="618"/>
      <c r="AO30" s="127" t="s">
        <v>149</v>
      </c>
      <c r="AQ30" s="127" t="s">
        <v>150</v>
      </c>
    </row>
    <row r="31" spans="1:43">
      <c r="A31" s="598" t="s">
        <v>151</v>
      </c>
      <c r="B31" s="600"/>
      <c r="C31" s="601"/>
      <c r="D31" s="601"/>
      <c r="E31" s="601"/>
      <c r="F31" s="601"/>
      <c r="G31" s="601"/>
      <c r="H31" s="601"/>
      <c r="I31" s="601"/>
      <c r="J31" s="601"/>
      <c r="K31" s="601"/>
      <c r="L31" s="602"/>
      <c r="M31" s="364"/>
      <c r="N31" s="364"/>
      <c r="O31" s="364"/>
      <c r="P31" s="364"/>
      <c r="Q31" s="364"/>
      <c r="R31" s="364"/>
      <c r="S31" s="364"/>
      <c r="T31" s="592"/>
      <c r="U31" s="593"/>
      <c r="V31" s="593"/>
      <c r="W31" s="593"/>
      <c r="X31" s="593"/>
      <c r="Y31" s="593"/>
      <c r="Z31" s="594"/>
      <c r="AA31" s="593"/>
      <c r="AB31" s="594"/>
      <c r="AC31" s="625"/>
      <c r="AD31" s="627"/>
      <c r="AE31" s="618"/>
      <c r="AO31" s="127" t="s">
        <v>152</v>
      </c>
      <c r="AQ31" s="127" t="s">
        <v>153</v>
      </c>
    </row>
    <row r="32" spans="1:43">
      <c r="A32" s="599"/>
      <c r="B32" s="603"/>
      <c r="C32" s="604"/>
      <c r="D32" s="604"/>
      <c r="E32" s="604"/>
      <c r="F32" s="604"/>
      <c r="G32" s="604"/>
      <c r="H32" s="604"/>
      <c r="I32" s="604"/>
      <c r="J32" s="604"/>
      <c r="K32" s="604"/>
      <c r="L32" s="605"/>
      <c r="M32" s="364"/>
      <c r="N32" s="364"/>
      <c r="O32" s="364"/>
      <c r="P32" s="364"/>
      <c r="Q32" s="364"/>
      <c r="R32" s="364"/>
      <c r="S32" s="364"/>
      <c r="T32" s="595"/>
      <c r="U32" s="596"/>
      <c r="V32" s="596"/>
      <c r="W32" s="596"/>
      <c r="X32" s="596"/>
      <c r="Y32" s="596"/>
      <c r="Z32" s="597"/>
      <c r="AA32" s="596"/>
      <c r="AB32" s="597"/>
      <c r="AC32" s="625"/>
      <c r="AD32" s="627"/>
      <c r="AE32" s="618"/>
      <c r="AO32" s="127" t="s">
        <v>154</v>
      </c>
      <c r="AQ32" s="127" t="s">
        <v>155</v>
      </c>
    </row>
    <row r="33" spans="1:43" ht="18.75">
      <c r="A33" s="67" t="s">
        <v>105</v>
      </c>
      <c r="B33" s="365">
        <v>19</v>
      </c>
      <c r="C33" s="366">
        <v>16</v>
      </c>
      <c r="D33" s="504">
        <v>12.5</v>
      </c>
      <c r="E33" s="505">
        <v>10</v>
      </c>
      <c r="F33" s="482">
        <v>9</v>
      </c>
      <c r="G33" s="370">
        <v>8</v>
      </c>
      <c r="H33" s="365">
        <v>6.3</v>
      </c>
      <c r="I33" s="367">
        <v>5</v>
      </c>
      <c r="J33" s="370">
        <v>3.15</v>
      </c>
      <c r="K33" s="506">
        <v>0.5</v>
      </c>
      <c r="L33" s="507">
        <v>0.5</v>
      </c>
      <c r="M33" s="191">
        <v>19</v>
      </c>
      <c r="N33" s="192">
        <v>16</v>
      </c>
      <c r="O33" s="128">
        <v>14</v>
      </c>
      <c r="P33" s="191">
        <v>12.5</v>
      </c>
      <c r="Q33" s="128">
        <v>9</v>
      </c>
      <c r="R33" s="191">
        <v>8</v>
      </c>
      <c r="S33" s="129">
        <v>6.3</v>
      </c>
      <c r="T33" s="368">
        <v>19</v>
      </c>
      <c r="U33" s="369">
        <v>16</v>
      </c>
      <c r="V33" s="370">
        <v>14</v>
      </c>
      <c r="W33" s="368">
        <v>12.5</v>
      </c>
      <c r="X33" s="370">
        <v>9</v>
      </c>
      <c r="Y33" s="368">
        <v>8</v>
      </c>
      <c r="Z33" s="371">
        <v>6.3</v>
      </c>
      <c r="AA33" s="372">
        <v>6.3</v>
      </c>
      <c r="AB33" s="373">
        <v>10</v>
      </c>
      <c r="AC33" s="624">
        <v>46280</v>
      </c>
      <c r="AD33" s="629" t="s">
        <v>81</v>
      </c>
      <c r="AE33" s="617" t="s">
        <v>82</v>
      </c>
      <c r="AF33" s="2"/>
      <c r="AG33" s="2"/>
      <c r="AH33" s="2"/>
    </row>
    <row r="34" spans="1:43" ht="18.75">
      <c r="A34" s="67" t="s">
        <v>106</v>
      </c>
      <c r="B34" s="344" t="s">
        <v>107</v>
      </c>
      <c r="C34" s="345" t="s">
        <v>108</v>
      </c>
      <c r="D34" s="480" t="s">
        <v>156</v>
      </c>
      <c r="E34" s="347" t="s">
        <v>110</v>
      </c>
      <c r="F34" s="508" t="s">
        <v>111</v>
      </c>
      <c r="G34" s="347" t="s">
        <v>112</v>
      </c>
      <c r="H34" s="481" t="s">
        <v>157</v>
      </c>
      <c r="I34" s="344" t="s">
        <v>158</v>
      </c>
      <c r="J34" s="349" t="s">
        <v>159</v>
      </c>
      <c r="K34" s="347" t="s">
        <v>160</v>
      </c>
      <c r="L34" s="346" t="s">
        <v>161</v>
      </c>
      <c r="M34" s="478" t="s">
        <v>118</v>
      </c>
      <c r="N34" s="348" t="s">
        <v>119</v>
      </c>
      <c r="O34" s="349" t="s">
        <v>162</v>
      </c>
      <c r="P34" s="347" t="s">
        <v>163</v>
      </c>
      <c r="Q34" s="348" t="s">
        <v>164</v>
      </c>
      <c r="R34" s="349" t="s">
        <v>165</v>
      </c>
      <c r="S34" s="347" t="s">
        <v>166</v>
      </c>
      <c r="T34" s="347" t="s">
        <v>167</v>
      </c>
      <c r="U34" s="348" t="s">
        <v>168</v>
      </c>
      <c r="V34" s="349" t="s">
        <v>120</v>
      </c>
      <c r="W34" s="347" t="s">
        <v>121</v>
      </c>
      <c r="X34" s="348" t="s">
        <v>128</v>
      </c>
      <c r="Y34" s="349" t="s">
        <v>123</v>
      </c>
      <c r="Z34" s="347" t="s">
        <v>131</v>
      </c>
      <c r="AA34" s="351" t="s">
        <v>169</v>
      </c>
      <c r="AB34" s="350" t="s">
        <v>132</v>
      </c>
      <c r="AC34" s="625"/>
      <c r="AD34" s="630"/>
      <c r="AE34" s="618"/>
      <c r="AF34" s="2"/>
      <c r="AG34" s="2"/>
      <c r="AH34" s="2"/>
    </row>
    <row r="35" spans="1:43">
      <c r="A35" s="193" t="s">
        <v>133</v>
      </c>
      <c r="B35" s="338"/>
      <c r="C35" s="339"/>
      <c r="D35" s="339"/>
      <c r="E35" s="339"/>
      <c r="F35" s="339"/>
      <c r="G35" s="339"/>
      <c r="H35" s="339"/>
      <c r="I35" s="339"/>
      <c r="J35" s="339"/>
      <c r="K35" s="339"/>
      <c r="L35" s="339"/>
      <c r="M35" s="341"/>
      <c r="N35" s="341"/>
      <c r="O35" s="341"/>
      <c r="P35" s="341"/>
      <c r="Q35" s="341"/>
      <c r="R35" s="341"/>
      <c r="S35" s="341"/>
      <c r="T35" s="341"/>
      <c r="U35" s="341"/>
      <c r="V35" s="341"/>
      <c r="W35" s="341"/>
      <c r="X35" s="341"/>
      <c r="Y35" s="341"/>
      <c r="Z35" s="341"/>
      <c r="AA35" s="342"/>
      <c r="AB35" s="343"/>
      <c r="AC35" s="625"/>
      <c r="AD35" s="630"/>
      <c r="AE35" s="618"/>
      <c r="AO35" s="127" t="s">
        <v>134</v>
      </c>
      <c r="AQ35" s="127" t="s">
        <v>13</v>
      </c>
    </row>
    <row r="36" spans="1:43" ht="15.75" customHeight="1">
      <c r="A36" s="194" t="s">
        <v>135</v>
      </c>
      <c r="B36" s="352" t="s">
        <v>136</v>
      </c>
      <c r="C36" s="352" t="s">
        <v>136</v>
      </c>
      <c r="D36" s="352" t="s">
        <v>136</v>
      </c>
      <c r="E36" s="352" t="s">
        <v>136</v>
      </c>
      <c r="F36" s="352" t="s">
        <v>136</v>
      </c>
      <c r="G36" s="352" t="s">
        <v>136</v>
      </c>
      <c r="H36" s="352" t="s">
        <v>136</v>
      </c>
      <c r="I36" s="352" t="s">
        <v>136</v>
      </c>
      <c r="J36" s="352" t="s">
        <v>136</v>
      </c>
      <c r="K36" s="352" t="s">
        <v>136</v>
      </c>
      <c r="L36" s="352" t="s">
        <v>136</v>
      </c>
      <c r="M36" s="352" t="s">
        <v>136</v>
      </c>
      <c r="N36" s="352" t="s">
        <v>136</v>
      </c>
      <c r="O36" s="352" t="s">
        <v>136</v>
      </c>
      <c r="P36" s="352" t="s">
        <v>136</v>
      </c>
      <c r="Q36" s="352" t="s">
        <v>136</v>
      </c>
      <c r="R36" s="352" t="s">
        <v>136</v>
      </c>
      <c r="S36" s="352" t="s">
        <v>136</v>
      </c>
      <c r="T36" s="352" t="s">
        <v>136</v>
      </c>
      <c r="U36" s="352" t="s">
        <v>136</v>
      </c>
      <c r="V36" s="352"/>
      <c r="W36" s="352"/>
      <c r="X36" s="352" t="s">
        <v>136</v>
      </c>
      <c r="Y36" s="352"/>
      <c r="Z36" s="540"/>
      <c r="AA36" s="352" t="s">
        <v>136</v>
      </c>
      <c r="AB36" s="352" t="s">
        <v>136</v>
      </c>
      <c r="AC36" s="625"/>
      <c r="AD36" s="630"/>
      <c r="AE36" s="618"/>
      <c r="AO36" s="127" t="s">
        <v>137</v>
      </c>
      <c r="AQ36" s="127" t="s">
        <v>138</v>
      </c>
    </row>
    <row r="37" spans="1:43" ht="15" customHeight="1">
      <c r="A37" s="195" t="s">
        <v>139</v>
      </c>
      <c r="B37" s="352" t="s">
        <v>136</v>
      </c>
      <c r="C37" s="352" t="s">
        <v>136</v>
      </c>
      <c r="D37" s="352" t="s">
        <v>136</v>
      </c>
      <c r="E37" s="352" t="s">
        <v>136</v>
      </c>
      <c r="F37" s="352" t="s">
        <v>136</v>
      </c>
      <c r="G37" s="352" t="s">
        <v>136</v>
      </c>
      <c r="H37" s="352" t="s">
        <v>136</v>
      </c>
      <c r="I37" s="352" t="s">
        <v>136</v>
      </c>
      <c r="J37" s="352" t="s">
        <v>136</v>
      </c>
      <c r="K37" s="352" t="s">
        <v>136</v>
      </c>
      <c r="L37" s="352" t="s">
        <v>136</v>
      </c>
      <c r="M37" s="352" t="s">
        <v>136</v>
      </c>
      <c r="N37" s="352" t="s">
        <v>136</v>
      </c>
      <c r="O37" s="352" t="s">
        <v>136</v>
      </c>
      <c r="P37" s="352" t="s">
        <v>136</v>
      </c>
      <c r="Q37" s="352" t="s">
        <v>136</v>
      </c>
      <c r="R37" s="352" t="s">
        <v>136</v>
      </c>
      <c r="S37" s="352" t="s">
        <v>136</v>
      </c>
      <c r="T37" s="352" t="s">
        <v>136</v>
      </c>
      <c r="U37" s="352" t="s">
        <v>136</v>
      </c>
      <c r="V37" s="352"/>
      <c r="W37" s="352"/>
      <c r="X37" s="352" t="s">
        <v>136</v>
      </c>
      <c r="Y37" s="352"/>
      <c r="Z37" s="540"/>
      <c r="AA37" s="352" t="s">
        <v>136</v>
      </c>
      <c r="AB37" s="352" t="s">
        <v>136</v>
      </c>
      <c r="AC37" s="625"/>
      <c r="AD37" s="630"/>
      <c r="AE37" s="618"/>
      <c r="AO37" s="127" t="s">
        <v>140</v>
      </c>
      <c r="AQ37" s="127" t="s">
        <v>141</v>
      </c>
    </row>
    <row r="38" spans="1:43" ht="15.75" customHeight="1">
      <c r="A38" s="195" t="s">
        <v>142</v>
      </c>
      <c r="B38" s="352" t="s">
        <v>136</v>
      </c>
      <c r="C38" s="352" t="s">
        <v>136</v>
      </c>
      <c r="D38" s="352" t="s">
        <v>136</v>
      </c>
      <c r="E38" s="352" t="s">
        <v>136</v>
      </c>
      <c r="F38" s="352" t="s">
        <v>136</v>
      </c>
      <c r="G38" s="352" t="s">
        <v>136</v>
      </c>
      <c r="H38" s="352" t="s">
        <v>136</v>
      </c>
      <c r="I38" s="352" t="s">
        <v>136</v>
      </c>
      <c r="J38" s="352" t="s">
        <v>136</v>
      </c>
      <c r="K38" s="352" t="s">
        <v>136</v>
      </c>
      <c r="L38" s="352" t="s">
        <v>136</v>
      </c>
      <c r="M38" s="352" t="s">
        <v>136</v>
      </c>
      <c r="N38" s="352" t="s">
        <v>136</v>
      </c>
      <c r="O38" s="352" t="s">
        <v>136</v>
      </c>
      <c r="P38" s="352" t="s">
        <v>136</v>
      </c>
      <c r="Q38" s="352" t="s">
        <v>136</v>
      </c>
      <c r="R38" s="352" t="s">
        <v>136</v>
      </c>
      <c r="S38" s="352" t="s">
        <v>136</v>
      </c>
      <c r="T38" s="352" t="s">
        <v>136</v>
      </c>
      <c r="U38" s="352" t="s">
        <v>136</v>
      </c>
      <c r="V38" s="352"/>
      <c r="W38" s="352"/>
      <c r="X38" s="352" t="s">
        <v>136</v>
      </c>
      <c r="Y38" s="352"/>
      <c r="Z38" s="540"/>
      <c r="AA38" s="352" t="s">
        <v>136</v>
      </c>
      <c r="AB38" s="352" t="s">
        <v>136</v>
      </c>
      <c r="AC38" s="625"/>
      <c r="AD38" s="630"/>
      <c r="AE38" s="618"/>
      <c r="AO38" s="127" t="s">
        <v>143</v>
      </c>
      <c r="AQ38" s="127" t="s">
        <v>144</v>
      </c>
    </row>
    <row r="39" spans="1:43" ht="15.75" customHeight="1">
      <c r="A39" s="195" t="s">
        <v>145</v>
      </c>
      <c r="B39" s="352" t="s">
        <v>136</v>
      </c>
      <c r="C39" s="352" t="s">
        <v>136</v>
      </c>
      <c r="D39" s="352" t="s">
        <v>136</v>
      </c>
      <c r="E39" s="352" t="s">
        <v>136</v>
      </c>
      <c r="F39" s="352" t="s">
        <v>136</v>
      </c>
      <c r="G39" s="352" t="s">
        <v>136</v>
      </c>
      <c r="H39" s="352" t="s">
        <v>136</v>
      </c>
      <c r="I39" s="352" t="s">
        <v>136</v>
      </c>
      <c r="J39" s="352" t="s">
        <v>136</v>
      </c>
      <c r="K39" s="352" t="s">
        <v>136</v>
      </c>
      <c r="L39" s="352" t="s">
        <v>136</v>
      </c>
      <c r="M39" s="352" t="s">
        <v>136</v>
      </c>
      <c r="N39" s="352" t="s">
        <v>136</v>
      </c>
      <c r="O39" s="352" t="s">
        <v>136</v>
      </c>
      <c r="P39" s="352" t="s">
        <v>136</v>
      </c>
      <c r="Q39" s="352" t="s">
        <v>136</v>
      </c>
      <c r="R39" s="352" t="s">
        <v>136</v>
      </c>
      <c r="S39" s="352" t="s">
        <v>136</v>
      </c>
      <c r="T39" s="352" t="s">
        <v>136</v>
      </c>
      <c r="U39" s="352" t="s">
        <v>136</v>
      </c>
      <c r="V39" s="352"/>
      <c r="W39" s="352"/>
      <c r="X39" s="352" t="s">
        <v>136</v>
      </c>
      <c r="Y39" s="352"/>
      <c r="Z39" s="540"/>
      <c r="AA39" s="352" t="s">
        <v>136</v>
      </c>
      <c r="AB39" s="352" t="s">
        <v>136</v>
      </c>
      <c r="AC39" s="625"/>
      <c r="AD39" s="630"/>
      <c r="AE39" s="618"/>
    </row>
    <row r="40" spans="1:43">
      <c r="A40" s="195" t="s">
        <v>146</v>
      </c>
      <c r="B40" s="352" t="s">
        <v>136</v>
      </c>
      <c r="C40" s="540" t="s">
        <v>147</v>
      </c>
      <c r="D40" s="540" t="s">
        <v>147</v>
      </c>
      <c r="E40" s="352" t="s">
        <v>147</v>
      </c>
      <c r="F40" s="352" t="s">
        <v>136</v>
      </c>
      <c r="G40" s="352" t="s">
        <v>136</v>
      </c>
      <c r="H40" s="352" t="s">
        <v>136</v>
      </c>
      <c r="I40" s="352" t="s">
        <v>136</v>
      </c>
      <c r="J40" s="352" t="s">
        <v>136</v>
      </c>
      <c r="K40" s="352" t="s">
        <v>136</v>
      </c>
      <c r="L40" s="352" t="s">
        <v>136</v>
      </c>
      <c r="M40" s="353" t="s">
        <v>136</v>
      </c>
      <c r="N40" s="353" t="s">
        <v>136</v>
      </c>
      <c r="O40" s="541" t="s">
        <v>147</v>
      </c>
      <c r="P40" s="353" t="s">
        <v>136</v>
      </c>
      <c r="Q40" s="353" t="s">
        <v>136</v>
      </c>
      <c r="R40" s="353" t="s">
        <v>136</v>
      </c>
      <c r="S40" s="541" t="s">
        <v>147</v>
      </c>
      <c r="T40" s="541" t="s">
        <v>147</v>
      </c>
      <c r="U40" s="353" t="s">
        <v>136</v>
      </c>
      <c r="V40" s="353"/>
      <c r="W40" s="353"/>
      <c r="X40" s="541" t="s">
        <v>148</v>
      </c>
      <c r="Y40" s="353"/>
      <c r="Z40" s="541" t="s">
        <v>147</v>
      </c>
      <c r="AA40" s="541" t="s">
        <v>148</v>
      </c>
      <c r="AB40" s="353" t="s">
        <v>136</v>
      </c>
      <c r="AC40" s="625"/>
      <c r="AD40" s="630"/>
      <c r="AE40" s="618"/>
      <c r="AO40" s="127" t="s">
        <v>149</v>
      </c>
      <c r="AQ40" s="127" t="s">
        <v>150</v>
      </c>
    </row>
    <row r="41" spans="1:43" ht="15" customHeight="1">
      <c r="A41" s="598" t="s">
        <v>151</v>
      </c>
      <c r="B41" s="600"/>
      <c r="C41" s="601"/>
      <c r="D41" s="601"/>
      <c r="E41" s="601"/>
      <c r="F41" s="601"/>
      <c r="G41" s="601"/>
      <c r="H41" s="601"/>
      <c r="I41" s="601"/>
      <c r="J41" s="601"/>
      <c r="K41" s="601"/>
      <c r="L41" s="602"/>
      <c r="M41" s="364"/>
      <c r="N41" s="364"/>
      <c r="O41" s="364"/>
      <c r="P41" s="364"/>
      <c r="Q41" s="364"/>
      <c r="R41" s="364"/>
      <c r="S41" s="364"/>
      <c r="T41" s="592"/>
      <c r="U41" s="593"/>
      <c r="V41" s="593"/>
      <c r="W41" s="593"/>
      <c r="X41" s="593"/>
      <c r="Y41" s="593"/>
      <c r="Z41" s="594"/>
      <c r="AA41" s="593"/>
      <c r="AB41" s="594"/>
      <c r="AC41" s="625"/>
      <c r="AD41" s="630"/>
      <c r="AE41" s="618"/>
      <c r="AO41" s="127" t="s">
        <v>152</v>
      </c>
      <c r="AQ41" s="127" t="s">
        <v>153</v>
      </c>
    </row>
    <row r="42" spans="1:43">
      <c r="A42" s="599"/>
      <c r="B42" s="606"/>
      <c r="C42" s="607"/>
      <c r="D42" s="607"/>
      <c r="E42" s="607"/>
      <c r="F42" s="607"/>
      <c r="G42" s="607"/>
      <c r="H42" s="607"/>
      <c r="I42" s="607"/>
      <c r="J42" s="607"/>
      <c r="K42" s="607"/>
      <c r="L42" s="608"/>
      <c r="M42" s="364"/>
      <c r="N42" s="364"/>
      <c r="O42" s="364"/>
      <c r="P42" s="364"/>
      <c r="Q42" s="364"/>
      <c r="R42" s="364"/>
      <c r="S42" s="364"/>
      <c r="T42" s="595"/>
      <c r="U42" s="596"/>
      <c r="V42" s="596"/>
      <c r="W42" s="596"/>
      <c r="X42" s="596"/>
      <c r="Y42" s="596"/>
      <c r="Z42" s="597"/>
      <c r="AA42" s="596"/>
      <c r="AB42" s="597"/>
      <c r="AC42" s="628"/>
      <c r="AD42" s="631"/>
      <c r="AE42" s="618"/>
      <c r="AO42" s="127" t="s">
        <v>154</v>
      </c>
      <c r="AQ42" s="127" t="s">
        <v>155</v>
      </c>
    </row>
    <row r="43" spans="1:43" ht="18.75">
      <c r="A43" s="67" t="s">
        <v>105</v>
      </c>
      <c r="B43" s="365">
        <v>19</v>
      </c>
      <c r="C43" s="366">
        <v>16</v>
      </c>
      <c r="D43" s="504">
        <v>12.5</v>
      </c>
      <c r="E43" s="505">
        <v>10</v>
      </c>
      <c r="F43" s="482">
        <v>9</v>
      </c>
      <c r="G43" s="370">
        <v>8</v>
      </c>
      <c r="H43" s="365">
        <v>6.3</v>
      </c>
      <c r="I43" s="367">
        <v>5</v>
      </c>
      <c r="J43" s="370">
        <v>3.15</v>
      </c>
      <c r="K43" s="506">
        <v>0.5</v>
      </c>
      <c r="L43" s="507">
        <v>0.5</v>
      </c>
      <c r="M43" s="191">
        <v>19</v>
      </c>
      <c r="N43" s="192">
        <v>16</v>
      </c>
      <c r="O43" s="128">
        <v>14</v>
      </c>
      <c r="P43" s="191">
        <v>12.5</v>
      </c>
      <c r="Q43" s="128">
        <v>9</v>
      </c>
      <c r="R43" s="191">
        <v>8</v>
      </c>
      <c r="S43" s="129">
        <v>6.3</v>
      </c>
      <c r="T43" s="368">
        <v>19</v>
      </c>
      <c r="U43" s="369">
        <v>16</v>
      </c>
      <c r="V43" s="370">
        <v>14</v>
      </c>
      <c r="W43" s="368">
        <v>12.5</v>
      </c>
      <c r="X43" s="370">
        <v>9</v>
      </c>
      <c r="Y43" s="368">
        <v>8</v>
      </c>
      <c r="Z43" s="371">
        <v>6.3</v>
      </c>
      <c r="AA43" s="372">
        <v>6.3</v>
      </c>
      <c r="AB43" s="373">
        <v>10</v>
      </c>
      <c r="AC43" s="624">
        <v>46282</v>
      </c>
      <c r="AD43" s="626" t="s">
        <v>75</v>
      </c>
      <c r="AE43" s="617" t="s">
        <v>22</v>
      </c>
      <c r="AF43" s="2"/>
      <c r="AG43" s="2"/>
      <c r="AH43" s="2"/>
    </row>
    <row r="44" spans="1:43" ht="18.75">
      <c r="A44" s="67" t="s">
        <v>106</v>
      </c>
      <c r="B44" s="344" t="s">
        <v>107</v>
      </c>
      <c r="C44" s="345" t="s">
        <v>108</v>
      </c>
      <c r="D44" s="480" t="s">
        <v>156</v>
      </c>
      <c r="E44" s="347" t="s">
        <v>110</v>
      </c>
      <c r="F44" s="508" t="s">
        <v>111</v>
      </c>
      <c r="G44" s="347" t="s">
        <v>112</v>
      </c>
      <c r="H44" s="481" t="s">
        <v>157</v>
      </c>
      <c r="I44" s="344" t="s">
        <v>158</v>
      </c>
      <c r="J44" s="349" t="s">
        <v>159</v>
      </c>
      <c r="K44" s="347" t="s">
        <v>160</v>
      </c>
      <c r="L44" s="346" t="s">
        <v>161</v>
      </c>
      <c r="M44" s="478" t="s">
        <v>118</v>
      </c>
      <c r="N44" s="348" t="s">
        <v>119</v>
      </c>
      <c r="O44" s="349" t="s">
        <v>120</v>
      </c>
      <c r="P44" s="347" t="s">
        <v>170</v>
      </c>
      <c r="Q44" s="348" t="s">
        <v>122</v>
      </c>
      <c r="R44" s="349" t="s">
        <v>123</v>
      </c>
      <c r="S44" s="347" t="s">
        <v>171</v>
      </c>
      <c r="T44" s="347" t="s">
        <v>167</v>
      </c>
      <c r="U44" s="348" t="s">
        <v>168</v>
      </c>
      <c r="V44" s="349" t="s">
        <v>120</v>
      </c>
      <c r="W44" s="347" t="s">
        <v>121</v>
      </c>
      <c r="X44" s="348" t="s">
        <v>128</v>
      </c>
      <c r="Y44" s="349" t="s">
        <v>123</v>
      </c>
      <c r="Z44" s="347" t="s">
        <v>169</v>
      </c>
      <c r="AA44" s="351" t="s">
        <v>131</v>
      </c>
      <c r="AB44" s="350" t="s">
        <v>132</v>
      </c>
      <c r="AC44" s="625"/>
      <c r="AD44" s="627"/>
      <c r="AE44" s="618"/>
      <c r="AF44" s="2"/>
      <c r="AG44" s="2"/>
      <c r="AH44" s="2"/>
    </row>
    <row r="45" spans="1:43">
      <c r="A45" s="193" t="s">
        <v>133</v>
      </c>
      <c r="B45" s="338"/>
      <c r="C45" s="339"/>
      <c r="D45" s="339"/>
      <c r="E45" s="340"/>
      <c r="F45" s="339"/>
      <c r="G45" s="339"/>
      <c r="H45" s="339"/>
      <c r="I45" s="339"/>
      <c r="J45" s="339"/>
      <c r="K45" s="339"/>
      <c r="L45" s="340"/>
      <c r="M45" s="341"/>
      <c r="N45" s="341"/>
      <c r="O45" s="341"/>
      <c r="P45" s="341"/>
      <c r="Q45" s="341"/>
      <c r="R45" s="341"/>
      <c r="S45" s="341"/>
      <c r="T45" s="341"/>
      <c r="U45" s="341"/>
      <c r="V45" s="341"/>
      <c r="W45" s="341"/>
      <c r="X45" s="341"/>
      <c r="Y45" s="341"/>
      <c r="Z45" s="341"/>
      <c r="AA45" s="342"/>
      <c r="AB45" s="343"/>
      <c r="AC45" s="625"/>
      <c r="AD45" s="627"/>
      <c r="AE45" s="618"/>
      <c r="AO45" s="127" t="s">
        <v>134</v>
      </c>
      <c r="AQ45" s="127" t="s">
        <v>13</v>
      </c>
    </row>
    <row r="46" spans="1:43" ht="15.75" customHeight="1">
      <c r="A46" s="194" t="s">
        <v>135</v>
      </c>
      <c r="B46" s="352" t="s">
        <v>136</v>
      </c>
      <c r="C46" s="352" t="s">
        <v>136</v>
      </c>
      <c r="D46" s="352" t="s">
        <v>136</v>
      </c>
      <c r="E46" s="352" t="s">
        <v>136</v>
      </c>
      <c r="F46" s="352" t="s">
        <v>136</v>
      </c>
      <c r="G46" s="352" t="s">
        <v>136</v>
      </c>
      <c r="H46" s="352" t="s">
        <v>136</v>
      </c>
      <c r="I46" s="352" t="s">
        <v>136</v>
      </c>
      <c r="J46" s="352" t="s">
        <v>136</v>
      </c>
      <c r="K46" s="352" t="s">
        <v>136</v>
      </c>
      <c r="L46" s="352" t="s">
        <v>136</v>
      </c>
      <c r="M46" s="352" t="s">
        <v>136</v>
      </c>
      <c r="N46" s="352" t="s">
        <v>136</v>
      </c>
      <c r="O46" s="352" t="s">
        <v>136</v>
      </c>
      <c r="P46" s="352" t="s">
        <v>136</v>
      </c>
      <c r="Q46" s="352" t="s">
        <v>136</v>
      </c>
      <c r="R46" s="352" t="s">
        <v>136</v>
      </c>
      <c r="S46" s="352" t="s">
        <v>136</v>
      </c>
      <c r="T46" s="352" t="s">
        <v>136</v>
      </c>
      <c r="U46" s="352" t="s">
        <v>136</v>
      </c>
      <c r="V46" s="352"/>
      <c r="W46" s="352"/>
      <c r="X46" s="352" t="s">
        <v>136</v>
      </c>
      <c r="Y46" s="352"/>
      <c r="Z46" s="540"/>
      <c r="AA46" s="352" t="s">
        <v>136</v>
      </c>
      <c r="AB46" s="352" t="s">
        <v>136</v>
      </c>
      <c r="AC46" s="625"/>
      <c r="AD46" s="627"/>
      <c r="AE46" s="618"/>
      <c r="AO46" s="127" t="s">
        <v>137</v>
      </c>
      <c r="AQ46" s="127" t="s">
        <v>138</v>
      </c>
    </row>
    <row r="47" spans="1:43" ht="15" customHeight="1">
      <c r="A47" s="195" t="s">
        <v>139</v>
      </c>
      <c r="B47" s="352" t="s">
        <v>136</v>
      </c>
      <c r="C47" s="352" t="s">
        <v>136</v>
      </c>
      <c r="D47" s="352" t="s">
        <v>136</v>
      </c>
      <c r="E47" s="352" t="s">
        <v>136</v>
      </c>
      <c r="F47" s="352" t="s">
        <v>136</v>
      </c>
      <c r="G47" s="352" t="s">
        <v>136</v>
      </c>
      <c r="H47" s="352" t="s">
        <v>136</v>
      </c>
      <c r="I47" s="352" t="s">
        <v>136</v>
      </c>
      <c r="J47" s="352" t="s">
        <v>136</v>
      </c>
      <c r="K47" s="352" t="s">
        <v>136</v>
      </c>
      <c r="L47" s="352" t="s">
        <v>136</v>
      </c>
      <c r="M47" s="352" t="s">
        <v>136</v>
      </c>
      <c r="N47" s="352" t="s">
        <v>136</v>
      </c>
      <c r="O47" s="352" t="s">
        <v>136</v>
      </c>
      <c r="P47" s="352" t="s">
        <v>136</v>
      </c>
      <c r="Q47" s="352" t="s">
        <v>136</v>
      </c>
      <c r="R47" s="352" t="s">
        <v>136</v>
      </c>
      <c r="S47" s="352" t="s">
        <v>136</v>
      </c>
      <c r="T47" s="352" t="s">
        <v>136</v>
      </c>
      <c r="U47" s="352" t="s">
        <v>136</v>
      </c>
      <c r="V47" s="352"/>
      <c r="W47" s="352"/>
      <c r="X47" s="352" t="s">
        <v>136</v>
      </c>
      <c r="Y47" s="352"/>
      <c r="Z47" s="540"/>
      <c r="AA47" s="352" t="s">
        <v>136</v>
      </c>
      <c r="AB47" s="352" t="s">
        <v>136</v>
      </c>
      <c r="AC47" s="625"/>
      <c r="AD47" s="627"/>
      <c r="AE47" s="618"/>
      <c r="AO47" s="127" t="s">
        <v>140</v>
      </c>
      <c r="AQ47" s="127" t="s">
        <v>141</v>
      </c>
    </row>
    <row r="48" spans="1:43" ht="15.75" customHeight="1">
      <c r="A48" s="195" t="s">
        <v>142</v>
      </c>
      <c r="B48" s="352" t="s">
        <v>136</v>
      </c>
      <c r="C48" s="352" t="s">
        <v>136</v>
      </c>
      <c r="D48" s="352" t="s">
        <v>136</v>
      </c>
      <c r="E48" s="352" t="s">
        <v>136</v>
      </c>
      <c r="F48" s="352" t="s">
        <v>136</v>
      </c>
      <c r="G48" s="352" t="s">
        <v>136</v>
      </c>
      <c r="H48" s="352" t="s">
        <v>136</v>
      </c>
      <c r="I48" s="352" t="s">
        <v>136</v>
      </c>
      <c r="J48" s="352" t="s">
        <v>136</v>
      </c>
      <c r="K48" s="352" t="s">
        <v>136</v>
      </c>
      <c r="L48" s="352" t="s">
        <v>136</v>
      </c>
      <c r="M48" s="352" t="s">
        <v>136</v>
      </c>
      <c r="N48" s="352" t="s">
        <v>136</v>
      </c>
      <c r="O48" s="352" t="s">
        <v>136</v>
      </c>
      <c r="P48" s="352" t="s">
        <v>136</v>
      </c>
      <c r="Q48" s="352" t="s">
        <v>136</v>
      </c>
      <c r="R48" s="352" t="s">
        <v>136</v>
      </c>
      <c r="S48" s="352" t="s">
        <v>136</v>
      </c>
      <c r="T48" s="352" t="s">
        <v>136</v>
      </c>
      <c r="U48" s="352" t="s">
        <v>136</v>
      </c>
      <c r="V48" s="352"/>
      <c r="W48" s="352"/>
      <c r="X48" s="352" t="s">
        <v>136</v>
      </c>
      <c r="Y48" s="352"/>
      <c r="Z48" s="540"/>
      <c r="AA48" s="352" t="s">
        <v>136</v>
      </c>
      <c r="AB48" s="352" t="s">
        <v>136</v>
      </c>
      <c r="AC48" s="625"/>
      <c r="AD48" s="627"/>
      <c r="AE48" s="618"/>
      <c r="AO48" s="127" t="s">
        <v>143</v>
      </c>
      <c r="AQ48" s="127" t="s">
        <v>144</v>
      </c>
    </row>
    <row r="49" spans="1:43" ht="15.75" customHeight="1">
      <c r="A49" s="195" t="s">
        <v>145</v>
      </c>
      <c r="B49" s="352" t="s">
        <v>136</v>
      </c>
      <c r="C49" s="352" t="s">
        <v>136</v>
      </c>
      <c r="D49" s="352" t="s">
        <v>136</v>
      </c>
      <c r="E49" s="352" t="s">
        <v>136</v>
      </c>
      <c r="F49" s="352" t="s">
        <v>136</v>
      </c>
      <c r="G49" s="352" t="s">
        <v>136</v>
      </c>
      <c r="H49" s="352" t="s">
        <v>136</v>
      </c>
      <c r="I49" s="352" t="s">
        <v>136</v>
      </c>
      <c r="J49" s="352" t="s">
        <v>136</v>
      </c>
      <c r="K49" s="352" t="s">
        <v>136</v>
      </c>
      <c r="L49" s="352" t="s">
        <v>136</v>
      </c>
      <c r="M49" s="352" t="s">
        <v>136</v>
      </c>
      <c r="N49" s="352" t="s">
        <v>136</v>
      </c>
      <c r="O49" s="352" t="s">
        <v>136</v>
      </c>
      <c r="P49" s="352" t="s">
        <v>136</v>
      </c>
      <c r="Q49" s="352" t="s">
        <v>136</v>
      </c>
      <c r="R49" s="352" t="s">
        <v>136</v>
      </c>
      <c r="S49" s="352" t="s">
        <v>136</v>
      </c>
      <c r="T49" s="352" t="s">
        <v>136</v>
      </c>
      <c r="U49" s="352" t="s">
        <v>136</v>
      </c>
      <c r="V49" s="352"/>
      <c r="W49" s="352"/>
      <c r="X49" s="352" t="s">
        <v>136</v>
      </c>
      <c r="Y49" s="352"/>
      <c r="Z49" s="540"/>
      <c r="AA49" s="352" t="s">
        <v>136</v>
      </c>
      <c r="AB49" s="352" t="s">
        <v>136</v>
      </c>
      <c r="AC49" s="625"/>
      <c r="AD49" s="627"/>
      <c r="AE49" s="618"/>
    </row>
    <row r="50" spans="1:43">
      <c r="A50" s="195" t="s">
        <v>146</v>
      </c>
      <c r="B50" s="352" t="s">
        <v>136</v>
      </c>
      <c r="C50" s="540" t="s">
        <v>147</v>
      </c>
      <c r="D50" s="540" t="s">
        <v>147</v>
      </c>
      <c r="E50" s="352" t="s">
        <v>147</v>
      </c>
      <c r="F50" s="352" t="s">
        <v>136</v>
      </c>
      <c r="G50" s="352" t="s">
        <v>136</v>
      </c>
      <c r="H50" s="352" t="s">
        <v>136</v>
      </c>
      <c r="I50" s="352" t="s">
        <v>136</v>
      </c>
      <c r="J50" s="352" t="s">
        <v>136</v>
      </c>
      <c r="K50" s="352" t="s">
        <v>136</v>
      </c>
      <c r="L50" s="352" t="s">
        <v>136</v>
      </c>
      <c r="M50" s="353" t="s">
        <v>136</v>
      </c>
      <c r="N50" s="353" t="s">
        <v>136</v>
      </c>
      <c r="O50" s="541" t="s">
        <v>147</v>
      </c>
      <c r="P50" s="541" t="s">
        <v>172</v>
      </c>
      <c r="Q50" s="353" t="s">
        <v>136</v>
      </c>
      <c r="R50" s="353" t="s">
        <v>136</v>
      </c>
      <c r="S50" s="541" t="s">
        <v>147</v>
      </c>
      <c r="T50" s="541" t="s">
        <v>147</v>
      </c>
      <c r="U50" s="353" t="s">
        <v>136</v>
      </c>
      <c r="V50" s="353"/>
      <c r="W50" s="353"/>
      <c r="X50" s="541" t="s">
        <v>148</v>
      </c>
      <c r="Y50" s="353"/>
      <c r="Z50" s="541" t="s">
        <v>147</v>
      </c>
      <c r="AA50" s="541" t="s">
        <v>148</v>
      </c>
      <c r="AB50" s="353" t="s">
        <v>136</v>
      </c>
      <c r="AC50" s="625"/>
      <c r="AD50" s="627"/>
      <c r="AE50" s="618"/>
      <c r="AO50" s="127" t="s">
        <v>149</v>
      </c>
      <c r="AQ50" s="127" t="s">
        <v>150</v>
      </c>
    </row>
    <row r="51" spans="1:43" ht="15" customHeight="1">
      <c r="A51" s="598" t="s">
        <v>151</v>
      </c>
      <c r="B51" s="600"/>
      <c r="C51" s="601"/>
      <c r="D51" s="601"/>
      <c r="E51" s="601"/>
      <c r="F51" s="601"/>
      <c r="G51" s="601"/>
      <c r="H51" s="601"/>
      <c r="I51" s="601"/>
      <c r="J51" s="601"/>
      <c r="K51" s="601"/>
      <c r="L51" s="602"/>
      <c r="M51" s="364"/>
      <c r="N51" s="364"/>
      <c r="O51" s="364"/>
      <c r="P51" s="364"/>
      <c r="Q51" s="364"/>
      <c r="R51" s="364"/>
      <c r="S51" s="364"/>
      <c r="T51" s="592"/>
      <c r="U51" s="593"/>
      <c r="V51" s="593"/>
      <c r="W51" s="593"/>
      <c r="X51" s="593"/>
      <c r="Y51" s="593"/>
      <c r="Z51" s="594"/>
      <c r="AA51" s="593"/>
      <c r="AB51" s="594"/>
      <c r="AC51" s="625"/>
      <c r="AD51" s="627"/>
      <c r="AE51" s="618"/>
      <c r="AO51" s="127" t="s">
        <v>152</v>
      </c>
      <c r="AQ51" s="127" t="s">
        <v>153</v>
      </c>
    </row>
    <row r="52" spans="1:43">
      <c r="A52" s="599"/>
      <c r="B52" s="603"/>
      <c r="C52" s="604"/>
      <c r="D52" s="604"/>
      <c r="E52" s="604"/>
      <c r="F52" s="604"/>
      <c r="G52" s="604"/>
      <c r="H52" s="604"/>
      <c r="I52" s="604"/>
      <c r="J52" s="604"/>
      <c r="K52" s="604"/>
      <c r="L52" s="605"/>
      <c r="M52" s="364"/>
      <c r="N52" s="364" t="s">
        <v>173</v>
      </c>
      <c r="O52" s="364"/>
      <c r="P52" s="364"/>
      <c r="Q52" s="364"/>
      <c r="R52" s="364"/>
      <c r="S52" s="364"/>
      <c r="T52" s="595"/>
      <c r="U52" s="596"/>
      <c r="V52" s="596"/>
      <c r="W52" s="596"/>
      <c r="X52" s="596"/>
      <c r="Y52" s="596"/>
      <c r="Z52" s="597"/>
      <c r="AA52" s="596"/>
      <c r="AB52" s="597"/>
      <c r="AC52" s="628"/>
      <c r="AD52" s="627"/>
      <c r="AE52" s="618"/>
      <c r="AO52" s="127" t="s">
        <v>154</v>
      </c>
      <c r="AQ52" s="127" t="s">
        <v>155</v>
      </c>
    </row>
    <row r="53" spans="1:43" ht="18.75">
      <c r="A53" s="67" t="s">
        <v>105</v>
      </c>
      <c r="B53" s="365">
        <v>19</v>
      </c>
      <c r="C53" s="366">
        <v>16</v>
      </c>
      <c r="D53" s="504">
        <v>12.5</v>
      </c>
      <c r="E53" s="505">
        <v>10</v>
      </c>
      <c r="F53" s="482">
        <v>9</v>
      </c>
      <c r="G53" s="370">
        <v>8</v>
      </c>
      <c r="H53" s="365">
        <v>6.3</v>
      </c>
      <c r="I53" s="367">
        <v>5</v>
      </c>
      <c r="J53" s="370">
        <v>3.15</v>
      </c>
      <c r="K53" s="506">
        <v>0.5</v>
      </c>
      <c r="L53" s="507">
        <v>0.5</v>
      </c>
      <c r="M53" s="191">
        <v>19</v>
      </c>
      <c r="N53" s="192">
        <v>16</v>
      </c>
      <c r="O53" s="128">
        <v>14</v>
      </c>
      <c r="P53" s="191">
        <v>12.5</v>
      </c>
      <c r="Q53" s="128">
        <v>9</v>
      </c>
      <c r="R53" s="191">
        <v>8</v>
      </c>
      <c r="S53" s="129">
        <v>6.3</v>
      </c>
      <c r="T53" s="368">
        <v>19</v>
      </c>
      <c r="U53" s="369">
        <v>16</v>
      </c>
      <c r="V53" s="370">
        <v>14</v>
      </c>
      <c r="W53" s="368">
        <v>12.5</v>
      </c>
      <c r="X53" s="370">
        <v>9</v>
      </c>
      <c r="Y53" s="368">
        <v>8</v>
      </c>
      <c r="Z53" s="371">
        <v>6.3</v>
      </c>
      <c r="AA53" s="372">
        <v>6.3</v>
      </c>
      <c r="AB53" s="373">
        <v>10</v>
      </c>
      <c r="AC53" s="624">
        <v>46286</v>
      </c>
      <c r="AD53" s="626" t="s">
        <v>75</v>
      </c>
      <c r="AE53" s="617" t="s">
        <v>174</v>
      </c>
      <c r="AF53" s="2"/>
      <c r="AG53" s="2"/>
      <c r="AH53" s="2"/>
    </row>
    <row r="54" spans="1:43" ht="18.75">
      <c r="A54" s="67" t="s">
        <v>106</v>
      </c>
      <c r="B54" s="344" t="s">
        <v>107</v>
      </c>
      <c r="C54" s="345" t="s">
        <v>108</v>
      </c>
      <c r="D54" s="480" t="s">
        <v>156</v>
      </c>
      <c r="E54" s="347" t="s">
        <v>110</v>
      </c>
      <c r="F54" s="508" t="s">
        <v>111</v>
      </c>
      <c r="G54" s="347" t="s">
        <v>112</v>
      </c>
      <c r="H54" s="481" t="s">
        <v>157</v>
      </c>
      <c r="I54" s="344" t="s">
        <v>158</v>
      </c>
      <c r="J54" s="349" t="s">
        <v>159</v>
      </c>
      <c r="K54" s="347" t="s">
        <v>160</v>
      </c>
      <c r="L54" s="346" t="s">
        <v>161</v>
      </c>
      <c r="M54" s="478" t="s">
        <v>118</v>
      </c>
      <c r="N54" s="348" t="s">
        <v>119</v>
      </c>
      <c r="O54" s="349" t="s">
        <v>120</v>
      </c>
      <c r="P54" s="347" t="s">
        <v>170</v>
      </c>
      <c r="Q54" s="348" t="s">
        <v>122</v>
      </c>
      <c r="R54" s="349" t="s">
        <v>123</v>
      </c>
      <c r="S54" s="347" t="s">
        <v>171</v>
      </c>
      <c r="T54" s="347" t="s">
        <v>167</v>
      </c>
      <c r="U54" s="348" t="s">
        <v>168</v>
      </c>
      <c r="V54" s="349" t="s">
        <v>120</v>
      </c>
      <c r="W54" s="347" t="s">
        <v>121</v>
      </c>
      <c r="X54" s="348" t="s">
        <v>128</v>
      </c>
      <c r="Y54" s="349" t="s">
        <v>123</v>
      </c>
      <c r="Z54" s="347" t="s">
        <v>169</v>
      </c>
      <c r="AA54" s="351" t="s">
        <v>131</v>
      </c>
      <c r="AB54" s="350" t="s">
        <v>132</v>
      </c>
      <c r="AC54" s="625"/>
      <c r="AD54" s="627"/>
      <c r="AE54" s="618"/>
      <c r="AF54" s="2"/>
      <c r="AG54" s="2"/>
      <c r="AH54" s="2"/>
    </row>
    <row r="55" spans="1:43">
      <c r="A55" s="193" t="s">
        <v>133</v>
      </c>
      <c r="B55" s="338"/>
      <c r="C55" s="339"/>
      <c r="D55" s="339"/>
      <c r="E55" s="340"/>
      <c r="F55" s="339"/>
      <c r="G55" s="339"/>
      <c r="H55" s="339"/>
      <c r="I55" s="339"/>
      <c r="J55" s="339"/>
      <c r="K55" s="339"/>
      <c r="L55" s="340"/>
      <c r="M55" s="341"/>
      <c r="N55" s="341"/>
      <c r="O55" s="341"/>
      <c r="P55" s="341"/>
      <c r="Q55" s="341"/>
      <c r="R55" s="341"/>
      <c r="S55" s="341"/>
      <c r="T55" s="341"/>
      <c r="U55" s="341"/>
      <c r="V55" s="341"/>
      <c r="W55" s="341"/>
      <c r="X55" s="341"/>
      <c r="Y55" s="341"/>
      <c r="Z55" s="341"/>
      <c r="AA55" s="342"/>
      <c r="AB55" s="343"/>
      <c r="AC55" s="625"/>
      <c r="AD55" s="627"/>
      <c r="AE55" s="618"/>
      <c r="AO55" s="127" t="s">
        <v>134</v>
      </c>
      <c r="AQ55" s="127" t="s">
        <v>13</v>
      </c>
    </row>
    <row r="56" spans="1:43" ht="15.75" customHeight="1">
      <c r="A56" s="194" t="s">
        <v>135</v>
      </c>
      <c r="B56" s="352" t="s">
        <v>136</v>
      </c>
      <c r="C56" s="352" t="s">
        <v>136</v>
      </c>
      <c r="D56" s="352" t="s">
        <v>136</v>
      </c>
      <c r="E56" s="352" t="s">
        <v>136</v>
      </c>
      <c r="F56" s="352" t="s">
        <v>136</v>
      </c>
      <c r="G56" s="352" t="s">
        <v>136</v>
      </c>
      <c r="H56" s="352" t="s">
        <v>136</v>
      </c>
      <c r="I56" s="352" t="s">
        <v>136</v>
      </c>
      <c r="J56" s="352" t="s">
        <v>136</v>
      </c>
      <c r="K56" s="352" t="s">
        <v>136</v>
      </c>
      <c r="L56" s="352" t="s">
        <v>136</v>
      </c>
      <c r="M56" s="352" t="s">
        <v>136</v>
      </c>
      <c r="N56" s="352" t="s">
        <v>136</v>
      </c>
      <c r="O56" s="352" t="s">
        <v>136</v>
      </c>
      <c r="P56" s="352" t="s">
        <v>136</v>
      </c>
      <c r="Q56" s="352" t="s">
        <v>136</v>
      </c>
      <c r="R56" s="352" t="s">
        <v>136</v>
      </c>
      <c r="S56" s="352" t="s">
        <v>136</v>
      </c>
      <c r="T56" s="352" t="s">
        <v>136</v>
      </c>
      <c r="U56" s="352" t="s">
        <v>136</v>
      </c>
      <c r="V56" s="352"/>
      <c r="W56" s="352"/>
      <c r="X56" s="352" t="s">
        <v>136</v>
      </c>
      <c r="Y56" s="352"/>
      <c r="Z56" s="540"/>
      <c r="AA56" s="352" t="s">
        <v>136</v>
      </c>
      <c r="AB56" s="352" t="s">
        <v>136</v>
      </c>
      <c r="AC56" s="625"/>
      <c r="AD56" s="627"/>
      <c r="AE56" s="618"/>
      <c r="AO56" s="127" t="s">
        <v>137</v>
      </c>
      <c r="AQ56" s="127" t="s">
        <v>138</v>
      </c>
    </row>
    <row r="57" spans="1:43" ht="15" customHeight="1">
      <c r="A57" s="195" t="s">
        <v>139</v>
      </c>
      <c r="B57" s="352" t="s">
        <v>136</v>
      </c>
      <c r="C57" s="352" t="s">
        <v>136</v>
      </c>
      <c r="D57" s="352" t="s">
        <v>136</v>
      </c>
      <c r="E57" s="352" t="s">
        <v>136</v>
      </c>
      <c r="F57" s="352" t="s">
        <v>136</v>
      </c>
      <c r="G57" s="352" t="s">
        <v>136</v>
      </c>
      <c r="H57" s="352" t="s">
        <v>136</v>
      </c>
      <c r="I57" s="352" t="s">
        <v>136</v>
      </c>
      <c r="J57" s="352" t="s">
        <v>136</v>
      </c>
      <c r="K57" s="352" t="s">
        <v>136</v>
      </c>
      <c r="L57" s="352" t="s">
        <v>136</v>
      </c>
      <c r="M57" s="352" t="s">
        <v>136</v>
      </c>
      <c r="N57" s="352" t="s">
        <v>136</v>
      </c>
      <c r="O57" s="352" t="s">
        <v>136</v>
      </c>
      <c r="P57" s="352" t="s">
        <v>136</v>
      </c>
      <c r="Q57" s="352" t="s">
        <v>136</v>
      </c>
      <c r="R57" s="352" t="s">
        <v>136</v>
      </c>
      <c r="S57" s="352" t="s">
        <v>136</v>
      </c>
      <c r="T57" s="352" t="s">
        <v>136</v>
      </c>
      <c r="U57" s="352" t="s">
        <v>136</v>
      </c>
      <c r="V57" s="352"/>
      <c r="W57" s="352"/>
      <c r="X57" s="352" t="s">
        <v>136</v>
      </c>
      <c r="Y57" s="352"/>
      <c r="Z57" s="540"/>
      <c r="AA57" s="352" t="s">
        <v>136</v>
      </c>
      <c r="AB57" s="352" t="s">
        <v>136</v>
      </c>
      <c r="AC57" s="625"/>
      <c r="AD57" s="627"/>
      <c r="AE57" s="618"/>
      <c r="AO57" s="127" t="s">
        <v>140</v>
      </c>
      <c r="AQ57" s="127" t="s">
        <v>141</v>
      </c>
    </row>
    <row r="58" spans="1:43" ht="15.75" customHeight="1">
      <c r="A58" s="195" t="s">
        <v>142</v>
      </c>
      <c r="B58" s="352" t="s">
        <v>136</v>
      </c>
      <c r="C58" s="352" t="s">
        <v>136</v>
      </c>
      <c r="D58" s="352" t="s">
        <v>136</v>
      </c>
      <c r="E58" s="352" t="s">
        <v>136</v>
      </c>
      <c r="F58" s="352" t="s">
        <v>136</v>
      </c>
      <c r="G58" s="352" t="s">
        <v>136</v>
      </c>
      <c r="H58" s="352" t="s">
        <v>136</v>
      </c>
      <c r="I58" s="352" t="s">
        <v>136</v>
      </c>
      <c r="J58" s="352" t="s">
        <v>136</v>
      </c>
      <c r="K58" s="352" t="s">
        <v>136</v>
      </c>
      <c r="L58" s="352" t="s">
        <v>136</v>
      </c>
      <c r="M58" s="352" t="s">
        <v>136</v>
      </c>
      <c r="N58" s="352" t="s">
        <v>136</v>
      </c>
      <c r="O58" s="352" t="s">
        <v>136</v>
      </c>
      <c r="P58" s="352" t="s">
        <v>136</v>
      </c>
      <c r="Q58" s="352" t="s">
        <v>136</v>
      </c>
      <c r="R58" s="352" t="s">
        <v>136</v>
      </c>
      <c r="S58" s="352" t="s">
        <v>136</v>
      </c>
      <c r="T58" s="352" t="s">
        <v>136</v>
      </c>
      <c r="U58" s="352" t="s">
        <v>136</v>
      </c>
      <c r="V58" s="352"/>
      <c r="W58" s="352"/>
      <c r="X58" s="352" t="s">
        <v>136</v>
      </c>
      <c r="Y58" s="352"/>
      <c r="Z58" s="540"/>
      <c r="AA58" s="352" t="s">
        <v>136</v>
      </c>
      <c r="AB58" s="352" t="s">
        <v>136</v>
      </c>
      <c r="AC58" s="625"/>
      <c r="AD58" s="627"/>
      <c r="AE58" s="618"/>
      <c r="AO58" s="127" t="s">
        <v>143</v>
      </c>
      <c r="AQ58" s="127" t="s">
        <v>144</v>
      </c>
    </row>
    <row r="59" spans="1:43" ht="15.75" customHeight="1">
      <c r="A59" s="195" t="s">
        <v>145</v>
      </c>
      <c r="B59" s="352" t="s">
        <v>136</v>
      </c>
      <c r="C59" s="352" t="s">
        <v>136</v>
      </c>
      <c r="D59" s="352" t="s">
        <v>136</v>
      </c>
      <c r="E59" s="352" t="s">
        <v>136</v>
      </c>
      <c r="F59" s="352" t="s">
        <v>136</v>
      </c>
      <c r="G59" s="352" t="s">
        <v>136</v>
      </c>
      <c r="H59" s="352" t="s">
        <v>136</v>
      </c>
      <c r="I59" s="352" t="s">
        <v>136</v>
      </c>
      <c r="J59" s="352" t="s">
        <v>136</v>
      </c>
      <c r="K59" s="352" t="s">
        <v>136</v>
      </c>
      <c r="L59" s="352" t="s">
        <v>136</v>
      </c>
      <c r="M59" s="352" t="s">
        <v>136</v>
      </c>
      <c r="N59" s="352" t="s">
        <v>136</v>
      </c>
      <c r="O59" s="352" t="s">
        <v>136</v>
      </c>
      <c r="P59" s="352" t="s">
        <v>136</v>
      </c>
      <c r="Q59" s="352" t="s">
        <v>136</v>
      </c>
      <c r="R59" s="352" t="s">
        <v>136</v>
      </c>
      <c r="S59" s="352" t="s">
        <v>136</v>
      </c>
      <c r="T59" s="352" t="s">
        <v>136</v>
      </c>
      <c r="U59" s="352" t="s">
        <v>136</v>
      </c>
      <c r="V59" s="352"/>
      <c r="W59" s="352"/>
      <c r="X59" s="352" t="s">
        <v>136</v>
      </c>
      <c r="Y59" s="352"/>
      <c r="Z59" s="540"/>
      <c r="AA59" s="352" t="s">
        <v>136</v>
      </c>
      <c r="AB59" s="352" t="s">
        <v>136</v>
      </c>
      <c r="AC59" s="625"/>
      <c r="AD59" s="627"/>
      <c r="AE59" s="618"/>
    </row>
    <row r="60" spans="1:43">
      <c r="A60" s="195" t="s">
        <v>146</v>
      </c>
      <c r="B60" s="352" t="s">
        <v>136</v>
      </c>
      <c r="C60" s="540" t="s">
        <v>147</v>
      </c>
      <c r="D60" s="540" t="s">
        <v>147</v>
      </c>
      <c r="E60" s="352" t="s">
        <v>147</v>
      </c>
      <c r="F60" s="352" t="s">
        <v>136</v>
      </c>
      <c r="G60" s="352" t="s">
        <v>136</v>
      </c>
      <c r="H60" s="352" t="s">
        <v>136</v>
      </c>
      <c r="I60" s="352" t="s">
        <v>136</v>
      </c>
      <c r="J60" s="352" t="s">
        <v>136</v>
      </c>
      <c r="K60" s="352" t="s">
        <v>136</v>
      </c>
      <c r="L60" s="352" t="s">
        <v>136</v>
      </c>
      <c r="M60" s="353" t="s">
        <v>136</v>
      </c>
      <c r="N60" s="353" t="s">
        <v>136</v>
      </c>
      <c r="O60" s="541" t="s">
        <v>147</v>
      </c>
      <c r="P60" s="541" t="s">
        <v>172</v>
      </c>
      <c r="Q60" s="353" t="s">
        <v>136</v>
      </c>
      <c r="R60" s="353" t="s">
        <v>136</v>
      </c>
      <c r="S60" s="541" t="s">
        <v>147</v>
      </c>
      <c r="T60" s="541" t="s">
        <v>147</v>
      </c>
      <c r="U60" s="353" t="s">
        <v>136</v>
      </c>
      <c r="V60" s="353"/>
      <c r="W60" s="353"/>
      <c r="X60" s="541" t="s">
        <v>148</v>
      </c>
      <c r="Y60" s="353"/>
      <c r="Z60" s="541" t="s">
        <v>147</v>
      </c>
      <c r="AA60" s="541" t="s">
        <v>148</v>
      </c>
      <c r="AB60" s="353" t="s">
        <v>136</v>
      </c>
      <c r="AC60" s="625"/>
      <c r="AD60" s="627"/>
      <c r="AE60" s="618"/>
      <c r="AO60" s="127" t="s">
        <v>149</v>
      </c>
      <c r="AQ60" s="127" t="s">
        <v>150</v>
      </c>
    </row>
    <row r="61" spans="1:43" ht="15" customHeight="1">
      <c r="A61" s="598" t="s">
        <v>151</v>
      </c>
      <c r="B61" s="600"/>
      <c r="C61" s="601"/>
      <c r="D61" s="601"/>
      <c r="E61" s="601"/>
      <c r="F61" s="601"/>
      <c r="G61" s="601"/>
      <c r="H61" s="601"/>
      <c r="I61" s="601"/>
      <c r="J61" s="601"/>
      <c r="K61" s="601"/>
      <c r="L61" s="602"/>
      <c r="M61" s="364"/>
      <c r="N61" s="364"/>
      <c r="O61" s="364"/>
      <c r="P61" s="364"/>
      <c r="Q61" s="364"/>
      <c r="R61" s="364"/>
      <c r="S61" s="364"/>
      <c r="T61" s="592"/>
      <c r="U61" s="593"/>
      <c r="V61" s="593"/>
      <c r="W61" s="593"/>
      <c r="X61" s="593"/>
      <c r="Y61" s="593"/>
      <c r="Z61" s="594"/>
      <c r="AA61" s="593"/>
      <c r="AB61" s="594"/>
      <c r="AC61" s="625"/>
      <c r="AD61" s="627"/>
      <c r="AE61" s="618"/>
      <c r="AO61" s="127" t="s">
        <v>152</v>
      </c>
      <c r="AQ61" s="127" t="s">
        <v>153</v>
      </c>
    </row>
    <row r="62" spans="1:43">
      <c r="A62" s="599"/>
      <c r="B62" s="603"/>
      <c r="C62" s="604"/>
      <c r="D62" s="604"/>
      <c r="E62" s="604"/>
      <c r="F62" s="604"/>
      <c r="G62" s="604"/>
      <c r="H62" s="604"/>
      <c r="I62" s="604"/>
      <c r="J62" s="604"/>
      <c r="K62" s="604"/>
      <c r="L62" s="605"/>
      <c r="M62" s="364"/>
      <c r="N62" s="364"/>
      <c r="O62" s="364"/>
      <c r="P62" s="364"/>
      <c r="Q62" s="364"/>
      <c r="R62" s="364"/>
      <c r="S62" s="364"/>
      <c r="T62" s="595"/>
      <c r="U62" s="596"/>
      <c r="V62" s="596"/>
      <c r="W62" s="596"/>
      <c r="X62" s="596"/>
      <c r="Y62" s="596"/>
      <c r="Z62" s="597"/>
      <c r="AA62" s="596"/>
      <c r="AB62" s="597"/>
      <c r="AC62" s="628"/>
      <c r="AD62" s="627"/>
      <c r="AE62" s="618"/>
      <c r="AO62" s="127" t="s">
        <v>154</v>
      </c>
      <c r="AQ62" s="127" t="s">
        <v>155</v>
      </c>
    </row>
    <row r="63" spans="1:43" ht="18.75">
      <c r="A63" s="67" t="s">
        <v>105</v>
      </c>
      <c r="B63" s="365">
        <v>19</v>
      </c>
      <c r="C63" s="366">
        <v>16</v>
      </c>
      <c r="D63" s="504">
        <v>12.5</v>
      </c>
      <c r="E63" s="505">
        <v>10</v>
      </c>
      <c r="F63" s="482">
        <v>9</v>
      </c>
      <c r="G63" s="370">
        <v>8</v>
      </c>
      <c r="H63" s="365">
        <v>6.3</v>
      </c>
      <c r="I63" s="367">
        <v>5</v>
      </c>
      <c r="J63" s="370">
        <v>3.15</v>
      </c>
      <c r="K63" s="506">
        <v>0.5</v>
      </c>
      <c r="L63" s="507">
        <v>0.5</v>
      </c>
      <c r="M63" s="191">
        <v>19</v>
      </c>
      <c r="N63" s="192">
        <v>16</v>
      </c>
      <c r="O63" s="128">
        <v>14</v>
      </c>
      <c r="P63" s="191">
        <v>12.5</v>
      </c>
      <c r="Q63" s="128">
        <v>9</v>
      </c>
      <c r="R63" s="191">
        <v>8</v>
      </c>
      <c r="S63" s="129">
        <v>6.3</v>
      </c>
      <c r="T63" s="368">
        <v>19</v>
      </c>
      <c r="U63" s="369">
        <v>16</v>
      </c>
      <c r="V63" s="370">
        <v>14</v>
      </c>
      <c r="W63" s="368">
        <v>12.5</v>
      </c>
      <c r="X63" s="370">
        <v>9</v>
      </c>
      <c r="Y63" s="368">
        <v>8</v>
      </c>
      <c r="Z63" s="371">
        <v>6.3</v>
      </c>
      <c r="AA63" s="372">
        <v>6.3</v>
      </c>
      <c r="AB63" s="373">
        <v>10</v>
      </c>
      <c r="AC63" s="624"/>
      <c r="AD63" s="626"/>
      <c r="AE63" s="617"/>
      <c r="AF63" s="2"/>
      <c r="AG63" s="2"/>
      <c r="AH63" s="2"/>
    </row>
    <row r="64" spans="1:43" ht="18.75">
      <c r="A64" s="67" t="s">
        <v>106</v>
      </c>
      <c r="B64" s="344" t="s">
        <v>107</v>
      </c>
      <c r="C64" s="345" t="s">
        <v>108</v>
      </c>
      <c r="D64" s="480" t="s">
        <v>156</v>
      </c>
      <c r="E64" s="347" t="s">
        <v>110</v>
      </c>
      <c r="F64" s="508" t="s">
        <v>111</v>
      </c>
      <c r="G64" s="347" t="s">
        <v>112</v>
      </c>
      <c r="H64" s="481" t="s">
        <v>157</v>
      </c>
      <c r="I64" s="344" t="s">
        <v>158</v>
      </c>
      <c r="J64" s="349" t="s">
        <v>159</v>
      </c>
      <c r="K64" s="347" t="s">
        <v>160</v>
      </c>
      <c r="L64" s="346" t="s">
        <v>161</v>
      </c>
      <c r="M64" s="478" t="s">
        <v>118</v>
      </c>
      <c r="N64" s="348" t="s">
        <v>119</v>
      </c>
      <c r="O64" s="349" t="s">
        <v>162</v>
      </c>
      <c r="P64" s="347" t="s">
        <v>163</v>
      </c>
      <c r="Q64" s="348" t="s">
        <v>164</v>
      </c>
      <c r="R64" s="349" t="s">
        <v>165</v>
      </c>
      <c r="S64" s="347" t="s">
        <v>166</v>
      </c>
      <c r="T64" s="347" t="s">
        <v>167</v>
      </c>
      <c r="U64" s="348" t="s">
        <v>168</v>
      </c>
      <c r="V64" s="349" t="s">
        <v>120</v>
      </c>
      <c r="W64" s="347" t="s">
        <v>121</v>
      </c>
      <c r="X64" s="348" t="s">
        <v>128</v>
      </c>
      <c r="Y64" s="349" t="s">
        <v>123</v>
      </c>
      <c r="Z64" s="347" t="s">
        <v>131</v>
      </c>
      <c r="AA64" s="351" t="s">
        <v>169</v>
      </c>
      <c r="AB64" s="350" t="s">
        <v>132</v>
      </c>
      <c r="AC64" s="625"/>
      <c r="AD64" s="627"/>
      <c r="AE64" s="618"/>
      <c r="AF64" s="2"/>
      <c r="AG64" s="2"/>
      <c r="AH64" s="2"/>
    </row>
    <row r="65" spans="1:43">
      <c r="A65" s="193" t="s">
        <v>133</v>
      </c>
      <c r="B65" s="338"/>
      <c r="C65" s="339"/>
      <c r="D65" s="339"/>
      <c r="E65" s="339"/>
      <c r="F65" s="339"/>
      <c r="G65" s="339"/>
      <c r="H65" s="339"/>
      <c r="I65" s="339"/>
      <c r="J65" s="339"/>
      <c r="K65" s="339"/>
      <c r="L65" s="340"/>
      <c r="M65" s="341"/>
      <c r="N65" s="341"/>
      <c r="O65" s="341"/>
      <c r="P65" s="341"/>
      <c r="Q65" s="341"/>
      <c r="R65" s="341"/>
      <c r="S65" s="341"/>
      <c r="T65" s="341"/>
      <c r="U65" s="341"/>
      <c r="V65" s="341"/>
      <c r="W65" s="341"/>
      <c r="X65" s="341"/>
      <c r="Y65" s="341"/>
      <c r="Z65" s="341"/>
      <c r="AA65" s="342"/>
      <c r="AB65" s="343"/>
      <c r="AC65" s="625"/>
      <c r="AD65" s="627"/>
      <c r="AE65" s="618"/>
      <c r="AO65" s="127" t="s">
        <v>134</v>
      </c>
      <c r="AQ65" s="127" t="s">
        <v>13</v>
      </c>
    </row>
    <row r="66" spans="1:43" ht="15.75" customHeight="1">
      <c r="A66" s="194" t="s">
        <v>135</v>
      </c>
      <c r="B66" s="352"/>
      <c r="C66" s="352"/>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625"/>
      <c r="AD66" s="627"/>
      <c r="AE66" s="618"/>
      <c r="AO66" s="127" t="s">
        <v>137</v>
      </c>
      <c r="AQ66" s="127" t="s">
        <v>138</v>
      </c>
    </row>
    <row r="67" spans="1:43" ht="15" customHeight="1">
      <c r="A67" s="195" t="s">
        <v>139</v>
      </c>
      <c r="B67" s="352"/>
      <c r="C67" s="352"/>
      <c r="D67" s="352"/>
      <c r="E67" s="352"/>
      <c r="F67" s="352"/>
      <c r="G67" s="352"/>
      <c r="H67" s="352"/>
      <c r="I67" s="352"/>
      <c r="J67" s="352"/>
      <c r="K67" s="352"/>
      <c r="L67" s="352"/>
      <c r="M67" s="352"/>
      <c r="N67" s="352"/>
      <c r="O67" s="352"/>
      <c r="P67" s="352"/>
      <c r="Q67" s="352"/>
      <c r="R67" s="352"/>
      <c r="S67" s="352"/>
      <c r="T67" s="352"/>
      <c r="U67" s="352"/>
      <c r="V67" s="352"/>
      <c r="W67" s="352"/>
      <c r="X67" s="352"/>
      <c r="Y67" s="352"/>
      <c r="Z67" s="352"/>
      <c r="AA67" s="352"/>
      <c r="AB67" s="352"/>
      <c r="AC67" s="625"/>
      <c r="AD67" s="627"/>
      <c r="AE67" s="618"/>
      <c r="AO67" s="127" t="s">
        <v>140</v>
      </c>
      <c r="AQ67" s="127" t="s">
        <v>141</v>
      </c>
    </row>
    <row r="68" spans="1:43" ht="15.75" customHeight="1">
      <c r="A68" s="195" t="s">
        <v>142</v>
      </c>
      <c r="B68" s="352"/>
      <c r="C68" s="352"/>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625"/>
      <c r="AD68" s="627"/>
      <c r="AE68" s="618"/>
      <c r="AO68" s="127" t="s">
        <v>143</v>
      </c>
      <c r="AQ68" s="127" t="s">
        <v>144</v>
      </c>
    </row>
    <row r="69" spans="1:43" ht="15.75" customHeight="1">
      <c r="A69" s="195" t="s">
        <v>145</v>
      </c>
      <c r="B69" s="352"/>
      <c r="C69" s="352"/>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625"/>
      <c r="AD69" s="627"/>
      <c r="AE69" s="618"/>
    </row>
    <row r="70" spans="1:43">
      <c r="A70" s="195" t="s">
        <v>146</v>
      </c>
      <c r="B70" s="352"/>
      <c r="C70" s="352"/>
      <c r="D70" s="352"/>
      <c r="E70" s="352"/>
      <c r="F70" s="352"/>
      <c r="G70" s="352"/>
      <c r="H70" s="352"/>
      <c r="I70" s="352"/>
      <c r="J70" s="352"/>
      <c r="K70" s="352"/>
      <c r="L70" s="352"/>
      <c r="M70" s="353"/>
      <c r="N70" s="353"/>
      <c r="O70" s="353"/>
      <c r="P70" s="353"/>
      <c r="Q70" s="353"/>
      <c r="R70" s="353"/>
      <c r="S70" s="353"/>
      <c r="T70" s="353"/>
      <c r="U70" s="353"/>
      <c r="V70" s="353"/>
      <c r="W70" s="353"/>
      <c r="X70" s="353"/>
      <c r="Y70" s="353"/>
      <c r="Z70" s="353"/>
      <c r="AA70" s="353"/>
      <c r="AB70" s="353"/>
      <c r="AC70" s="625"/>
      <c r="AD70" s="627"/>
      <c r="AE70" s="618"/>
      <c r="AO70" s="127" t="s">
        <v>149</v>
      </c>
      <c r="AQ70" s="127" t="s">
        <v>150</v>
      </c>
    </row>
    <row r="71" spans="1:43" ht="15" customHeight="1">
      <c r="A71" s="598" t="s">
        <v>151</v>
      </c>
      <c r="B71" s="600"/>
      <c r="C71" s="601"/>
      <c r="D71" s="601"/>
      <c r="E71" s="601"/>
      <c r="F71" s="601"/>
      <c r="G71" s="601"/>
      <c r="H71" s="601"/>
      <c r="I71" s="601"/>
      <c r="J71" s="601"/>
      <c r="K71" s="601"/>
      <c r="L71" s="602"/>
      <c r="M71" s="364"/>
      <c r="N71" s="364"/>
      <c r="O71" s="364"/>
      <c r="P71" s="364"/>
      <c r="Q71" s="364"/>
      <c r="R71" s="364"/>
      <c r="S71" s="364"/>
      <c r="T71" s="592"/>
      <c r="U71" s="593"/>
      <c r="V71" s="593"/>
      <c r="W71" s="593"/>
      <c r="X71" s="593"/>
      <c r="Y71" s="593"/>
      <c r="Z71" s="594"/>
      <c r="AA71" s="593"/>
      <c r="AB71" s="594"/>
      <c r="AC71" s="625"/>
      <c r="AD71" s="627"/>
      <c r="AE71" s="618"/>
      <c r="AO71" s="127" t="s">
        <v>152</v>
      </c>
      <c r="AQ71" s="127" t="s">
        <v>153</v>
      </c>
    </row>
    <row r="72" spans="1:43">
      <c r="A72" s="599"/>
      <c r="B72" s="603"/>
      <c r="C72" s="604"/>
      <c r="D72" s="604"/>
      <c r="E72" s="604"/>
      <c r="F72" s="604"/>
      <c r="G72" s="604"/>
      <c r="H72" s="604"/>
      <c r="I72" s="604"/>
      <c r="J72" s="604"/>
      <c r="K72" s="604"/>
      <c r="L72" s="605"/>
      <c r="M72" s="364"/>
      <c r="N72" s="364"/>
      <c r="O72" s="364"/>
      <c r="P72" s="364"/>
      <c r="Q72" s="364"/>
      <c r="R72" s="364"/>
      <c r="S72" s="364"/>
      <c r="T72" s="595"/>
      <c r="U72" s="596"/>
      <c r="V72" s="596"/>
      <c r="W72" s="596"/>
      <c r="X72" s="596"/>
      <c r="Y72" s="596"/>
      <c r="Z72" s="597"/>
      <c r="AA72" s="596"/>
      <c r="AB72" s="597"/>
      <c r="AC72" s="628"/>
      <c r="AD72" s="627"/>
      <c r="AE72" s="618"/>
      <c r="AO72" s="127" t="s">
        <v>154</v>
      </c>
      <c r="AQ72" s="127" t="s">
        <v>155</v>
      </c>
    </row>
    <row r="73" spans="1:43" ht="18.75">
      <c r="A73" s="67" t="s">
        <v>105</v>
      </c>
      <c r="B73" s="365">
        <v>19</v>
      </c>
      <c r="C73" s="366">
        <v>16</v>
      </c>
      <c r="D73" s="504">
        <v>12.5</v>
      </c>
      <c r="E73" s="505">
        <v>10</v>
      </c>
      <c r="F73" s="482">
        <v>9</v>
      </c>
      <c r="G73" s="370">
        <v>8</v>
      </c>
      <c r="H73" s="365">
        <v>6.3</v>
      </c>
      <c r="I73" s="367">
        <v>5</v>
      </c>
      <c r="J73" s="370">
        <v>3.15</v>
      </c>
      <c r="K73" s="506">
        <v>0.5</v>
      </c>
      <c r="L73" s="507">
        <v>0.5</v>
      </c>
      <c r="M73" s="191">
        <v>19</v>
      </c>
      <c r="N73" s="192">
        <v>16</v>
      </c>
      <c r="O73" s="128">
        <v>14</v>
      </c>
      <c r="P73" s="191">
        <v>12.5</v>
      </c>
      <c r="Q73" s="128">
        <v>9</v>
      </c>
      <c r="R73" s="191">
        <v>8</v>
      </c>
      <c r="S73" s="129">
        <v>6.3</v>
      </c>
      <c r="T73" s="368">
        <v>19</v>
      </c>
      <c r="U73" s="369">
        <v>16</v>
      </c>
      <c r="V73" s="370">
        <v>14</v>
      </c>
      <c r="W73" s="368">
        <v>12.5</v>
      </c>
      <c r="X73" s="370">
        <v>9</v>
      </c>
      <c r="Y73" s="368">
        <v>8</v>
      </c>
      <c r="Z73" s="371">
        <v>6.3</v>
      </c>
      <c r="AA73" s="372">
        <v>6.3</v>
      </c>
      <c r="AB73" s="373">
        <v>10</v>
      </c>
      <c r="AC73" s="624"/>
      <c r="AD73" s="626"/>
      <c r="AE73" s="617"/>
      <c r="AF73" s="2"/>
      <c r="AG73" s="2"/>
      <c r="AH73" s="2"/>
    </row>
    <row r="74" spans="1:43" ht="18.75">
      <c r="A74" s="67" t="s">
        <v>106</v>
      </c>
      <c r="B74" s="344" t="s">
        <v>107</v>
      </c>
      <c r="C74" s="345" t="s">
        <v>108</v>
      </c>
      <c r="D74" s="480" t="s">
        <v>156</v>
      </c>
      <c r="E74" s="347" t="s">
        <v>110</v>
      </c>
      <c r="F74" s="508" t="s">
        <v>111</v>
      </c>
      <c r="G74" s="347" t="s">
        <v>112</v>
      </c>
      <c r="H74" s="481" t="s">
        <v>157</v>
      </c>
      <c r="I74" s="344" t="s">
        <v>158</v>
      </c>
      <c r="J74" s="349" t="s">
        <v>159</v>
      </c>
      <c r="K74" s="347" t="s">
        <v>160</v>
      </c>
      <c r="L74" s="346" t="s">
        <v>161</v>
      </c>
      <c r="M74" s="478" t="s">
        <v>118</v>
      </c>
      <c r="N74" s="348" t="s">
        <v>119</v>
      </c>
      <c r="O74" s="349" t="s">
        <v>162</v>
      </c>
      <c r="P74" s="347" t="s">
        <v>163</v>
      </c>
      <c r="Q74" s="348" t="s">
        <v>164</v>
      </c>
      <c r="R74" s="349" t="s">
        <v>165</v>
      </c>
      <c r="S74" s="347" t="s">
        <v>166</v>
      </c>
      <c r="T74" s="347" t="s">
        <v>167</v>
      </c>
      <c r="U74" s="348" t="s">
        <v>168</v>
      </c>
      <c r="V74" s="349" t="s">
        <v>120</v>
      </c>
      <c r="W74" s="347" t="s">
        <v>121</v>
      </c>
      <c r="X74" s="348" t="s">
        <v>128</v>
      </c>
      <c r="Y74" s="349" t="s">
        <v>123</v>
      </c>
      <c r="Z74" s="347" t="s">
        <v>131</v>
      </c>
      <c r="AA74" s="351" t="s">
        <v>169</v>
      </c>
      <c r="AB74" s="350" t="s">
        <v>132</v>
      </c>
      <c r="AC74" s="625"/>
      <c r="AD74" s="627"/>
      <c r="AE74" s="618"/>
      <c r="AF74" s="2"/>
      <c r="AG74" s="2"/>
      <c r="AH74" s="2"/>
    </row>
    <row r="75" spans="1:43">
      <c r="A75" s="193" t="s">
        <v>133</v>
      </c>
      <c r="B75" s="338"/>
      <c r="C75" s="339"/>
      <c r="D75" s="339"/>
      <c r="E75" s="339"/>
      <c r="F75" s="339"/>
      <c r="G75" s="339"/>
      <c r="H75" s="339"/>
      <c r="I75" s="339"/>
      <c r="J75" s="339"/>
      <c r="K75" s="339"/>
      <c r="L75" s="340"/>
      <c r="M75" s="341"/>
      <c r="N75" s="341"/>
      <c r="O75" s="341"/>
      <c r="P75" s="341"/>
      <c r="Q75" s="341"/>
      <c r="R75" s="341"/>
      <c r="S75" s="341"/>
      <c r="T75" s="341"/>
      <c r="U75" s="341"/>
      <c r="V75" s="341"/>
      <c r="W75" s="341"/>
      <c r="X75" s="341"/>
      <c r="Y75" s="341"/>
      <c r="Z75" s="341"/>
      <c r="AA75" s="342"/>
      <c r="AB75" s="343"/>
      <c r="AC75" s="625"/>
      <c r="AD75" s="627"/>
      <c r="AE75" s="618"/>
      <c r="AO75" s="127" t="s">
        <v>134</v>
      </c>
      <c r="AQ75" s="127" t="s">
        <v>13</v>
      </c>
    </row>
    <row r="76" spans="1:43" ht="15.75" customHeight="1">
      <c r="A76" s="194" t="s">
        <v>135</v>
      </c>
      <c r="B76" s="352"/>
      <c r="C76" s="352"/>
      <c r="D76" s="352"/>
      <c r="E76" s="352"/>
      <c r="F76" s="352"/>
      <c r="G76" s="352"/>
      <c r="H76" s="352"/>
      <c r="I76" s="352"/>
      <c r="J76" s="352"/>
      <c r="K76" s="352"/>
      <c r="L76" s="352"/>
      <c r="M76" s="352"/>
      <c r="N76" s="352"/>
      <c r="O76" s="352"/>
      <c r="P76" s="352"/>
      <c r="Q76" s="352"/>
      <c r="R76" s="352"/>
      <c r="S76" s="352"/>
      <c r="T76" s="352"/>
      <c r="U76" s="352"/>
      <c r="V76" s="352"/>
      <c r="W76" s="352"/>
      <c r="X76" s="352"/>
      <c r="Y76" s="352"/>
      <c r="Z76" s="352"/>
      <c r="AA76" s="352"/>
      <c r="AB76" s="352"/>
      <c r="AC76" s="625"/>
      <c r="AD76" s="627"/>
      <c r="AE76" s="618"/>
      <c r="AO76" s="127" t="s">
        <v>137</v>
      </c>
      <c r="AQ76" s="127" t="s">
        <v>138</v>
      </c>
    </row>
    <row r="77" spans="1:43" ht="15" customHeight="1">
      <c r="A77" s="195" t="s">
        <v>139</v>
      </c>
      <c r="B77" s="352"/>
      <c r="C77" s="352"/>
      <c r="D77" s="352"/>
      <c r="E77" s="352"/>
      <c r="F77" s="352"/>
      <c r="G77" s="352"/>
      <c r="H77" s="352"/>
      <c r="I77" s="352"/>
      <c r="J77" s="352"/>
      <c r="K77" s="352"/>
      <c r="L77" s="352"/>
      <c r="M77" s="352"/>
      <c r="N77" s="352"/>
      <c r="O77" s="352"/>
      <c r="P77" s="352"/>
      <c r="Q77" s="352"/>
      <c r="R77" s="352"/>
      <c r="S77" s="352"/>
      <c r="T77" s="352"/>
      <c r="U77" s="352"/>
      <c r="V77" s="352"/>
      <c r="W77" s="352"/>
      <c r="X77" s="352"/>
      <c r="Y77" s="352"/>
      <c r="Z77" s="352"/>
      <c r="AA77" s="352"/>
      <c r="AB77" s="352"/>
      <c r="AC77" s="625"/>
      <c r="AD77" s="627"/>
      <c r="AE77" s="618"/>
      <c r="AO77" s="127" t="s">
        <v>140</v>
      </c>
      <c r="AQ77" s="127" t="s">
        <v>141</v>
      </c>
    </row>
    <row r="78" spans="1:43" ht="15.75" customHeight="1">
      <c r="A78" s="195" t="s">
        <v>142</v>
      </c>
      <c r="B78" s="352"/>
      <c r="C78" s="352"/>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625"/>
      <c r="AD78" s="627"/>
      <c r="AE78" s="618"/>
      <c r="AO78" s="127" t="s">
        <v>143</v>
      </c>
      <c r="AQ78" s="127" t="s">
        <v>144</v>
      </c>
    </row>
    <row r="79" spans="1:43" ht="15.75" customHeight="1">
      <c r="A79" s="195" t="s">
        <v>145</v>
      </c>
      <c r="B79" s="352"/>
      <c r="C79" s="352"/>
      <c r="D79" s="352"/>
      <c r="E79" s="352"/>
      <c r="F79" s="352"/>
      <c r="G79" s="352"/>
      <c r="H79" s="352"/>
      <c r="I79" s="352"/>
      <c r="J79" s="352"/>
      <c r="K79" s="352"/>
      <c r="L79" s="352"/>
      <c r="M79" s="352"/>
      <c r="N79" s="352"/>
      <c r="O79" s="352"/>
      <c r="P79" s="352"/>
      <c r="Q79" s="352"/>
      <c r="R79" s="352"/>
      <c r="S79" s="352"/>
      <c r="T79" s="352"/>
      <c r="U79" s="352"/>
      <c r="V79" s="352"/>
      <c r="W79" s="352"/>
      <c r="X79" s="352"/>
      <c r="Y79" s="352"/>
      <c r="Z79" s="352"/>
      <c r="AA79" s="352"/>
      <c r="AB79" s="352"/>
      <c r="AC79" s="625"/>
      <c r="AD79" s="627"/>
      <c r="AE79" s="618"/>
    </row>
    <row r="80" spans="1:43">
      <c r="A80" s="195" t="s">
        <v>146</v>
      </c>
      <c r="B80" s="352"/>
      <c r="C80" s="352"/>
      <c r="D80" s="352"/>
      <c r="E80" s="352"/>
      <c r="F80" s="352"/>
      <c r="G80" s="352"/>
      <c r="H80" s="352"/>
      <c r="I80" s="352"/>
      <c r="J80" s="352"/>
      <c r="K80" s="352"/>
      <c r="L80" s="352"/>
      <c r="M80" s="353"/>
      <c r="N80" s="353"/>
      <c r="O80" s="353"/>
      <c r="P80" s="353"/>
      <c r="Q80" s="353"/>
      <c r="R80" s="353"/>
      <c r="S80" s="353"/>
      <c r="T80" s="353"/>
      <c r="U80" s="353"/>
      <c r="V80" s="353"/>
      <c r="W80" s="353"/>
      <c r="X80" s="353"/>
      <c r="Y80" s="353"/>
      <c r="Z80" s="353"/>
      <c r="AA80" s="353"/>
      <c r="AB80" s="353"/>
      <c r="AC80" s="625"/>
      <c r="AD80" s="627"/>
      <c r="AE80" s="618"/>
      <c r="AO80" s="127" t="s">
        <v>149</v>
      </c>
      <c r="AQ80" s="127" t="s">
        <v>150</v>
      </c>
    </row>
    <row r="81" spans="1:43" ht="15" customHeight="1">
      <c r="A81" s="598" t="s">
        <v>151</v>
      </c>
      <c r="B81" s="600"/>
      <c r="C81" s="601"/>
      <c r="D81" s="601"/>
      <c r="E81" s="601"/>
      <c r="F81" s="601"/>
      <c r="G81" s="601"/>
      <c r="H81" s="601"/>
      <c r="I81" s="601"/>
      <c r="J81" s="601"/>
      <c r="K81" s="601"/>
      <c r="L81" s="602"/>
      <c r="M81" s="364"/>
      <c r="N81" s="364"/>
      <c r="O81" s="364"/>
      <c r="P81" s="364"/>
      <c r="Q81" s="364"/>
      <c r="R81" s="364"/>
      <c r="S81" s="364"/>
      <c r="T81" s="592"/>
      <c r="U81" s="593"/>
      <c r="V81" s="593"/>
      <c r="W81" s="593"/>
      <c r="X81" s="593"/>
      <c r="Y81" s="593"/>
      <c r="Z81" s="594"/>
      <c r="AA81" s="593"/>
      <c r="AB81" s="594"/>
      <c r="AC81" s="625"/>
      <c r="AD81" s="627"/>
      <c r="AE81" s="618"/>
      <c r="AO81" s="127" t="s">
        <v>152</v>
      </c>
      <c r="AQ81" s="127" t="s">
        <v>153</v>
      </c>
    </row>
    <row r="82" spans="1:43">
      <c r="A82" s="599"/>
      <c r="B82" s="603"/>
      <c r="C82" s="604"/>
      <c r="D82" s="604"/>
      <c r="E82" s="604"/>
      <c r="F82" s="604"/>
      <c r="G82" s="604"/>
      <c r="H82" s="604"/>
      <c r="I82" s="604"/>
      <c r="J82" s="604"/>
      <c r="K82" s="604"/>
      <c r="L82" s="605"/>
      <c r="M82" s="364"/>
      <c r="N82" s="364"/>
      <c r="O82" s="364"/>
      <c r="P82" s="364"/>
      <c r="Q82" s="364"/>
      <c r="R82" s="364"/>
      <c r="S82" s="364"/>
      <c r="T82" s="595"/>
      <c r="U82" s="596"/>
      <c r="V82" s="596"/>
      <c r="W82" s="596"/>
      <c r="X82" s="596"/>
      <c r="Y82" s="596"/>
      <c r="Z82" s="597"/>
      <c r="AA82" s="596"/>
      <c r="AB82" s="597"/>
      <c r="AC82" s="628"/>
      <c r="AD82" s="627"/>
      <c r="AE82" s="618"/>
      <c r="AO82" s="127" t="s">
        <v>154</v>
      </c>
      <c r="AQ82" s="127" t="s">
        <v>155</v>
      </c>
    </row>
    <row r="83" spans="1:43" ht="18.75">
      <c r="A83" s="67" t="s">
        <v>105</v>
      </c>
      <c r="B83" s="365">
        <v>19</v>
      </c>
      <c r="C83" s="366">
        <v>16</v>
      </c>
      <c r="D83" s="504">
        <v>12.5</v>
      </c>
      <c r="E83" s="505">
        <v>10</v>
      </c>
      <c r="F83" s="482">
        <v>9</v>
      </c>
      <c r="G83" s="370">
        <v>8</v>
      </c>
      <c r="H83" s="365">
        <v>6.3</v>
      </c>
      <c r="I83" s="367">
        <v>5</v>
      </c>
      <c r="J83" s="370">
        <v>3.15</v>
      </c>
      <c r="K83" s="506">
        <v>0.5</v>
      </c>
      <c r="L83" s="507">
        <v>0.5</v>
      </c>
      <c r="M83" s="191">
        <v>19</v>
      </c>
      <c r="N83" s="192">
        <v>16</v>
      </c>
      <c r="O83" s="128">
        <v>14</v>
      </c>
      <c r="P83" s="191">
        <v>12.5</v>
      </c>
      <c r="Q83" s="128">
        <v>9</v>
      </c>
      <c r="R83" s="191">
        <v>8</v>
      </c>
      <c r="S83" s="129">
        <v>6.3</v>
      </c>
      <c r="T83" s="368">
        <v>19</v>
      </c>
      <c r="U83" s="369">
        <v>16</v>
      </c>
      <c r="V83" s="370">
        <v>14</v>
      </c>
      <c r="W83" s="368">
        <v>12.5</v>
      </c>
      <c r="X83" s="370">
        <v>9</v>
      </c>
      <c r="Y83" s="368">
        <v>8</v>
      </c>
      <c r="Z83" s="371">
        <v>6.3</v>
      </c>
      <c r="AA83" s="372">
        <v>6.3</v>
      </c>
      <c r="AB83" s="373">
        <v>10</v>
      </c>
      <c r="AC83" s="624"/>
      <c r="AD83" s="626"/>
      <c r="AE83" s="617"/>
      <c r="AF83" s="2"/>
      <c r="AG83" s="2"/>
      <c r="AH83" s="2"/>
    </row>
    <row r="84" spans="1:43" ht="18.75">
      <c r="A84" s="67" t="s">
        <v>106</v>
      </c>
      <c r="B84" s="344" t="s">
        <v>107</v>
      </c>
      <c r="C84" s="345" t="s">
        <v>108</v>
      </c>
      <c r="D84" s="480" t="s">
        <v>156</v>
      </c>
      <c r="E84" s="347" t="s">
        <v>110</v>
      </c>
      <c r="F84" s="508" t="s">
        <v>111</v>
      </c>
      <c r="G84" s="347" t="s">
        <v>112</v>
      </c>
      <c r="H84" s="481" t="s">
        <v>157</v>
      </c>
      <c r="I84" s="344" t="s">
        <v>158</v>
      </c>
      <c r="J84" s="349" t="s">
        <v>159</v>
      </c>
      <c r="K84" s="347" t="s">
        <v>160</v>
      </c>
      <c r="L84" s="346" t="s">
        <v>161</v>
      </c>
      <c r="M84" s="478" t="s">
        <v>118</v>
      </c>
      <c r="N84" s="348" t="s">
        <v>119</v>
      </c>
      <c r="O84" s="349" t="s">
        <v>162</v>
      </c>
      <c r="P84" s="347" t="s">
        <v>163</v>
      </c>
      <c r="Q84" s="348" t="s">
        <v>164</v>
      </c>
      <c r="R84" s="349" t="s">
        <v>165</v>
      </c>
      <c r="S84" s="347" t="s">
        <v>166</v>
      </c>
      <c r="T84" s="347" t="s">
        <v>167</v>
      </c>
      <c r="U84" s="348" t="s">
        <v>168</v>
      </c>
      <c r="V84" s="349" t="s">
        <v>120</v>
      </c>
      <c r="W84" s="347" t="s">
        <v>121</v>
      </c>
      <c r="X84" s="348" t="s">
        <v>128</v>
      </c>
      <c r="Y84" s="349" t="s">
        <v>123</v>
      </c>
      <c r="Z84" s="347" t="s">
        <v>131</v>
      </c>
      <c r="AA84" s="351" t="s">
        <v>169</v>
      </c>
      <c r="AB84" s="350" t="s">
        <v>132</v>
      </c>
      <c r="AC84" s="625"/>
      <c r="AD84" s="627"/>
      <c r="AE84" s="618"/>
      <c r="AF84" s="2"/>
      <c r="AG84" s="2"/>
      <c r="AH84" s="2"/>
    </row>
    <row r="85" spans="1:43">
      <c r="A85" s="193" t="s">
        <v>133</v>
      </c>
      <c r="B85" s="338"/>
      <c r="C85" s="339"/>
      <c r="D85" s="339"/>
      <c r="E85" s="340"/>
      <c r="F85" s="339"/>
      <c r="G85" s="339"/>
      <c r="H85" s="339"/>
      <c r="I85" s="339"/>
      <c r="J85" s="339"/>
      <c r="K85" s="339"/>
      <c r="L85" s="340"/>
      <c r="M85" s="341"/>
      <c r="N85" s="341"/>
      <c r="O85" s="341"/>
      <c r="P85" s="341"/>
      <c r="Q85" s="341"/>
      <c r="R85" s="341"/>
      <c r="S85" s="341"/>
      <c r="T85" s="341"/>
      <c r="U85" s="341"/>
      <c r="V85" s="341"/>
      <c r="W85" s="341"/>
      <c r="X85" s="341"/>
      <c r="Y85" s="341"/>
      <c r="Z85" s="341"/>
      <c r="AA85" s="342"/>
      <c r="AB85" s="343"/>
      <c r="AC85" s="625"/>
      <c r="AD85" s="627"/>
      <c r="AE85" s="618"/>
      <c r="AO85" s="127" t="s">
        <v>134</v>
      </c>
      <c r="AQ85" s="127" t="s">
        <v>13</v>
      </c>
    </row>
    <row r="86" spans="1:43" ht="15.75" customHeight="1">
      <c r="A86" s="194" t="s">
        <v>135</v>
      </c>
      <c r="B86" s="352"/>
      <c r="C86" s="352"/>
      <c r="D86" s="352"/>
      <c r="E86" s="352"/>
      <c r="F86" s="352"/>
      <c r="G86" s="352"/>
      <c r="H86" s="352"/>
      <c r="I86" s="352"/>
      <c r="J86" s="352"/>
      <c r="K86" s="352"/>
      <c r="L86" s="352"/>
      <c r="M86" s="352"/>
      <c r="N86" s="352"/>
      <c r="O86" s="352"/>
      <c r="P86" s="352"/>
      <c r="Q86" s="352"/>
      <c r="R86" s="352"/>
      <c r="S86" s="352"/>
      <c r="T86" s="352"/>
      <c r="U86" s="352"/>
      <c r="V86" s="352"/>
      <c r="W86" s="352"/>
      <c r="X86" s="352"/>
      <c r="Y86" s="352"/>
      <c r="Z86" s="352"/>
      <c r="AA86" s="352"/>
      <c r="AB86" s="352"/>
      <c r="AC86" s="625"/>
      <c r="AD86" s="627"/>
      <c r="AE86" s="618"/>
      <c r="AO86" s="127" t="s">
        <v>137</v>
      </c>
      <c r="AQ86" s="127" t="s">
        <v>138</v>
      </c>
    </row>
    <row r="87" spans="1:43" ht="15" customHeight="1">
      <c r="A87" s="195" t="s">
        <v>139</v>
      </c>
      <c r="B87" s="352"/>
      <c r="C87" s="352"/>
      <c r="D87" s="352"/>
      <c r="E87" s="352"/>
      <c r="F87" s="352"/>
      <c r="G87" s="352"/>
      <c r="H87" s="352"/>
      <c r="I87" s="352"/>
      <c r="J87" s="352"/>
      <c r="K87" s="352"/>
      <c r="L87" s="352"/>
      <c r="M87" s="352"/>
      <c r="N87" s="352"/>
      <c r="O87" s="352"/>
      <c r="P87" s="352"/>
      <c r="Q87" s="352"/>
      <c r="R87" s="352"/>
      <c r="S87" s="352"/>
      <c r="T87" s="352"/>
      <c r="U87" s="352"/>
      <c r="V87" s="352"/>
      <c r="W87" s="352"/>
      <c r="X87" s="352"/>
      <c r="Y87" s="352"/>
      <c r="Z87" s="352"/>
      <c r="AA87" s="352"/>
      <c r="AB87" s="352"/>
      <c r="AC87" s="625"/>
      <c r="AD87" s="627"/>
      <c r="AE87" s="618"/>
      <c r="AO87" s="127" t="s">
        <v>140</v>
      </c>
      <c r="AQ87" s="127" t="s">
        <v>141</v>
      </c>
    </row>
    <row r="88" spans="1:43" ht="15.75" customHeight="1">
      <c r="A88" s="195" t="s">
        <v>142</v>
      </c>
      <c r="B88" s="352"/>
      <c r="C88" s="352"/>
      <c r="D88" s="352"/>
      <c r="E88" s="352"/>
      <c r="F88" s="352"/>
      <c r="G88" s="352"/>
      <c r="H88" s="352"/>
      <c r="I88" s="352"/>
      <c r="J88" s="352"/>
      <c r="K88" s="352"/>
      <c r="L88" s="352"/>
      <c r="M88" s="352"/>
      <c r="N88" s="352"/>
      <c r="O88" s="352"/>
      <c r="P88" s="352"/>
      <c r="Q88" s="352"/>
      <c r="R88" s="352"/>
      <c r="S88" s="352"/>
      <c r="T88" s="352"/>
      <c r="U88" s="352"/>
      <c r="V88" s="352"/>
      <c r="W88" s="352"/>
      <c r="X88" s="352"/>
      <c r="Y88" s="352"/>
      <c r="Z88" s="352"/>
      <c r="AA88" s="352"/>
      <c r="AB88" s="352"/>
      <c r="AC88" s="625"/>
      <c r="AD88" s="627"/>
      <c r="AE88" s="618"/>
      <c r="AO88" s="127" t="s">
        <v>143</v>
      </c>
      <c r="AQ88" s="127" t="s">
        <v>144</v>
      </c>
    </row>
    <row r="89" spans="1:43" ht="15.75" customHeight="1">
      <c r="A89" s="195" t="s">
        <v>145</v>
      </c>
      <c r="B89" s="352"/>
      <c r="C89" s="352"/>
      <c r="D89" s="352"/>
      <c r="E89" s="352"/>
      <c r="F89" s="352"/>
      <c r="G89" s="352"/>
      <c r="H89" s="352"/>
      <c r="I89" s="352"/>
      <c r="J89" s="352"/>
      <c r="K89" s="352"/>
      <c r="L89" s="352"/>
      <c r="M89" s="352"/>
      <c r="N89" s="352"/>
      <c r="O89" s="352"/>
      <c r="P89" s="352"/>
      <c r="Q89" s="352"/>
      <c r="R89" s="352"/>
      <c r="S89" s="352"/>
      <c r="T89" s="352"/>
      <c r="U89" s="352"/>
      <c r="V89" s="352"/>
      <c r="W89" s="352"/>
      <c r="X89" s="352"/>
      <c r="Y89" s="352"/>
      <c r="Z89" s="352"/>
      <c r="AA89" s="352"/>
      <c r="AB89" s="352"/>
      <c r="AC89" s="625"/>
      <c r="AD89" s="627"/>
      <c r="AE89" s="618"/>
    </row>
    <row r="90" spans="1:43">
      <c r="A90" s="195" t="s">
        <v>146</v>
      </c>
      <c r="B90" s="352"/>
      <c r="C90" s="352"/>
      <c r="D90" s="352"/>
      <c r="E90" s="352"/>
      <c r="F90" s="352"/>
      <c r="G90" s="352"/>
      <c r="H90" s="352"/>
      <c r="I90" s="352"/>
      <c r="J90" s="352"/>
      <c r="K90" s="352"/>
      <c r="L90" s="352"/>
      <c r="M90" s="353"/>
      <c r="N90" s="353"/>
      <c r="O90" s="353"/>
      <c r="P90" s="353"/>
      <c r="Q90" s="353"/>
      <c r="R90" s="353"/>
      <c r="S90" s="353"/>
      <c r="T90" s="353"/>
      <c r="U90" s="353"/>
      <c r="V90" s="353"/>
      <c r="W90" s="353"/>
      <c r="X90" s="353"/>
      <c r="Y90" s="353"/>
      <c r="Z90" s="353"/>
      <c r="AA90" s="353"/>
      <c r="AB90" s="353"/>
      <c r="AC90" s="625"/>
      <c r="AD90" s="627"/>
      <c r="AE90" s="618"/>
      <c r="AO90" s="127" t="s">
        <v>149</v>
      </c>
      <c r="AQ90" s="127" t="s">
        <v>150</v>
      </c>
    </row>
    <row r="91" spans="1:43" ht="15" customHeight="1">
      <c r="A91" s="598" t="s">
        <v>151</v>
      </c>
      <c r="B91" s="600"/>
      <c r="C91" s="601"/>
      <c r="D91" s="601"/>
      <c r="E91" s="601"/>
      <c r="F91" s="601"/>
      <c r="G91" s="601"/>
      <c r="H91" s="601"/>
      <c r="I91" s="601"/>
      <c r="J91" s="601"/>
      <c r="K91" s="601"/>
      <c r="L91" s="602"/>
      <c r="M91" s="364"/>
      <c r="N91" s="364"/>
      <c r="O91" s="364"/>
      <c r="P91" s="364"/>
      <c r="Q91" s="364"/>
      <c r="R91" s="364"/>
      <c r="S91" s="364"/>
      <c r="T91" s="592"/>
      <c r="U91" s="593"/>
      <c r="V91" s="593"/>
      <c r="W91" s="593"/>
      <c r="X91" s="593"/>
      <c r="Y91" s="593"/>
      <c r="Z91" s="594"/>
      <c r="AA91" s="593"/>
      <c r="AB91" s="594"/>
      <c r="AC91" s="625"/>
      <c r="AD91" s="627"/>
      <c r="AE91" s="618"/>
      <c r="AO91" s="127" t="s">
        <v>152</v>
      </c>
      <c r="AQ91" s="127" t="s">
        <v>153</v>
      </c>
    </row>
    <row r="92" spans="1:43">
      <c r="A92" s="599"/>
      <c r="B92" s="603"/>
      <c r="C92" s="604"/>
      <c r="D92" s="604"/>
      <c r="E92" s="604"/>
      <c r="F92" s="604"/>
      <c r="G92" s="604"/>
      <c r="H92" s="604"/>
      <c r="I92" s="604"/>
      <c r="J92" s="604"/>
      <c r="K92" s="604"/>
      <c r="L92" s="605"/>
      <c r="M92" s="364"/>
      <c r="N92" s="364"/>
      <c r="O92" s="364"/>
      <c r="P92" s="364"/>
      <c r="Q92" s="364"/>
      <c r="R92" s="364"/>
      <c r="S92" s="364"/>
      <c r="T92" s="595"/>
      <c r="U92" s="596"/>
      <c r="V92" s="596"/>
      <c r="W92" s="596"/>
      <c r="X92" s="596"/>
      <c r="Y92" s="596"/>
      <c r="Z92" s="597"/>
      <c r="AA92" s="596"/>
      <c r="AB92" s="597"/>
      <c r="AC92" s="628"/>
      <c r="AD92" s="627"/>
      <c r="AE92" s="618"/>
      <c r="AO92" s="127" t="s">
        <v>154</v>
      </c>
      <c r="AQ92" s="127" t="s">
        <v>155</v>
      </c>
    </row>
    <row r="93" spans="1:43" ht="18.75">
      <c r="A93" s="67" t="s">
        <v>105</v>
      </c>
      <c r="B93" s="365">
        <v>19</v>
      </c>
      <c r="C93" s="366">
        <v>16</v>
      </c>
      <c r="D93" s="504">
        <v>12.5</v>
      </c>
      <c r="E93" s="505">
        <v>10</v>
      </c>
      <c r="F93" s="482">
        <v>9</v>
      </c>
      <c r="G93" s="370">
        <v>8</v>
      </c>
      <c r="H93" s="365">
        <v>6.3</v>
      </c>
      <c r="I93" s="367">
        <v>5</v>
      </c>
      <c r="J93" s="370">
        <v>3.15</v>
      </c>
      <c r="K93" s="506">
        <v>0.5</v>
      </c>
      <c r="L93" s="507">
        <v>0.5</v>
      </c>
      <c r="M93" s="191">
        <v>19</v>
      </c>
      <c r="N93" s="192">
        <v>16</v>
      </c>
      <c r="O93" s="128">
        <v>14</v>
      </c>
      <c r="P93" s="191">
        <v>12.5</v>
      </c>
      <c r="Q93" s="128">
        <v>9</v>
      </c>
      <c r="R93" s="191">
        <v>8</v>
      </c>
      <c r="S93" s="129">
        <v>6.3</v>
      </c>
      <c r="T93" s="368">
        <v>19</v>
      </c>
      <c r="U93" s="369">
        <v>16</v>
      </c>
      <c r="V93" s="370">
        <v>14</v>
      </c>
      <c r="W93" s="368">
        <v>12.5</v>
      </c>
      <c r="X93" s="370">
        <v>9</v>
      </c>
      <c r="Y93" s="368">
        <v>8</v>
      </c>
      <c r="Z93" s="371">
        <v>6.3</v>
      </c>
      <c r="AA93" s="372">
        <v>6.3</v>
      </c>
      <c r="AB93" s="373">
        <v>10</v>
      </c>
      <c r="AC93" s="624"/>
      <c r="AD93" s="626"/>
      <c r="AE93" s="617"/>
      <c r="AF93" s="2"/>
      <c r="AG93" s="2"/>
      <c r="AH93" s="2"/>
    </row>
    <row r="94" spans="1:43" ht="18.75">
      <c r="A94" s="67" t="s">
        <v>106</v>
      </c>
      <c r="B94" s="344" t="s">
        <v>107</v>
      </c>
      <c r="C94" s="345" t="s">
        <v>108</v>
      </c>
      <c r="D94" s="480" t="s">
        <v>156</v>
      </c>
      <c r="E94" s="347" t="s">
        <v>110</v>
      </c>
      <c r="F94" s="508" t="s">
        <v>111</v>
      </c>
      <c r="G94" s="347" t="s">
        <v>112</v>
      </c>
      <c r="H94" s="481" t="s">
        <v>157</v>
      </c>
      <c r="I94" s="344" t="s">
        <v>158</v>
      </c>
      <c r="J94" s="349" t="s">
        <v>159</v>
      </c>
      <c r="K94" s="347" t="s">
        <v>160</v>
      </c>
      <c r="L94" s="346" t="s">
        <v>161</v>
      </c>
      <c r="M94" s="478" t="s">
        <v>118</v>
      </c>
      <c r="N94" s="348" t="s">
        <v>119</v>
      </c>
      <c r="O94" s="349" t="s">
        <v>162</v>
      </c>
      <c r="P94" s="347" t="s">
        <v>163</v>
      </c>
      <c r="Q94" s="348" t="s">
        <v>164</v>
      </c>
      <c r="R94" s="349" t="s">
        <v>165</v>
      </c>
      <c r="S94" s="347" t="s">
        <v>166</v>
      </c>
      <c r="T94" s="347" t="s">
        <v>167</v>
      </c>
      <c r="U94" s="348" t="s">
        <v>168</v>
      </c>
      <c r="V94" s="349" t="s">
        <v>120</v>
      </c>
      <c r="W94" s="347" t="s">
        <v>121</v>
      </c>
      <c r="X94" s="348" t="s">
        <v>128</v>
      </c>
      <c r="Y94" s="349" t="s">
        <v>123</v>
      </c>
      <c r="Z94" s="347" t="s">
        <v>131</v>
      </c>
      <c r="AA94" s="351" t="s">
        <v>169</v>
      </c>
      <c r="AB94" s="350" t="s">
        <v>132</v>
      </c>
      <c r="AC94" s="625"/>
      <c r="AD94" s="627"/>
      <c r="AE94" s="618"/>
      <c r="AF94" s="2"/>
      <c r="AG94" s="2"/>
      <c r="AH94" s="2"/>
    </row>
    <row r="95" spans="1:43">
      <c r="A95" s="193" t="s">
        <v>133</v>
      </c>
      <c r="B95" s="338"/>
      <c r="C95" s="339"/>
      <c r="D95" s="339"/>
      <c r="E95" s="340"/>
      <c r="F95" s="339"/>
      <c r="G95" s="339"/>
      <c r="H95" s="339"/>
      <c r="I95" s="339"/>
      <c r="J95" s="339"/>
      <c r="K95" s="339"/>
      <c r="L95" s="340"/>
      <c r="M95" s="341"/>
      <c r="N95" s="341"/>
      <c r="O95" s="341"/>
      <c r="P95" s="341"/>
      <c r="Q95" s="341"/>
      <c r="R95" s="341"/>
      <c r="S95" s="341"/>
      <c r="T95" s="341"/>
      <c r="U95" s="341"/>
      <c r="V95" s="341"/>
      <c r="W95" s="341"/>
      <c r="X95" s="341"/>
      <c r="Y95" s="341"/>
      <c r="Z95" s="341"/>
      <c r="AA95" s="342"/>
      <c r="AB95" s="343"/>
      <c r="AC95" s="625"/>
      <c r="AD95" s="627"/>
      <c r="AE95" s="618"/>
      <c r="AO95" s="127" t="s">
        <v>134</v>
      </c>
      <c r="AQ95" s="127" t="s">
        <v>13</v>
      </c>
    </row>
    <row r="96" spans="1:43" ht="15.75" customHeight="1">
      <c r="A96" s="194" t="s">
        <v>135</v>
      </c>
      <c r="B96" s="352"/>
      <c r="C96" s="352"/>
      <c r="D96" s="352"/>
      <c r="E96" s="352"/>
      <c r="F96" s="352"/>
      <c r="G96" s="352"/>
      <c r="H96" s="352"/>
      <c r="I96" s="352"/>
      <c r="J96" s="352"/>
      <c r="K96" s="352"/>
      <c r="L96" s="352"/>
      <c r="M96" s="352"/>
      <c r="N96" s="352"/>
      <c r="O96" s="352"/>
      <c r="P96" s="352"/>
      <c r="Q96" s="352"/>
      <c r="R96" s="352"/>
      <c r="S96" s="352"/>
      <c r="T96" s="352"/>
      <c r="U96" s="352"/>
      <c r="V96" s="352"/>
      <c r="W96" s="352"/>
      <c r="X96" s="352"/>
      <c r="Y96" s="352"/>
      <c r="Z96" s="352"/>
      <c r="AA96" s="352"/>
      <c r="AB96" s="352"/>
      <c r="AC96" s="625"/>
      <c r="AD96" s="627"/>
      <c r="AE96" s="618"/>
      <c r="AO96" s="127" t="s">
        <v>137</v>
      </c>
      <c r="AQ96" s="127" t="s">
        <v>138</v>
      </c>
    </row>
    <row r="97" spans="1:43" ht="15" customHeight="1">
      <c r="A97" s="195" t="s">
        <v>139</v>
      </c>
      <c r="B97" s="352"/>
      <c r="C97" s="352"/>
      <c r="D97" s="352"/>
      <c r="E97" s="352"/>
      <c r="F97" s="352"/>
      <c r="G97" s="352"/>
      <c r="H97" s="352"/>
      <c r="I97" s="352"/>
      <c r="J97" s="352"/>
      <c r="K97" s="352"/>
      <c r="L97" s="352"/>
      <c r="M97" s="352"/>
      <c r="N97" s="352"/>
      <c r="O97" s="352"/>
      <c r="P97" s="352"/>
      <c r="Q97" s="352"/>
      <c r="R97" s="352"/>
      <c r="S97" s="352"/>
      <c r="T97" s="352"/>
      <c r="U97" s="352"/>
      <c r="V97" s="352"/>
      <c r="W97" s="352"/>
      <c r="X97" s="352"/>
      <c r="Y97" s="352"/>
      <c r="Z97" s="352"/>
      <c r="AA97" s="352"/>
      <c r="AB97" s="352"/>
      <c r="AC97" s="625"/>
      <c r="AD97" s="627"/>
      <c r="AE97" s="618"/>
      <c r="AO97" s="127" t="s">
        <v>140</v>
      </c>
      <c r="AQ97" s="127" t="s">
        <v>141</v>
      </c>
    </row>
    <row r="98" spans="1:43" ht="15.75" customHeight="1">
      <c r="A98" s="195" t="s">
        <v>142</v>
      </c>
      <c r="B98" s="352"/>
      <c r="C98" s="352"/>
      <c r="D98" s="352"/>
      <c r="E98" s="352"/>
      <c r="F98" s="352"/>
      <c r="G98" s="352"/>
      <c r="H98" s="352"/>
      <c r="I98" s="352"/>
      <c r="J98" s="352"/>
      <c r="K98" s="352"/>
      <c r="L98" s="352"/>
      <c r="M98" s="352"/>
      <c r="N98" s="352"/>
      <c r="O98" s="352"/>
      <c r="P98" s="352"/>
      <c r="Q98" s="352"/>
      <c r="R98" s="352"/>
      <c r="S98" s="352"/>
      <c r="T98" s="352"/>
      <c r="U98" s="352"/>
      <c r="V98" s="352"/>
      <c r="W98" s="352"/>
      <c r="X98" s="352"/>
      <c r="Y98" s="352"/>
      <c r="Z98" s="352"/>
      <c r="AA98" s="352"/>
      <c r="AB98" s="352"/>
      <c r="AC98" s="625"/>
      <c r="AD98" s="627"/>
      <c r="AE98" s="618"/>
      <c r="AO98" s="127" t="s">
        <v>143</v>
      </c>
      <c r="AQ98" s="127" t="s">
        <v>144</v>
      </c>
    </row>
    <row r="99" spans="1:43" ht="15.75" customHeight="1">
      <c r="A99" s="195" t="s">
        <v>145</v>
      </c>
      <c r="B99" s="352"/>
      <c r="C99" s="352"/>
      <c r="D99" s="352"/>
      <c r="E99" s="352"/>
      <c r="F99" s="352"/>
      <c r="G99" s="352"/>
      <c r="H99" s="352"/>
      <c r="I99" s="352"/>
      <c r="J99" s="352"/>
      <c r="K99" s="352"/>
      <c r="L99" s="352"/>
      <c r="M99" s="352"/>
      <c r="N99" s="352"/>
      <c r="O99" s="352"/>
      <c r="P99" s="352"/>
      <c r="Q99" s="352"/>
      <c r="R99" s="352"/>
      <c r="S99" s="352"/>
      <c r="T99" s="352"/>
      <c r="U99" s="352"/>
      <c r="V99" s="352"/>
      <c r="W99" s="352"/>
      <c r="X99" s="352"/>
      <c r="Y99" s="352"/>
      <c r="Z99" s="352"/>
      <c r="AA99" s="352"/>
      <c r="AB99" s="352"/>
      <c r="AC99" s="625"/>
      <c r="AD99" s="627"/>
      <c r="AE99" s="618"/>
    </row>
    <row r="100" spans="1:43">
      <c r="A100" s="195" t="s">
        <v>146</v>
      </c>
      <c r="B100" s="352"/>
      <c r="C100" s="352"/>
      <c r="D100" s="352"/>
      <c r="E100" s="352"/>
      <c r="F100" s="352"/>
      <c r="G100" s="352"/>
      <c r="H100" s="352"/>
      <c r="I100" s="352"/>
      <c r="J100" s="352"/>
      <c r="K100" s="352"/>
      <c r="L100" s="352"/>
      <c r="M100" s="353"/>
      <c r="N100" s="353"/>
      <c r="O100" s="353"/>
      <c r="P100" s="353"/>
      <c r="Q100" s="353"/>
      <c r="R100" s="353"/>
      <c r="S100" s="353"/>
      <c r="T100" s="353"/>
      <c r="U100" s="353"/>
      <c r="V100" s="353"/>
      <c r="W100" s="353"/>
      <c r="X100" s="353"/>
      <c r="Y100" s="353"/>
      <c r="Z100" s="353"/>
      <c r="AA100" s="353"/>
      <c r="AB100" s="353"/>
      <c r="AC100" s="625"/>
      <c r="AD100" s="627"/>
      <c r="AE100" s="618"/>
      <c r="AO100" s="127" t="s">
        <v>149</v>
      </c>
      <c r="AQ100" s="127" t="s">
        <v>150</v>
      </c>
    </row>
    <row r="101" spans="1:43" ht="15" customHeight="1">
      <c r="A101" s="598" t="s">
        <v>151</v>
      </c>
      <c r="B101" s="600"/>
      <c r="C101" s="601"/>
      <c r="D101" s="601"/>
      <c r="E101" s="601"/>
      <c r="F101" s="601"/>
      <c r="G101" s="601"/>
      <c r="H101" s="601"/>
      <c r="I101" s="601"/>
      <c r="J101" s="601"/>
      <c r="K101" s="601"/>
      <c r="L101" s="602"/>
      <c r="M101" s="364"/>
      <c r="N101" s="364"/>
      <c r="O101" s="364"/>
      <c r="P101" s="364"/>
      <c r="Q101" s="364"/>
      <c r="R101" s="364"/>
      <c r="S101" s="364"/>
      <c r="T101" s="592"/>
      <c r="U101" s="593"/>
      <c r="V101" s="593"/>
      <c r="W101" s="593"/>
      <c r="X101" s="593"/>
      <c r="Y101" s="593"/>
      <c r="Z101" s="594"/>
      <c r="AA101" s="593"/>
      <c r="AB101" s="594"/>
      <c r="AC101" s="625"/>
      <c r="AD101" s="627"/>
      <c r="AE101" s="618"/>
      <c r="AO101" s="127" t="s">
        <v>152</v>
      </c>
      <c r="AQ101" s="127" t="s">
        <v>153</v>
      </c>
    </row>
    <row r="102" spans="1:43">
      <c r="A102" s="599"/>
      <c r="B102" s="603"/>
      <c r="C102" s="604"/>
      <c r="D102" s="604"/>
      <c r="E102" s="604"/>
      <c r="F102" s="604"/>
      <c r="G102" s="604"/>
      <c r="H102" s="604"/>
      <c r="I102" s="604"/>
      <c r="J102" s="604"/>
      <c r="K102" s="604"/>
      <c r="L102" s="605"/>
      <c r="M102" s="364"/>
      <c r="N102" s="364"/>
      <c r="O102" s="364"/>
      <c r="P102" s="364"/>
      <c r="Q102" s="364"/>
      <c r="R102" s="364"/>
      <c r="S102" s="364"/>
      <c r="T102" s="595"/>
      <c r="U102" s="596"/>
      <c r="V102" s="596"/>
      <c r="W102" s="596"/>
      <c r="X102" s="596"/>
      <c r="Y102" s="596"/>
      <c r="Z102" s="597"/>
      <c r="AA102" s="596"/>
      <c r="AB102" s="597"/>
      <c r="AC102" s="628"/>
      <c r="AD102" s="627"/>
      <c r="AE102" s="618"/>
      <c r="AO102" s="127" t="s">
        <v>154</v>
      </c>
      <c r="AQ102" s="127" t="s">
        <v>155</v>
      </c>
    </row>
    <row r="103" spans="1:43" ht="18.75">
      <c r="A103" s="67" t="s">
        <v>105</v>
      </c>
      <c r="B103" s="365">
        <v>19</v>
      </c>
      <c r="C103" s="366">
        <v>16</v>
      </c>
      <c r="D103" s="504">
        <v>12.5</v>
      </c>
      <c r="E103" s="505">
        <v>10</v>
      </c>
      <c r="F103" s="482">
        <v>9</v>
      </c>
      <c r="G103" s="370">
        <v>8</v>
      </c>
      <c r="H103" s="365">
        <v>6.3</v>
      </c>
      <c r="I103" s="367">
        <v>5</v>
      </c>
      <c r="J103" s="370">
        <v>3.15</v>
      </c>
      <c r="K103" s="506">
        <v>0.5</v>
      </c>
      <c r="L103" s="507">
        <v>0.5</v>
      </c>
      <c r="M103" s="191">
        <v>19</v>
      </c>
      <c r="N103" s="192">
        <v>16</v>
      </c>
      <c r="O103" s="128">
        <v>14</v>
      </c>
      <c r="P103" s="191">
        <v>12.5</v>
      </c>
      <c r="Q103" s="128">
        <v>9</v>
      </c>
      <c r="R103" s="191">
        <v>8</v>
      </c>
      <c r="S103" s="129">
        <v>6.3</v>
      </c>
      <c r="T103" s="368">
        <v>19</v>
      </c>
      <c r="U103" s="369">
        <v>16</v>
      </c>
      <c r="V103" s="370">
        <v>14</v>
      </c>
      <c r="W103" s="368">
        <v>12.5</v>
      </c>
      <c r="X103" s="370">
        <v>9</v>
      </c>
      <c r="Y103" s="368">
        <v>8</v>
      </c>
      <c r="Z103" s="371">
        <v>6.3</v>
      </c>
      <c r="AA103" s="372">
        <v>6.3</v>
      </c>
      <c r="AB103" s="373">
        <v>10</v>
      </c>
      <c r="AC103" s="624"/>
      <c r="AD103" s="626"/>
      <c r="AE103" s="617"/>
      <c r="AF103" s="2"/>
      <c r="AG103" s="2"/>
      <c r="AH103" s="2"/>
    </row>
    <row r="104" spans="1:43" ht="18.75">
      <c r="A104" s="67" t="s">
        <v>106</v>
      </c>
      <c r="B104" s="344" t="s">
        <v>107</v>
      </c>
      <c r="C104" s="345" t="s">
        <v>108</v>
      </c>
      <c r="D104" s="480" t="s">
        <v>156</v>
      </c>
      <c r="E104" s="347" t="s">
        <v>110</v>
      </c>
      <c r="F104" s="508" t="s">
        <v>111</v>
      </c>
      <c r="G104" s="347" t="s">
        <v>112</v>
      </c>
      <c r="H104" s="481" t="s">
        <v>157</v>
      </c>
      <c r="I104" s="344" t="s">
        <v>158</v>
      </c>
      <c r="J104" s="349" t="s">
        <v>159</v>
      </c>
      <c r="K104" s="347" t="s">
        <v>160</v>
      </c>
      <c r="L104" s="346" t="s">
        <v>161</v>
      </c>
      <c r="M104" s="478" t="s">
        <v>118</v>
      </c>
      <c r="N104" s="348" t="s">
        <v>119</v>
      </c>
      <c r="O104" s="349" t="s">
        <v>162</v>
      </c>
      <c r="P104" s="347" t="s">
        <v>163</v>
      </c>
      <c r="Q104" s="348" t="s">
        <v>164</v>
      </c>
      <c r="R104" s="349" t="s">
        <v>165</v>
      </c>
      <c r="S104" s="347" t="s">
        <v>166</v>
      </c>
      <c r="T104" s="347" t="s">
        <v>167</v>
      </c>
      <c r="U104" s="348" t="s">
        <v>168</v>
      </c>
      <c r="V104" s="349" t="s">
        <v>120</v>
      </c>
      <c r="W104" s="347" t="s">
        <v>121</v>
      </c>
      <c r="X104" s="348" t="s">
        <v>128</v>
      </c>
      <c r="Y104" s="349" t="s">
        <v>123</v>
      </c>
      <c r="Z104" s="347" t="s">
        <v>131</v>
      </c>
      <c r="AA104" s="351" t="s">
        <v>169</v>
      </c>
      <c r="AB104" s="350" t="s">
        <v>132</v>
      </c>
      <c r="AC104" s="625"/>
      <c r="AD104" s="627"/>
      <c r="AE104" s="618"/>
      <c r="AF104" s="2"/>
      <c r="AG104" s="2"/>
      <c r="AH104" s="2"/>
    </row>
    <row r="105" spans="1:43">
      <c r="A105" s="193" t="s">
        <v>133</v>
      </c>
      <c r="B105" s="338"/>
      <c r="C105" s="339"/>
      <c r="D105" s="339"/>
      <c r="E105" s="340"/>
      <c r="F105" s="339"/>
      <c r="G105" s="339"/>
      <c r="H105" s="339"/>
      <c r="I105" s="339"/>
      <c r="J105" s="339"/>
      <c r="K105" s="339"/>
      <c r="L105" s="340"/>
      <c r="M105" s="341"/>
      <c r="N105" s="341"/>
      <c r="O105" s="341"/>
      <c r="P105" s="341"/>
      <c r="Q105" s="341"/>
      <c r="R105" s="341"/>
      <c r="S105" s="341"/>
      <c r="T105" s="341"/>
      <c r="U105" s="341"/>
      <c r="V105" s="341"/>
      <c r="W105" s="341"/>
      <c r="X105" s="341"/>
      <c r="Y105" s="341"/>
      <c r="Z105" s="341"/>
      <c r="AA105" s="342"/>
      <c r="AB105" s="343"/>
      <c r="AC105" s="625"/>
      <c r="AD105" s="627"/>
      <c r="AE105" s="618"/>
      <c r="AO105" s="127" t="s">
        <v>134</v>
      </c>
      <c r="AQ105" s="127" t="s">
        <v>13</v>
      </c>
    </row>
    <row r="106" spans="1:43" ht="15.75" customHeight="1">
      <c r="A106" s="194" t="s">
        <v>135</v>
      </c>
      <c r="B106" s="352"/>
      <c r="C106" s="352"/>
      <c r="D106" s="352"/>
      <c r="E106" s="352"/>
      <c r="F106" s="352"/>
      <c r="G106" s="352"/>
      <c r="H106" s="352"/>
      <c r="I106" s="352"/>
      <c r="J106" s="352"/>
      <c r="K106" s="352"/>
      <c r="L106" s="352"/>
      <c r="M106" s="352"/>
      <c r="N106" s="352"/>
      <c r="O106" s="352"/>
      <c r="P106" s="352"/>
      <c r="Q106" s="352"/>
      <c r="R106" s="352"/>
      <c r="S106" s="352"/>
      <c r="T106" s="352"/>
      <c r="U106" s="352"/>
      <c r="V106" s="352"/>
      <c r="W106" s="352"/>
      <c r="X106" s="352"/>
      <c r="Y106" s="352"/>
      <c r="Z106" s="352"/>
      <c r="AA106" s="352"/>
      <c r="AB106" s="352"/>
      <c r="AC106" s="625"/>
      <c r="AD106" s="627"/>
      <c r="AE106" s="618"/>
      <c r="AO106" s="127" t="s">
        <v>137</v>
      </c>
      <c r="AQ106" s="127" t="s">
        <v>138</v>
      </c>
    </row>
    <row r="107" spans="1:43" ht="15" customHeight="1">
      <c r="A107" s="195" t="s">
        <v>139</v>
      </c>
      <c r="B107" s="352"/>
      <c r="C107" s="352"/>
      <c r="D107" s="352"/>
      <c r="E107" s="352"/>
      <c r="F107" s="352"/>
      <c r="G107" s="352"/>
      <c r="H107" s="352"/>
      <c r="I107" s="352"/>
      <c r="J107" s="352"/>
      <c r="K107" s="352"/>
      <c r="L107" s="352"/>
      <c r="M107" s="352"/>
      <c r="N107" s="352"/>
      <c r="O107" s="352"/>
      <c r="P107" s="352"/>
      <c r="Q107" s="352"/>
      <c r="R107" s="352"/>
      <c r="S107" s="352"/>
      <c r="T107" s="352"/>
      <c r="U107" s="352"/>
      <c r="V107" s="352"/>
      <c r="W107" s="352"/>
      <c r="X107" s="352"/>
      <c r="Y107" s="352"/>
      <c r="Z107" s="352"/>
      <c r="AA107" s="352"/>
      <c r="AB107" s="352"/>
      <c r="AC107" s="625"/>
      <c r="AD107" s="627"/>
      <c r="AE107" s="618"/>
      <c r="AO107" s="127" t="s">
        <v>140</v>
      </c>
      <c r="AQ107" s="127" t="s">
        <v>141</v>
      </c>
    </row>
    <row r="108" spans="1:43" ht="15.75" customHeight="1">
      <c r="A108" s="195" t="s">
        <v>142</v>
      </c>
      <c r="B108" s="352"/>
      <c r="C108" s="352"/>
      <c r="D108" s="352"/>
      <c r="E108" s="352"/>
      <c r="F108" s="352"/>
      <c r="G108" s="352"/>
      <c r="H108" s="352"/>
      <c r="I108" s="352"/>
      <c r="J108" s="352"/>
      <c r="K108" s="352"/>
      <c r="L108" s="352"/>
      <c r="M108" s="352"/>
      <c r="N108" s="352"/>
      <c r="O108" s="352"/>
      <c r="P108" s="352"/>
      <c r="Q108" s="352"/>
      <c r="R108" s="352"/>
      <c r="S108" s="352"/>
      <c r="T108" s="352"/>
      <c r="U108" s="352"/>
      <c r="V108" s="352"/>
      <c r="W108" s="352"/>
      <c r="X108" s="352"/>
      <c r="Y108" s="352"/>
      <c r="Z108" s="352"/>
      <c r="AA108" s="352"/>
      <c r="AB108" s="352"/>
      <c r="AC108" s="625"/>
      <c r="AD108" s="627"/>
      <c r="AE108" s="618"/>
      <c r="AO108" s="127" t="s">
        <v>143</v>
      </c>
      <c r="AQ108" s="127" t="s">
        <v>144</v>
      </c>
    </row>
    <row r="109" spans="1:43" ht="15.75" customHeight="1">
      <c r="A109" s="195" t="s">
        <v>145</v>
      </c>
      <c r="B109" s="352"/>
      <c r="C109" s="352"/>
      <c r="D109" s="352"/>
      <c r="E109" s="352"/>
      <c r="F109" s="352"/>
      <c r="G109" s="352"/>
      <c r="H109" s="352"/>
      <c r="I109" s="352"/>
      <c r="J109" s="352"/>
      <c r="K109" s="352"/>
      <c r="L109" s="352"/>
      <c r="M109" s="352"/>
      <c r="N109" s="352"/>
      <c r="O109" s="352"/>
      <c r="P109" s="352"/>
      <c r="Q109" s="352"/>
      <c r="R109" s="352"/>
      <c r="S109" s="352"/>
      <c r="T109" s="352"/>
      <c r="U109" s="352"/>
      <c r="V109" s="352"/>
      <c r="W109" s="352"/>
      <c r="X109" s="352"/>
      <c r="Y109" s="352"/>
      <c r="Z109" s="352"/>
      <c r="AA109" s="352"/>
      <c r="AB109" s="352"/>
      <c r="AC109" s="625"/>
      <c r="AD109" s="627"/>
      <c r="AE109" s="618"/>
    </row>
    <row r="110" spans="1:43">
      <c r="A110" s="195" t="s">
        <v>146</v>
      </c>
      <c r="B110" s="352"/>
      <c r="C110" s="352"/>
      <c r="D110" s="352"/>
      <c r="E110" s="352"/>
      <c r="F110" s="352"/>
      <c r="G110" s="352"/>
      <c r="H110" s="352"/>
      <c r="I110" s="352"/>
      <c r="J110" s="352"/>
      <c r="K110" s="352"/>
      <c r="L110" s="352"/>
      <c r="M110" s="353"/>
      <c r="N110" s="353"/>
      <c r="O110" s="353"/>
      <c r="P110" s="353"/>
      <c r="Q110" s="353"/>
      <c r="R110" s="353"/>
      <c r="S110" s="353"/>
      <c r="T110" s="353"/>
      <c r="U110" s="353"/>
      <c r="V110" s="353"/>
      <c r="W110" s="353"/>
      <c r="X110" s="353"/>
      <c r="Y110" s="353"/>
      <c r="Z110" s="353"/>
      <c r="AA110" s="353"/>
      <c r="AB110" s="353"/>
      <c r="AC110" s="625"/>
      <c r="AD110" s="627"/>
      <c r="AE110" s="618"/>
      <c r="AO110" s="127" t="s">
        <v>149</v>
      </c>
      <c r="AQ110" s="127" t="s">
        <v>150</v>
      </c>
    </row>
    <row r="111" spans="1:43" ht="15" customHeight="1">
      <c r="A111" s="598" t="s">
        <v>151</v>
      </c>
      <c r="B111" s="600"/>
      <c r="C111" s="601"/>
      <c r="D111" s="601"/>
      <c r="E111" s="601"/>
      <c r="F111" s="601"/>
      <c r="G111" s="601"/>
      <c r="H111" s="601"/>
      <c r="I111" s="601"/>
      <c r="J111" s="601"/>
      <c r="K111" s="601"/>
      <c r="L111" s="602"/>
      <c r="M111" s="364"/>
      <c r="N111" s="364"/>
      <c r="O111" s="364"/>
      <c r="P111" s="364"/>
      <c r="Q111" s="364"/>
      <c r="R111" s="364"/>
      <c r="S111" s="364"/>
      <c r="T111" s="592"/>
      <c r="U111" s="593"/>
      <c r="V111" s="593"/>
      <c r="W111" s="593"/>
      <c r="X111" s="593"/>
      <c r="Y111" s="593"/>
      <c r="Z111" s="594"/>
      <c r="AA111" s="593"/>
      <c r="AB111" s="594"/>
      <c r="AC111" s="625"/>
      <c r="AD111" s="627"/>
      <c r="AE111" s="618"/>
      <c r="AO111" s="127" t="s">
        <v>152</v>
      </c>
      <c r="AQ111" s="127" t="s">
        <v>153</v>
      </c>
    </row>
    <row r="112" spans="1:43">
      <c r="A112" s="599"/>
      <c r="B112" s="603"/>
      <c r="C112" s="604"/>
      <c r="D112" s="604"/>
      <c r="E112" s="604"/>
      <c r="F112" s="604"/>
      <c r="G112" s="604"/>
      <c r="H112" s="604"/>
      <c r="I112" s="604"/>
      <c r="J112" s="604"/>
      <c r="K112" s="604"/>
      <c r="L112" s="605"/>
      <c r="M112" s="364"/>
      <c r="N112" s="364"/>
      <c r="O112" s="364"/>
      <c r="P112" s="364"/>
      <c r="Q112" s="364"/>
      <c r="R112" s="364"/>
      <c r="S112" s="364"/>
      <c r="T112" s="595"/>
      <c r="U112" s="596"/>
      <c r="V112" s="596"/>
      <c r="W112" s="596"/>
      <c r="X112" s="596"/>
      <c r="Y112" s="596"/>
      <c r="Z112" s="597"/>
      <c r="AA112" s="596"/>
      <c r="AB112" s="597"/>
      <c r="AC112" s="628"/>
      <c r="AD112" s="627"/>
      <c r="AE112" s="618"/>
      <c r="AO112" s="127" t="s">
        <v>154</v>
      </c>
      <c r="AQ112" s="127" t="s">
        <v>155</v>
      </c>
    </row>
    <row r="113" spans="1:43" ht="18.75">
      <c r="A113" s="67" t="s">
        <v>105</v>
      </c>
      <c r="B113" s="365">
        <v>19</v>
      </c>
      <c r="C113" s="366">
        <v>16</v>
      </c>
      <c r="D113" s="504">
        <v>12.5</v>
      </c>
      <c r="E113" s="505">
        <v>10</v>
      </c>
      <c r="F113" s="482">
        <v>9</v>
      </c>
      <c r="G113" s="370">
        <v>8</v>
      </c>
      <c r="H113" s="365">
        <v>6.3</v>
      </c>
      <c r="I113" s="367">
        <v>5</v>
      </c>
      <c r="J113" s="370">
        <v>3.15</v>
      </c>
      <c r="K113" s="506">
        <v>0.5</v>
      </c>
      <c r="L113" s="507">
        <v>0.5</v>
      </c>
      <c r="M113" s="191">
        <v>19</v>
      </c>
      <c r="N113" s="192">
        <v>16</v>
      </c>
      <c r="O113" s="128">
        <v>14</v>
      </c>
      <c r="P113" s="191">
        <v>12.5</v>
      </c>
      <c r="Q113" s="128">
        <v>9</v>
      </c>
      <c r="R113" s="191">
        <v>8</v>
      </c>
      <c r="S113" s="129">
        <v>6.3</v>
      </c>
      <c r="T113" s="368">
        <v>19</v>
      </c>
      <c r="U113" s="369">
        <v>16</v>
      </c>
      <c r="V113" s="370">
        <v>14</v>
      </c>
      <c r="W113" s="368">
        <v>12.5</v>
      </c>
      <c r="X113" s="370">
        <v>9</v>
      </c>
      <c r="Y113" s="368">
        <v>8</v>
      </c>
      <c r="Z113" s="371">
        <v>6.3</v>
      </c>
      <c r="AA113" s="372">
        <v>6.3</v>
      </c>
      <c r="AB113" s="373">
        <v>10</v>
      </c>
      <c r="AC113" s="624"/>
      <c r="AD113" s="626"/>
      <c r="AE113" s="617"/>
      <c r="AF113" s="2"/>
      <c r="AG113" s="2"/>
      <c r="AH113" s="2"/>
    </row>
    <row r="114" spans="1:43" ht="18.75">
      <c r="A114" s="67" t="s">
        <v>106</v>
      </c>
      <c r="B114" s="344" t="s">
        <v>107</v>
      </c>
      <c r="C114" s="345" t="s">
        <v>108</v>
      </c>
      <c r="D114" s="480" t="s">
        <v>156</v>
      </c>
      <c r="E114" s="347" t="s">
        <v>110</v>
      </c>
      <c r="F114" s="508" t="s">
        <v>111</v>
      </c>
      <c r="G114" s="347" t="s">
        <v>112</v>
      </c>
      <c r="H114" s="481" t="s">
        <v>157</v>
      </c>
      <c r="I114" s="344" t="s">
        <v>158</v>
      </c>
      <c r="J114" s="349" t="s">
        <v>159</v>
      </c>
      <c r="K114" s="347" t="s">
        <v>160</v>
      </c>
      <c r="L114" s="346" t="s">
        <v>161</v>
      </c>
      <c r="M114" s="478" t="s">
        <v>118</v>
      </c>
      <c r="N114" s="348" t="s">
        <v>119</v>
      </c>
      <c r="O114" s="349" t="s">
        <v>162</v>
      </c>
      <c r="P114" s="347" t="s">
        <v>163</v>
      </c>
      <c r="Q114" s="348" t="s">
        <v>164</v>
      </c>
      <c r="R114" s="349" t="s">
        <v>165</v>
      </c>
      <c r="S114" s="347" t="s">
        <v>166</v>
      </c>
      <c r="T114" s="347" t="s">
        <v>167</v>
      </c>
      <c r="U114" s="348" t="s">
        <v>168</v>
      </c>
      <c r="V114" s="349" t="s">
        <v>120</v>
      </c>
      <c r="W114" s="347" t="s">
        <v>121</v>
      </c>
      <c r="X114" s="348" t="s">
        <v>128</v>
      </c>
      <c r="Y114" s="349" t="s">
        <v>123</v>
      </c>
      <c r="Z114" s="347" t="s">
        <v>131</v>
      </c>
      <c r="AA114" s="351" t="s">
        <v>169</v>
      </c>
      <c r="AB114" s="350" t="s">
        <v>132</v>
      </c>
      <c r="AC114" s="625"/>
      <c r="AD114" s="627"/>
      <c r="AE114" s="618"/>
      <c r="AF114" s="2"/>
      <c r="AG114" s="2"/>
      <c r="AH114" s="2"/>
    </row>
    <row r="115" spans="1:43">
      <c r="A115" s="193" t="s">
        <v>133</v>
      </c>
      <c r="B115" s="338"/>
      <c r="C115" s="339"/>
      <c r="D115" s="339"/>
      <c r="E115" s="340"/>
      <c r="F115" s="339"/>
      <c r="G115" s="339"/>
      <c r="H115" s="339"/>
      <c r="I115" s="339"/>
      <c r="J115" s="339"/>
      <c r="K115" s="339"/>
      <c r="L115" s="340"/>
      <c r="M115" s="341"/>
      <c r="N115" s="341"/>
      <c r="O115" s="341"/>
      <c r="P115" s="341"/>
      <c r="Q115" s="341"/>
      <c r="R115" s="341"/>
      <c r="S115" s="341"/>
      <c r="T115" s="341"/>
      <c r="U115" s="341"/>
      <c r="V115" s="341"/>
      <c r="W115" s="341"/>
      <c r="X115" s="341"/>
      <c r="Y115" s="341"/>
      <c r="Z115" s="341"/>
      <c r="AA115" s="342"/>
      <c r="AB115" s="343"/>
      <c r="AC115" s="625"/>
      <c r="AD115" s="627"/>
      <c r="AE115" s="618"/>
      <c r="AO115" s="127" t="s">
        <v>134</v>
      </c>
      <c r="AQ115" s="127" t="s">
        <v>13</v>
      </c>
    </row>
    <row r="116" spans="1:43" ht="15.75" customHeight="1">
      <c r="A116" s="194" t="s">
        <v>135</v>
      </c>
      <c r="B116" s="352"/>
      <c r="C116" s="352"/>
      <c r="D116" s="352"/>
      <c r="E116" s="352"/>
      <c r="F116" s="352"/>
      <c r="G116" s="352"/>
      <c r="H116" s="352"/>
      <c r="I116" s="352"/>
      <c r="J116" s="352"/>
      <c r="K116" s="352"/>
      <c r="L116" s="352"/>
      <c r="M116" s="352"/>
      <c r="N116" s="352"/>
      <c r="O116" s="352"/>
      <c r="P116" s="352"/>
      <c r="Q116" s="352"/>
      <c r="R116" s="352"/>
      <c r="S116" s="352"/>
      <c r="T116" s="352"/>
      <c r="U116" s="352"/>
      <c r="V116" s="352"/>
      <c r="W116" s="352"/>
      <c r="X116" s="352"/>
      <c r="Y116" s="352"/>
      <c r="Z116" s="352"/>
      <c r="AA116" s="352"/>
      <c r="AB116" s="352"/>
      <c r="AC116" s="625"/>
      <c r="AD116" s="627"/>
      <c r="AE116" s="618"/>
      <c r="AO116" s="127" t="s">
        <v>137</v>
      </c>
      <c r="AQ116" s="127" t="s">
        <v>138</v>
      </c>
    </row>
    <row r="117" spans="1:43" ht="15" customHeight="1">
      <c r="A117" s="195" t="s">
        <v>139</v>
      </c>
      <c r="B117" s="352"/>
      <c r="C117" s="352"/>
      <c r="D117" s="352"/>
      <c r="E117" s="352"/>
      <c r="F117" s="352"/>
      <c r="G117" s="352"/>
      <c r="H117" s="352"/>
      <c r="I117" s="352"/>
      <c r="J117" s="352"/>
      <c r="K117" s="352"/>
      <c r="L117" s="352"/>
      <c r="M117" s="352"/>
      <c r="N117" s="352"/>
      <c r="O117" s="352"/>
      <c r="P117" s="352"/>
      <c r="Q117" s="352"/>
      <c r="R117" s="352"/>
      <c r="S117" s="352"/>
      <c r="T117" s="352"/>
      <c r="U117" s="352"/>
      <c r="V117" s="352"/>
      <c r="W117" s="352"/>
      <c r="X117" s="352"/>
      <c r="Y117" s="352"/>
      <c r="Z117" s="352"/>
      <c r="AA117" s="352"/>
      <c r="AB117" s="352"/>
      <c r="AC117" s="625"/>
      <c r="AD117" s="627"/>
      <c r="AE117" s="618"/>
      <c r="AO117" s="127" t="s">
        <v>140</v>
      </c>
      <c r="AQ117" s="127" t="s">
        <v>141</v>
      </c>
    </row>
    <row r="118" spans="1:43" ht="15.75" customHeight="1">
      <c r="A118" s="195" t="s">
        <v>142</v>
      </c>
      <c r="B118" s="352"/>
      <c r="C118" s="352"/>
      <c r="D118" s="352"/>
      <c r="E118" s="352"/>
      <c r="F118" s="352"/>
      <c r="G118" s="352"/>
      <c r="H118" s="352"/>
      <c r="I118" s="352"/>
      <c r="J118" s="352"/>
      <c r="K118" s="352"/>
      <c r="L118" s="352"/>
      <c r="M118" s="352"/>
      <c r="N118" s="352"/>
      <c r="O118" s="352"/>
      <c r="P118" s="352"/>
      <c r="Q118" s="352"/>
      <c r="R118" s="352"/>
      <c r="S118" s="352"/>
      <c r="T118" s="352"/>
      <c r="U118" s="352"/>
      <c r="V118" s="352"/>
      <c r="W118" s="352"/>
      <c r="X118" s="352"/>
      <c r="Y118" s="352"/>
      <c r="Z118" s="352"/>
      <c r="AA118" s="352"/>
      <c r="AB118" s="352"/>
      <c r="AC118" s="625"/>
      <c r="AD118" s="627"/>
      <c r="AE118" s="618"/>
      <c r="AO118" s="127" t="s">
        <v>143</v>
      </c>
      <c r="AQ118" s="127" t="s">
        <v>144</v>
      </c>
    </row>
    <row r="119" spans="1:43" ht="15.75" customHeight="1">
      <c r="A119" s="195" t="s">
        <v>145</v>
      </c>
      <c r="B119" s="352"/>
      <c r="C119" s="352"/>
      <c r="D119" s="352"/>
      <c r="E119" s="352"/>
      <c r="F119" s="352"/>
      <c r="G119" s="352"/>
      <c r="H119" s="352"/>
      <c r="I119" s="352"/>
      <c r="J119" s="352"/>
      <c r="K119" s="352"/>
      <c r="L119" s="352"/>
      <c r="M119" s="352"/>
      <c r="N119" s="352"/>
      <c r="O119" s="352"/>
      <c r="P119" s="352"/>
      <c r="Q119" s="352"/>
      <c r="R119" s="352"/>
      <c r="S119" s="352"/>
      <c r="T119" s="352"/>
      <c r="U119" s="352"/>
      <c r="V119" s="352"/>
      <c r="W119" s="352"/>
      <c r="X119" s="352"/>
      <c r="Y119" s="352"/>
      <c r="Z119" s="352"/>
      <c r="AA119" s="352"/>
      <c r="AB119" s="352"/>
      <c r="AC119" s="625"/>
      <c r="AD119" s="627"/>
      <c r="AE119" s="618"/>
    </row>
    <row r="120" spans="1:43">
      <c r="A120" s="195" t="s">
        <v>146</v>
      </c>
      <c r="B120" s="352"/>
      <c r="C120" s="352"/>
      <c r="D120" s="352"/>
      <c r="E120" s="352"/>
      <c r="F120" s="352"/>
      <c r="G120" s="352"/>
      <c r="H120" s="352"/>
      <c r="I120" s="352"/>
      <c r="J120" s="352"/>
      <c r="K120" s="352"/>
      <c r="L120" s="352"/>
      <c r="M120" s="353"/>
      <c r="N120" s="353"/>
      <c r="O120" s="353"/>
      <c r="P120" s="353"/>
      <c r="Q120" s="353"/>
      <c r="R120" s="353"/>
      <c r="S120" s="353"/>
      <c r="T120" s="353"/>
      <c r="U120" s="353"/>
      <c r="V120" s="353"/>
      <c r="W120" s="353"/>
      <c r="X120" s="353"/>
      <c r="Y120" s="353"/>
      <c r="Z120" s="353"/>
      <c r="AA120" s="353"/>
      <c r="AB120" s="353"/>
      <c r="AC120" s="625"/>
      <c r="AD120" s="627"/>
      <c r="AE120" s="618"/>
      <c r="AO120" s="127" t="s">
        <v>149</v>
      </c>
      <c r="AQ120" s="127" t="s">
        <v>150</v>
      </c>
    </row>
    <row r="121" spans="1:43" ht="15" customHeight="1">
      <c r="A121" s="598" t="s">
        <v>151</v>
      </c>
      <c r="B121" s="600"/>
      <c r="C121" s="601"/>
      <c r="D121" s="601"/>
      <c r="E121" s="601"/>
      <c r="F121" s="601"/>
      <c r="G121" s="601"/>
      <c r="H121" s="601"/>
      <c r="I121" s="601"/>
      <c r="J121" s="601"/>
      <c r="K121" s="601"/>
      <c r="L121" s="602"/>
      <c r="M121" s="364"/>
      <c r="N121" s="364"/>
      <c r="O121" s="364"/>
      <c r="P121" s="364"/>
      <c r="Q121" s="364"/>
      <c r="R121" s="364"/>
      <c r="S121" s="364"/>
      <c r="T121" s="592"/>
      <c r="U121" s="593"/>
      <c r="V121" s="593"/>
      <c r="W121" s="593"/>
      <c r="X121" s="593"/>
      <c r="Y121" s="593"/>
      <c r="Z121" s="594"/>
      <c r="AA121" s="593"/>
      <c r="AB121" s="594"/>
      <c r="AC121" s="625"/>
      <c r="AD121" s="627"/>
      <c r="AE121" s="618"/>
      <c r="AO121" s="127" t="s">
        <v>152</v>
      </c>
      <c r="AQ121" s="127" t="s">
        <v>153</v>
      </c>
    </row>
    <row r="122" spans="1:43">
      <c r="A122" s="599"/>
      <c r="B122" s="603"/>
      <c r="C122" s="604"/>
      <c r="D122" s="604"/>
      <c r="E122" s="604"/>
      <c r="F122" s="604"/>
      <c r="G122" s="604"/>
      <c r="H122" s="604"/>
      <c r="I122" s="604"/>
      <c r="J122" s="604"/>
      <c r="K122" s="604"/>
      <c r="L122" s="605"/>
      <c r="M122" s="364"/>
      <c r="N122" s="364"/>
      <c r="O122" s="364"/>
      <c r="P122" s="364"/>
      <c r="Q122" s="364"/>
      <c r="R122" s="364"/>
      <c r="S122" s="364"/>
      <c r="T122" s="595"/>
      <c r="U122" s="596"/>
      <c r="V122" s="596"/>
      <c r="W122" s="596"/>
      <c r="X122" s="596"/>
      <c r="Y122" s="596"/>
      <c r="Z122" s="597"/>
      <c r="AA122" s="596"/>
      <c r="AB122" s="597"/>
      <c r="AC122" s="628"/>
      <c r="AD122" s="627"/>
      <c r="AE122" s="618"/>
      <c r="AO122" s="127" t="s">
        <v>154</v>
      </c>
      <c r="AQ122" s="127" t="s">
        <v>155</v>
      </c>
    </row>
    <row r="123" spans="1:43" ht="18.75">
      <c r="A123" s="67" t="s">
        <v>105</v>
      </c>
      <c r="B123" s="365">
        <v>19</v>
      </c>
      <c r="C123" s="366">
        <v>16</v>
      </c>
      <c r="D123" s="504">
        <v>12.5</v>
      </c>
      <c r="E123" s="505">
        <v>10</v>
      </c>
      <c r="F123" s="482">
        <v>9</v>
      </c>
      <c r="G123" s="370">
        <v>8</v>
      </c>
      <c r="H123" s="365">
        <v>6.3</v>
      </c>
      <c r="I123" s="367">
        <v>5</v>
      </c>
      <c r="J123" s="370">
        <v>3.15</v>
      </c>
      <c r="K123" s="506">
        <v>0.5</v>
      </c>
      <c r="L123" s="507">
        <v>0.5</v>
      </c>
      <c r="M123" s="191">
        <v>19</v>
      </c>
      <c r="N123" s="192">
        <v>16</v>
      </c>
      <c r="O123" s="128">
        <v>14</v>
      </c>
      <c r="P123" s="191">
        <v>12.5</v>
      </c>
      <c r="Q123" s="128">
        <v>9</v>
      </c>
      <c r="R123" s="191">
        <v>8</v>
      </c>
      <c r="S123" s="129">
        <v>6.3</v>
      </c>
      <c r="T123" s="368">
        <v>19</v>
      </c>
      <c r="U123" s="369">
        <v>16</v>
      </c>
      <c r="V123" s="370">
        <v>14</v>
      </c>
      <c r="W123" s="368">
        <v>12.5</v>
      </c>
      <c r="X123" s="370">
        <v>9</v>
      </c>
      <c r="Y123" s="368">
        <v>8</v>
      </c>
      <c r="Z123" s="371">
        <v>6.3</v>
      </c>
      <c r="AA123" s="372">
        <v>6.3</v>
      </c>
      <c r="AB123" s="373">
        <v>10</v>
      </c>
      <c r="AC123" s="624"/>
      <c r="AD123" s="626"/>
      <c r="AE123" s="617"/>
      <c r="AF123" s="2"/>
      <c r="AG123" s="2"/>
      <c r="AH123" s="2"/>
    </row>
    <row r="124" spans="1:43" ht="18.75">
      <c r="A124" s="67" t="s">
        <v>106</v>
      </c>
      <c r="B124" s="344" t="s">
        <v>107</v>
      </c>
      <c r="C124" s="345" t="s">
        <v>108</v>
      </c>
      <c r="D124" s="480" t="s">
        <v>156</v>
      </c>
      <c r="E124" s="347" t="s">
        <v>110</v>
      </c>
      <c r="F124" s="508" t="s">
        <v>111</v>
      </c>
      <c r="G124" s="347" t="s">
        <v>112</v>
      </c>
      <c r="H124" s="481" t="s">
        <v>157</v>
      </c>
      <c r="I124" s="344" t="s">
        <v>158</v>
      </c>
      <c r="J124" s="349" t="s">
        <v>159</v>
      </c>
      <c r="K124" s="347" t="s">
        <v>160</v>
      </c>
      <c r="L124" s="346" t="s">
        <v>161</v>
      </c>
      <c r="M124" s="347"/>
      <c r="N124" s="348"/>
      <c r="O124" s="349"/>
      <c r="P124" s="347"/>
      <c r="Q124" s="348"/>
      <c r="R124" s="349"/>
      <c r="S124" s="347"/>
      <c r="T124" s="347"/>
      <c r="U124" s="348"/>
      <c r="V124" s="349"/>
      <c r="W124" s="347"/>
      <c r="X124" s="348"/>
      <c r="Y124" s="349"/>
      <c r="Z124" s="347"/>
      <c r="AA124" s="351"/>
      <c r="AB124" s="350"/>
      <c r="AC124" s="625"/>
      <c r="AD124" s="627"/>
      <c r="AE124" s="618"/>
      <c r="AF124" s="2"/>
      <c r="AG124" s="2"/>
      <c r="AH124" s="2"/>
    </row>
    <row r="125" spans="1:43">
      <c r="A125" s="193" t="s">
        <v>133</v>
      </c>
      <c r="B125" s="338"/>
      <c r="C125" s="339"/>
      <c r="D125" s="339"/>
      <c r="E125" s="340"/>
      <c r="F125" s="339"/>
      <c r="G125" s="339"/>
      <c r="H125" s="339"/>
      <c r="I125" s="339"/>
      <c r="J125" s="339"/>
      <c r="K125" s="339"/>
      <c r="L125" s="340"/>
      <c r="M125" s="341"/>
      <c r="N125" s="341"/>
      <c r="O125" s="341"/>
      <c r="P125" s="341"/>
      <c r="Q125" s="341"/>
      <c r="R125" s="341"/>
      <c r="S125" s="341"/>
      <c r="T125" s="341"/>
      <c r="U125" s="341"/>
      <c r="V125" s="341"/>
      <c r="W125" s="341"/>
      <c r="X125" s="341"/>
      <c r="Y125" s="341"/>
      <c r="Z125" s="341"/>
      <c r="AA125" s="342"/>
      <c r="AB125" s="343"/>
      <c r="AC125" s="625"/>
      <c r="AD125" s="627"/>
      <c r="AE125" s="618"/>
      <c r="AO125" s="127" t="s">
        <v>134</v>
      </c>
      <c r="AQ125" s="127" t="s">
        <v>13</v>
      </c>
    </row>
    <row r="126" spans="1:43" ht="15.75" customHeight="1">
      <c r="A126" s="194" t="s">
        <v>135</v>
      </c>
      <c r="B126" s="352"/>
      <c r="C126" s="352"/>
      <c r="D126" s="352"/>
      <c r="E126" s="352"/>
      <c r="F126" s="352"/>
      <c r="G126" s="352"/>
      <c r="H126" s="352"/>
      <c r="I126" s="352"/>
      <c r="J126" s="352"/>
      <c r="K126" s="352"/>
      <c r="L126" s="352"/>
      <c r="M126" s="352"/>
      <c r="N126" s="352"/>
      <c r="O126" s="352"/>
      <c r="P126" s="352"/>
      <c r="Q126" s="352"/>
      <c r="R126" s="352"/>
      <c r="S126" s="352"/>
      <c r="T126" s="352"/>
      <c r="U126" s="352"/>
      <c r="V126" s="352"/>
      <c r="W126" s="352"/>
      <c r="X126" s="352"/>
      <c r="Y126" s="352"/>
      <c r="Z126" s="352"/>
      <c r="AA126" s="352"/>
      <c r="AB126" s="352"/>
      <c r="AC126" s="625"/>
      <c r="AD126" s="627"/>
      <c r="AE126" s="618"/>
      <c r="AO126" s="127" t="s">
        <v>137</v>
      </c>
      <c r="AQ126" s="127" t="s">
        <v>138</v>
      </c>
    </row>
    <row r="127" spans="1:43" ht="15" customHeight="1">
      <c r="A127" s="195" t="s">
        <v>139</v>
      </c>
      <c r="B127" s="352"/>
      <c r="C127" s="352"/>
      <c r="D127" s="352"/>
      <c r="E127" s="352"/>
      <c r="F127" s="352"/>
      <c r="G127" s="352"/>
      <c r="H127" s="352"/>
      <c r="I127" s="352"/>
      <c r="J127" s="352"/>
      <c r="K127" s="352"/>
      <c r="L127" s="352"/>
      <c r="M127" s="352"/>
      <c r="N127" s="352"/>
      <c r="O127" s="352"/>
      <c r="P127" s="352"/>
      <c r="Q127" s="352"/>
      <c r="R127" s="352"/>
      <c r="S127" s="352"/>
      <c r="T127" s="352"/>
      <c r="U127" s="352"/>
      <c r="V127" s="352"/>
      <c r="W127" s="352"/>
      <c r="X127" s="352"/>
      <c r="Y127" s="352"/>
      <c r="Z127" s="352"/>
      <c r="AA127" s="352"/>
      <c r="AB127" s="352"/>
      <c r="AC127" s="625"/>
      <c r="AD127" s="627"/>
      <c r="AE127" s="618"/>
      <c r="AO127" s="127" t="s">
        <v>140</v>
      </c>
      <c r="AQ127" s="127" t="s">
        <v>141</v>
      </c>
    </row>
    <row r="128" spans="1:43" ht="15.75" customHeight="1">
      <c r="A128" s="195" t="s">
        <v>142</v>
      </c>
      <c r="B128" s="35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625"/>
      <c r="AD128" s="627"/>
      <c r="AE128" s="618"/>
      <c r="AO128" s="127" t="s">
        <v>143</v>
      </c>
      <c r="AQ128" s="127" t="s">
        <v>144</v>
      </c>
    </row>
    <row r="129" spans="1:43" ht="15.75" customHeight="1">
      <c r="A129" s="195" t="s">
        <v>145</v>
      </c>
      <c r="B129" s="352"/>
      <c r="C129" s="352"/>
      <c r="D129" s="352"/>
      <c r="E129" s="352"/>
      <c r="F129" s="352"/>
      <c r="G129" s="352"/>
      <c r="H129" s="352"/>
      <c r="I129" s="352"/>
      <c r="J129" s="352"/>
      <c r="K129" s="352"/>
      <c r="L129" s="352"/>
      <c r="M129" s="352"/>
      <c r="N129" s="352"/>
      <c r="O129" s="352"/>
      <c r="P129" s="352"/>
      <c r="Q129" s="352"/>
      <c r="R129" s="352"/>
      <c r="S129" s="352"/>
      <c r="T129" s="352"/>
      <c r="U129" s="352"/>
      <c r="V129" s="352"/>
      <c r="W129" s="352"/>
      <c r="X129" s="352"/>
      <c r="Y129" s="352"/>
      <c r="Z129" s="352"/>
      <c r="AA129" s="352"/>
      <c r="AB129" s="352"/>
      <c r="AC129" s="625"/>
      <c r="AD129" s="627"/>
      <c r="AE129" s="618"/>
    </row>
    <row r="130" spans="1:43">
      <c r="A130" s="195" t="s">
        <v>146</v>
      </c>
      <c r="B130" s="352"/>
      <c r="C130" s="352"/>
      <c r="D130" s="352"/>
      <c r="E130" s="352"/>
      <c r="F130" s="352"/>
      <c r="G130" s="352"/>
      <c r="H130" s="352"/>
      <c r="I130" s="352"/>
      <c r="J130" s="352"/>
      <c r="K130" s="352"/>
      <c r="L130" s="352"/>
      <c r="M130" s="353"/>
      <c r="N130" s="353"/>
      <c r="O130" s="353"/>
      <c r="P130" s="353"/>
      <c r="Q130" s="353"/>
      <c r="R130" s="353"/>
      <c r="S130" s="353"/>
      <c r="T130" s="353"/>
      <c r="U130" s="353"/>
      <c r="V130" s="353"/>
      <c r="W130" s="353"/>
      <c r="X130" s="353"/>
      <c r="Y130" s="353"/>
      <c r="Z130" s="353"/>
      <c r="AA130" s="353"/>
      <c r="AB130" s="353"/>
      <c r="AC130" s="625"/>
      <c r="AD130" s="627"/>
      <c r="AE130" s="618"/>
      <c r="AO130" s="127" t="s">
        <v>149</v>
      </c>
      <c r="AQ130" s="127" t="s">
        <v>150</v>
      </c>
    </row>
    <row r="131" spans="1:43" ht="15" customHeight="1">
      <c r="A131" s="598" t="s">
        <v>151</v>
      </c>
      <c r="B131" s="600"/>
      <c r="C131" s="601"/>
      <c r="D131" s="601"/>
      <c r="E131" s="601"/>
      <c r="F131" s="601"/>
      <c r="G131" s="601"/>
      <c r="H131" s="601"/>
      <c r="I131" s="601"/>
      <c r="J131" s="601"/>
      <c r="K131" s="601"/>
      <c r="L131" s="602"/>
      <c r="M131" s="364"/>
      <c r="N131" s="364"/>
      <c r="O131" s="364"/>
      <c r="P131" s="364"/>
      <c r="Q131" s="364"/>
      <c r="R131" s="364"/>
      <c r="S131" s="364"/>
      <c r="T131" s="592"/>
      <c r="U131" s="593"/>
      <c r="V131" s="593"/>
      <c r="W131" s="593"/>
      <c r="X131" s="593"/>
      <c r="Y131" s="593"/>
      <c r="Z131" s="594"/>
      <c r="AA131" s="593"/>
      <c r="AB131" s="594"/>
      <c r="AC131" s="625"/>
      <c r="AD131" s="627"/>
      <c r="AE131" s="618"/>
      <c r="AO131" s="127" t="s">
        <v>152</v>
      </c>
      <c r="AQ131" s="127" t="s">
        <v>153</v>
      </c>
    </row>
    <row r="132" spans="1:43">
      <c r="A132" s="599"/>
      <c r="B132" s="603"/>
      <c r="C132" s="604"/>
      <c r="D132" s="604"/>
      <c r="E132" s="604"/>
      <c r="F132" s="604"/>
      <c r="G132" s="604"/>
      <c r="H132" s="604"/>
      <c r="I132" s="604"/>
      <c r="J132" s="604"/>
      <c r="K132" s="604"/>
      <c r="L132" s="605"/>
      <c r="M132" s="364"/>
      <c r="N132" s="364"/>
      <c r="O132" s="364"/>
      <c r="P132" s="364"/>
      <c r="Q132" s="364"/>
      <c r="R132" s="364"/>
      <c r="S132" s="364"/>
      <c r="T132" s="595"/>
      <c r="U132" s="596"/>
      <c r="V132" s="596"/>
      <c r="W132" s="596"/>
      <c r="X132" s="596"/>
      <c r="Y132" s="596"/>
      <c r="Z132" s="597"/>
      <c r="AA132" s="596"/>
      <c r="AB132" s="597"/>
      <c r="AC132" s="625"/>
      <c r="AD132" s="627"/>
      <c r="AE132" s="618"/>
      <c r="AO132" s="127" t="s">
        <v>154</v>
      </c>
      <c r="AQ132" s="127" t="s">
        <v>155</v>
      </c>
    </row>
  </sheetData>
  <customSheetViews>
    <customSheetView guid="{CCCF8C80-0A30-4E00-90E2-6A0478F5DFB8}" scale="78" showGridLines="0" state="hidden">
      <pane ySplit="1" topLeftCell="A2" activePane="bottomLeft" state="frozen"/>
      <selection pane="bottomLeft" activeCell="A3" sqref="A3:G3"/>
      <pageMargins left="0" right="0" top="0" bottom="0" header="0" footer="0"/>
    </customSheetView>
    <customSheetView guid="{BB76541C-9734-4AE6-BF63-6D073F753C9C}" showGridLines="0">
      <pane ySplit="2" topLeftCell="A117" activePane="bottomLeft" state="frozen"/>
      <selection pane="bottomLeft" activeCell="O130" sqref="O130"/>
      <pageMargins left="0" right="0" top="0" bottom="0" header="0" footer="0"/>
      <pageSetup orientation="landscape" r:id="rId1"/>
    </customSheetView>
    <customSheetView guid="{B5E2B02B-7E99-408C-BB6F-FFF2280098B7}" showGridLines="0" state="hidden" topLeftCell="I1">
      <pane ySplit="1" topLeftCell="A3" activePane="bottomLeft" state="frozen"/>
      <selection pane="bottomLeft" activeCell="J10" sqref="J10"/>
      <pageMargins left="0" right="0" top="0" bottom="0" header="0" footer="0"/>
      <pageSetup orientation="landscape" r:id="rId2"/>
    </customSheetView>
    <customSheetView guid="{C2E74EDD-1B26-4C41-B9BB-CBF9BFB9023A}" showGridLines="0">
      <pane ySplit="2" topLeftCell="A60" activePane="bottomLeft" state="frozen"/>
      <selection pane="bottomLeft" activeCell="Y14" sqref="W14:AC22"/>
      <pageMargins left="0" right="0" top="0" bottom="0" header="0" footer="0"/>
      <pageSetup orientation="landscape" r:id="rId3"/>
    </customSheetView>
    <customSheetView guid="{350D256E-484A-493C-BEC1-E6E92C0ED1FB}" showGridLines="0" state="hidden">
      <pane ySplit="1" topLeftCell="A2" activePane="bottomLeft" state="frozen"/>
      <selection pane="bottomLeft" activeCell="A3" sqref="A3:G3"/>
      <pageMargins left="0" right="0" top="0" bottom="0" header="0" footer="0"/>
      <pageSetup orientation="landscape" r:id="rId4"/>
    </customSheetView>
    <customSheetView guid="{66B043C9-090A-44CE-8F78-F01A2E95C074}" showGridLines="0" topLeftCell="G1">
      <pane ySplit="2" topLeftCell="A3" activePane="bottomLeft" state="frozen"/>
      <selection pane="bottomLeft" activeCell="W14" sqref="W14"/>
      <pageMargins left="0" right="0" top="0" bottom="0" header="0" footer="0"/>
      <pageSetup orientation="landscape" r:id="rId5"/>
    </customSheetView>
    <customSheetView guid="{71E28378-5869-4383-8FDC-814E20362E22}" showGridLines="0" state="hidden" topLeftCell="I1">
      <pane ySplit="2" topLeftCell="A3" activePane="bottomLeft" state="frozen"/>
      <selection pane="bottomLeft" activeCell="A3" sqref="A3:G3"/>
      <pageMargins left="0" right="0" top="0" bottom="0" header="0" footer="0"/>
      <pageSetup orientation="landscape" r:id="rId6"/>
    </customSheetView>
    <customSheetView guid="{F714CF42-7A1C-4705-AE29-392CBBABC9F9}" showPageBreaks="1" showGridLines="0" state="hidden">
      <pane ySplit="1" topLeftCell="A2" activePane="bottomLeft" state="frozen"/>
      <selection pane="bottomLeft" activeCell="A3" sqref="A3:G3"/>
      <pageMargins left="0" right="0" top="0" bottom="0" header="0" footer="0"/>
      <pageSetup orientation="landscape" r:id="rId7"/>
    </customSheetView>
    <customSheetView guid="{38FBFED3-58FC-4347-B294-953F7A53DE3D}" showGridLines="0">
      <pane ySplit="2" topLeftCell="A3" activePane="bottomLeft" state="frozen"/>
      <selection pane="bottomLeft" activeCell="AS38" sqref="AS38"/>
      <pageMargins left="0" right="0" top="0" bottom="0" header="0" footer="0"/>
      <pageSetup orientation="landscape" r:id="rId8"/>
    </customSheetView>
    <customSheetView guid="{693A9131-2702-4FE7-A7C7-E6EDDD138512}" showGridLines="0" state="hidden" topLeftCell="L1">
      <pane ySplit="1" topLeftCell="A131" activePane="bottomLeft" state="frozen"/>
      <selection pane="bottomLeft" activeCell="J146" sqref="J146:L146"/>
      <pageMargins left="0" right="0" top="0" bottom="0" header="0" footer="0"/>
      <pageSetup orientation="landscape" r:id="rId9"/>
    </customSheetView>
    <customSheetView guid="{4748EC4C-81D5-43D5-94BD-A5B223346BCF}" showGridLines="0" state="hidden">
      <pane ySplit="2" topLeftCell="A3" activePane="bottomLeft" state="frozen"/>
      <selection pane="bottomLeft" activeCell="A3" sqref="A3:G3"/>
      <pageMargins left="0" right="0" top="0" bottom="0" header="0" footer="0"/>
      <pageSetup orientation="landscape" r:id="rId10"/>
    </customSheetView>
    <customSheetView guid="{CBDC2B44-0B12-42F6-8A83-327620A020F0}" showGridLines="0" hiddenColumns="1" state="hidden">
      <pane ySplit="2" topLeftCell="A3" activePane="bottomLeft" state="frozen"/>
      <selection pane="bottomLeft" activeCell="A3" sqref="A3:G3"/>
      <pageMargins left="0" right="0" top="0" bottom="0" header="0" footer="0"/>
      <pageSetup orientation="landscape" r:id="rId11"/>
    </customSheetView>
    <customSheetView guid="{713A1DD7-FA1F-4623-B0E6-A04686290522}" showGridLines="0">
      <pane ySplit="2" topLeftCell="A3" activePane="bottomLeft" state="frozen"/>
      <selection pane="bottomLeft" activeCell="W65" sqref="W65:W68"/>
      <pageMargins left="0" right="0" top="0" bottom="0" header="0" footer="0"/>
      <pageSetup orientation="landscape" r:id="rId12"/>
    </customSheetView>
    <customSheetView guid="{70843BDF-D655-4848-BCD4-BDFD277BBD35}" showGridLines="0">
      <pane ySplit="2" topLeftCell="A9" activePane="bottomLeft" state="frozen"/>
      <selection pane="bottomLeft" activeCell="AD41" sqref="AD41:AD42"/>
      <pageMargins left="0" right="0" top="0" bottom="0" header="0" footer="0"/>
      <pageSetup orientation="landscape" r:id="rId13"/>
    </customSheetView>
    <customSheetView guid="{8C81953D-A26D-4ACF-9D7D-729107B858BE}" showGridLines="0" state="hidden">
      <pane ySplit="2" topLeftCell="A75" activePane="bottomLeft" state="frozen"/>
      <selection pane="bottomLeft" activeCell="V162" sqref="V162"/>
      <pageMargins left="0" right="0" top="0" bottom="0" header="0" footer="0"/>
      <pageSetup orientation="landscape" r:id="rId14"/>
    </customSheetView>
    <customSheetView guid="{F237F3C3-0F47-464A-8293-D057DA35FD3F}" showGridLines="0">
      <pane ySplit="2" topLeftCell="A3" activePane="bottomLeft" state="frozen"/>
      <selection pane="bottomLeft" activeCell="P113" sqref="P113:V114"/>
      <pageMargins left="0" right="0" top="0" bottom="0" header="0" footer="0"/>
      <pageSetup orientation="landscape" r:id="rId15"/>
    </customSheetView>
    <customSheetView guid="{5867E70C-6837-4B3A-9747-480F77CCE139}" showGridLines="0">
      <pane ySplit="2" topLeftCell="A3" activePane="bottomLeft" state="frozen"/>
      <selection pane="bottomLeft" activeCell="A3" sqref="A3:G3"/>
      <pageMargins left="0" right="0" top="0" bottom="0" header="0" footer="0"/>
      <pageSetup orientation="landscape" r:id="rId16"/>
    </customSheetView>
    <customSheetView guid="{59F2B60C-C5F9-44B8-BC83-94BE106F57C3}" showGridLines="0">
      <pane ySplit="2" topLeftCell="A42" activePane="bottomLeft" state="frozen"/>
      <selection pane="bottomLeft" activeCell="S59" sqref="S59"/>
      <pageMargins left="0" right="0" top="0" bottom="0" header="0" footer="0"/>
      <pageSetup orientation="landscape" r:id="rId17"/>
    </customSheetView>
    <customSheetView guid="{0C0476DE-F4E6-4ADB-B504-A8D8F3A78376}" showGridLines="0">
      <pane ySplit="2" topLeftCell="A78" activePane="bottomLeft" state="frozen"/>
      <selection pane="bottomLeft" activeCell="U128" sqref="U128"/>
      <pageMargins left="0" right="0" top="0" bottom="0" header="0" footer="0"/>
      <pageSetup orientation="landscape" r:id="rId18"/>
    </customSheetView>
    <customSheetView guid="{AAFEB45B-EC48-4A57-9442-3F536E68E653}" showGridLines="0" topLeftCell="I1">
      <pane ySplit="2" topLeftCell="A54" activePane="bottomLeft" state="frozen"/>
      <selection pane="bottomLeft" activeCell="AE3" sqref="AE3:AF167"/>
      <pageMargins left="0" right="0" top="0" bottom="0" header="0" footer="0"/>
      <pageSetup orientation="landscape" r:id="rId19"/>
    </customSheetView>
    <customSheetView guid="{18148FBC-4DDD-4025-B982-F009E34B76B6}" showGridLines="0" hiddenColumns="1">
      <pane ySplit="2" topLeftCell="A90" activePane="bottomLeft" state="frozen"/>
      <selection pane="bottomLeft" activeCell="AG129" sqref="AG129:AG136"/>
      <pageMargins left="0" right="0" top="0" bottom="0" header="0" footer="0"/>
      <pageSetup orientation="landscape" r:id="rId20"/>
    </customSheetView>
    <customSheetView guid="{45058AEB-0A55-4288-B2D5-D3D1B02DD62F}" showGridLines="0" state="hidden" topLeftCell="K1">
      <pane ySplit="2" topLeftCell="A3" activePane="bottomLeft" state="frozen"/>
      <selection pane="bottomLeft" activeCell="A3" sqref="A3:G3"/>
      <pageMargins left="0" right="0" top="0" bottom="0" header="0" footer="0"/>
      <pageSetup orientation="landscape" r:id="rId21"/>
    </customSheetView>
    <customSheetView guid="{0121BC5C-2AA6-4F6C-871B-F5CDF1633F72}" showGridLines="0" hiddenColumns="1">
      <pane ySplit="2" topLeftCell="A96" activePane="bottomLeft" state="frozen"/>
      <selection pane="bottomLeft" activeCell="AA107" sqref="AA107"/>
      <pageMargins left="0" right="0" top="0" bottom="0" header="0" footer="0"/>
      <pageSetup orientation="landscape" r:id="rId22"/>
    </customSheetView>
    <customSheetView guid="{83581ACB-5281-4BE1-9AE2-7BAA59D29A86}" showGridLines="0">
      <pane ySplit="2" topLeftCell="A3" activePane="bottomLeft" state="frozen"/>
      <selection pane="bottomLeft" activeCell="H26" sqref="H26"/>
      <pageMargins left="0" right="0" top="0" bottom="0" header="0" footer="0"/>
      <pageSetup orientation="landscape" r:id="rId23"/>
    </customSheetView>
    <customSheetView guid="{C4E0EA46-0B96-4EC7-979B-F7138E3B8454}" showGridLines="0">
      <pane ySplit="2" topLeftCell="A78" activePane="bottomLeft" state="frozen"/>
      <selection pane="bottomLeft" activeCell="B99" sqref="B99:V99"/>
      <pageMargins left="0" right="0" top="0" bottom="0" header="0" footer="0"/>
      <pageSetup orientation="landscape" r:id="rId24"/>
    </customSheetView>
    <customSheetView guid="{3D410819-5520-4C0F-958E-9FC09D4B42DD}" showGridLines="0" hiddenColumns="1">
      <pane ySplit="2" topLeftCell="A18" activePane="bottomLeft" state="frozen"/>
      <selection pane="bottomLeft" activeCell="A3" sqref="A3:G3"/>
      <pageMargins left="0" right="0" top="0" bottom="0" header="0" footer="0"/>
      <pageSetup orientation="landscape" r:id="rId25"/>
    </customSheetView>
    <customSheetView guid="{16402340-B3EF-461B-8AF9-D2FFE7E6BD1B}" showGridLines="0" hiddenColumns="1" state="hidden">
      <pane ySplit="2" topLeftCell="A3" activePane="bottomLeft" state="frozen"/>
      <selection pane="bottomLeft" activeCell="A3" sqref="A3:G3"/>
      <pageMargins left="0" right="0" top="0" bottom="0" header="0" footer="0"/>
      <pageSetup orientation="landscape" r:id="rId26"/>
    </customSheetView>
    <customSheetView guid="{EA7DCB4E-60E8-4E16-A16D-6D297CA2C1EC}" scale="90" showGridLines="0" state="hidden">
      <pane ySplit="2" topLeftCell="A3" activePane="bottomLeft" state="frozen"/>
      <selection pane="bottomLeft" activeCell="A3" sqref="A3:G3"/>
      <pageMargins left="0" right="0" top="0" bottom="0" header="0" footer="0"/>
      <pageSetup orientation="landscape" r:id="rId27"/>
    </customSheetView>
    <customSheetView guid="{CB25E97E-E1F7-40D2-96CC-9C5F1ECB4FCD}" showGridLines="0">
      <pane ySplit="2" topLeftCell="A21" activePane="bottomLeft" state="frozen"/>
      <selection pane="bottomLeft" activeCell="A3" sqref="A3:G3"/>
      <pageMargins left="0" right="0" top="0" bottom="0" header="0" footer="0"/>
      <pageSetup orientation="landscape" r:id="rId28"/>
    </customSheetView>
    <customSheetView guid="{99844124-CC26-41CC-BF01-C430840B6A11}" scale="75" showGridLines="0" state="hidden">
      <pane ySplit="2" topLeftCell="A39" activePane="bottomLeft" state="frozen"/>
      <selection pane="bottomLeft" activeCell="A3" sqref="A3:G3"/>
      <pageMargins left="0" right="0" top="0" bottom="0" header="0" footer="0"/>
      <pageSetup orientation="landscape" r:id="rId29"/>
    </customSheetView>
    <customSheetView guid="{57A1ECFE-977E-4E0D-86F8-5E397B58E2E7}" showGridLines="0">
      <pane ySplit="2" topLeftCell="A90" activePane="bottomLeft" state="frozen"/>
      <selection pane="bottomLeft" activeCell="A97" sqref="A97"/>
      <pageMargins left="0" right="0" top="0" bottom="0" header="0" footer="0"/>
      <pageSetup orientation="landscape" r:id="rId30"/>
    </customSheetView>
    <customSheetView guid="{4928B0BF-3605-4228-B5EA-B9EFCB2DA176}" showGridLines="0" state="hidden" topLeftCell="D1">
      <pane ySplit="2" topLeftCell="A87" activePane="bottomLeft" state="frozen"/>
      <selection pane="bottomLeft" activeCell="A3" sqref="A3:G3"/>
      <pageMargins left="0" right="0" top="0" bottom="0" header="0" footer="0"/>
      <pageSetup orientation="landscape" r:id="rId31"/>
    </customSheetView>
    <customSheetView guid="{3BD3E38B-E288-4CCF-9EE9-3A5263D49C28}" showGridLines="0">
      <pane ySplit="1" topLeftCell="A3" activePane="bottomLeft" state="frozen"/>
      <selection pane="bottomLeft" activeCell="A3" sqref="A3:G3"/>
      <pageMargins left="0" right="0" top="0" bottom="0" header="0" footer="0"/>
      <pageSetup orientation="landscape" r:id="rId32"/>
    </customSheetView>
    <customSheetView guid="{C77CCEB6-690D-489F-B3AF-2BAA99B10E03}" showGridLines="0" state="hidden" topLeftCell="O1">
      <pane ySplit="2" topLeftCell="A36" activePane="bottomLeft" state="frozen"/>
      <selection pane="bottomLeft" activeCell="AJ69" sqref="AJ69"/>
      <pageMargins left="0" right="0" top="0" bottom="0" header="0" footer="0"/>
      <pageSetup orientation="landscape" r:id="rId33"/>
    </customSheetView>
    <customSheetView guid="{DEFA81B0-B3DE-4E04-AE8D-48B1B85AD3F3}" showGridLines="0">
      <pane ySplit="2" topLeftCell="A93" activePane="bottomLeft" state="frozen"/>
      <selection pane="bottomLeft" activeCell="K112" sqref="K112"/>
      <pageMargins left="0" right="0" top="0" bottom="0" header="0" footer="0"/>
      <pageSetup orientation="landscape" r:id="rId34"/>
    </customSheetView>
    <customSheetView guid="{59668F56-2642-434E-822C-BDA8586DAA1D}" showGridLines="0">
      <pane ySplit="2" topLeftCell="A3" activePane="bottomLeft" state="frozen"/>
      <selection pane="bottomLeft" activeCell="A3" sqref="A3:G3"/>
      <pageMargins left="0" right="0" top="0" bottom="0" header="0" footer="0"/>
      <pageSetup orientation="landscape" r:id="rId35"/>
    </customSheetView>
    <customSheetView guid="{A9DC904F-863E-4EE0-A626-0795983927A7}" showGridLines="0" state="hidden">
      <pane ySplit="2" topLeftCell="A3" activePane="bottomLeft" state="frozen"/>
      <selection pane="bottomLeft" activeCell="A3" sqref="A3:G3"/>
      <pageMargins left="0" right="0" top="0" bottom="0" header="0" footer="0"/>
      <pageSetup orientation="landscape" r:id="rId36"/>
    </customSheetView>
    <customSheetView guid="{E8ADB739-37E9-4E75-B31D-C7B374D790E1}" showGridLines="0" hiddenColumns="1" topLeftCell="I1">
      <pane ySplit="2" topLeftCell="A3" activePane="bottomLeft" state="frozen"/>
      <selection pane="bottomLeft" activeCell="AE23" sqref="AE23"/>
      <pageMargins left="0" right="0" top="0" bottom="0" header="0" footer="0"/>
      <pageSetup orientation="landscape" r:id="rId37"/>
    </customSheetView>
    <customSheetView guid="{875BCD04-10B9-4BB6-BBE5-9B2301DD2EC9}" showGridLines="0" state="hidden">
      <pane ySplit="2" topLeftCell="A120" activePane="bottomLeft" state="frozen"/>
      <selection pane="bottomLeft" activeCell="P122" sqref="P122:V124"/>
      <pageMargins left="0" right="0" top="0" bottom="0" header="0" footer="0"/>
      <pageSetup orientation="landscape" r:id="rId38"/>
    </customSheetView>
    <customSheetView guid="{681A0256-766F-4C32-B8C6-D64468E2450A}" scale="78" showGridLines="0" state="hidden">
      <pane ySplit="2" topLeftCell="A3" activePane="bottomLeft" state="frozen"/>
      <selection pane="bottomLeft" activeCell="A3" sqref="A3:G3"/>
      <pageMargins left="0" right="0" top="0" bottom="0" header="0" footer="0"/>
    </customSheetView>
  </customSheetViews>
  <mergeCells count="90">
    <mergeCell ref="AE103:AE112"/>
    <mergeCell ref="T111:Z112"/>
    <mergeCell ref="AA111:AB112"/>
    <mergeCell ref="AE113:AE122"/>
    <mergeCell ref="T121:Z122"/>
    <mergeCell ref="AA121:AB122"/>
    <mergeCell ref="AC113:AC122"/>
    <mergeCell ref="AD113:AD122"/>
    <mergeCell ref="AC103:AC112"/>
    <mergeCell ref="AD103:AD112"/>
    <mergeCell ref="AC123:AC132"/>
    <mergeCell ref="AD123:AD132"/>
    <mergeCell ref="AE123:AE132"/>
    <mergeCell ref="T131:Z132"/>
    <mergeCell ref="AA131:AB132"/>
    <mergeCell ref="AC93:AC102"/>
    <mergeCell ref="AD93:AD102"/>
    <mergeCell ref="AC53:AC62"/>
    <mergeCell ref="AD53:AD62"/>
    <mergeCell ref="AE53:AE62"/>
    <mergeCell ref="AE93:AE102"/>
    <mergeCell ref="AC63:AC72"/>
    <mergeCell ref="AD63:AD72"/>
    <mergeCell ref="AE63:AE72"/>
    <mergeCell ref="AC73:AC82"/>
    <mergeCell ref="AD73:AD82"/>
    <mergeCell ref="AE73:AE82"/>
    <mergeCell ref="AC83:AC92"/>
    <mergeCell ref="AD83:AD92"/>
    <mergeCell ref="AE83:AE92"/>
    <mergeCell ref="AC43:AC52"/>
    <mergeCell ref="AD43:AD52"/>
    <mergeCell ref="AE43:AE52"/>
    <mergeCell ref="T51:Z52"/>
    <mergeCell ref="AA51:AB52"/>
    <mergeCell ref="AC33:AC42"/>
    <mergeCell ref="AD33:AD42"/>
    <mergeCell ref="AE33:AE42"/>
    <mergeCell ref="T41:Z42"/>
    <mergeCell ref="AA41:AB42"/>
    <mergeCell ref="AC23:AC32"/>
    <mergeCell ref="AD23:AD32"/>
    <mergeCell ref="AE23:AE32"/>
    <mergeCell ref="T31:Z32"/>
    <mergeCell ref="AA31:AB32"/>
    <mergeCell ref="A1:AE1"/>
    <mergeCell ref="B2:L2"/>
    <mergeCell ref="A21:A22"/>
    <mergeCell ref="A11:A12"/>
    <mergeCell ref="AE3:AE12"/>
    <mergeCell ref="AA2:AB2"/>
    <mergeCell ref="T2:Z2"/>
    <mergeCell ref="M2:S2"/>
    <mergeCell ref="AC3:AC12"/>
    <mergeCell ref="AD3:AD12"/>
    <mergeCell ref="B11:L12"/>
    <mergeCell ref="T11:Z12"/>
    <mergeCell ref="AA11:AB12"/>
    <mergeCell ref="A31:A32"/>
    <mergeCell ref="A61:A62"/>
    <mergeCell ref="B111:L112"/>
    <mergeCell ref="A71:A72"/>
    <mergeCell ref="A81:A82"/>
    <mergeCell ref="A51:A52"/>
    <mergeCell ref="A91:A92"/>
    <mergeCell ref="A41:A42"/>
    <mergeCell ref="B31:L32"/>
    <mergeCell ref="B41:L42"/>
    <mergeCell ref="B61:L62"/>
    <mergeCell ref="B51:L52"/>
    <mergeCell ref="B71:L72"/>
    <mergeCell ref="B81:L82"/>
    <mergeCell ref="B91:L92"/>
    <mergeCell ref="A101:A102"/>
    <mergeCell ref="T71:Z72"/>
    <mergeCell ref="AA71:AB72"/>
    <mergeCell ref="T61:Z62"/>
    <mergeCell ref="AA61:AB62"/>
    <mergeCell ref="A131:A132"/>
    <mergeCell ref="A111:A112"/>
    <mergeCell ref="A121:A122"/>
    <mergeCell ref="B131:L132"/>
    <mergeCell ref="B121:L122"/>
    <mergeCell ref="T81:Z82"/>
    <mergeCell ref="AA81:AB82"/>
    <mergeCell ref="T91:Z92"/>
    <mergeCell ref="AA91:AB92"/>
    <mergeCell ref="B101:L102"/>
    <mergeCell ref="T101:Z102"/>
    <mergeCell ref="AA101:AB102"/>
  </mergeCells>
  <pageMargins left="0.78740157499999996" right="0.78740157499999996" top="0.984251969" bottom="0.984251969" header="0.4921259845" footer="0.4921259845"/>
  <pageSetup paperSize="9" fitToHeight="0" orientation="landscape" r:id="rId39"/>
  <drawing r:id="rId4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
  <dimension ref="A1:Z31"/>
  <sheetViews>
    <sheetView showGridLines="0" zoomScaleNormal="100" workbookViewId="0">
      <pane ySplit="5" topLeftCell="A6" activePane="bottomLeft" state="frozen"/>
      <selection pane="bottomLeft" activeCell="Q1" sqref="Q1"/>
      <selection activeCell="B1" sqref="B1"/>
    </sheetView>
  </sheetViews>
  <sheetFormatPr defaultColWidth="9.140625" defaultRowHeight="15" customHeight="1"/>
  <cols>
    <col min="1" max="1" width="2.28515625" customWidth="1"/>
    <col min="2" max="2" width="15.7109375" customWidth="1"/>
    <col min="3" max="4" width="12.7109375" customWidth="1"/>
    <col min="5" max="7" width="15.140625" customWidth="1"/>
    <col min="8" max="8" width="17.28515625" customWidth="1"/>
    <col min="9" max="10" width="12.7109375" customWidth="1"/>
    <col min="11" max="11" width="15.140625" customWidth="1"/>
    <col min="12" max="12" width="10.85546875" hidden="1" customWidth="1"/>
    <col min="13" max="13" width="12.7109375" hidden="1" customWidth="1"/>
    <col min="14" max="14" width="12.7109375" customWidth="1"/>
    <col min="15" max="16" width="15" bestFit="1" customWidth="1"/>
    <col min="17" max="18" width="12.7109375" customWidth="1"/>
    <col min="19" max="19" width="15" hidden="1" customWidth="1"/>
    <col min="20" max="21" width="12.7109375" customWidth="1"/>
    <col min="22" max="22" width="15.140625" bestFit="1" customWidth="1"/>
    <col min="23" max="23" width="24" customWidth="1"/>
    <col min="16383" max="16383" width="9.140625" bestFit="1" customWidth="1"/>
  </cols>
  <sheetData>
    <row r="1" spans="1:26" ht="51.95" customHeight="1">
      <c r="A1" s="66"/>
      <c r="B1" s="724" t="s">
        <v>175</v>
      </c>
      <c r="C1" s="725"/>
      <c r="D1" s="725"/>
      <c r="E1" s="725"/>
      <c r="F1" s="725"/>
      <c r="G1" s="725"/>
      <c r="H1" s="725"/>
      <c r="I1" s="725"/>
      <c r="J1" s="725"/>
      <c r="K1" s="725"/>
      <c r="L1" s="725"/>
      <c r="M1" s="725"/>
      <c r="N1" s="725"/>
      <c r="O1" s="725"/>
      <c r="P1" s="725"/>
      <c r="Q1" s="725"/>
      <c r="R1" s="725"/>
      <c r="S1" s="725"/>
      <c r="T1" s="725"/>
      <c r="U1" s="725"/>
      <c r="V1" s="725"/>
      <c r="W1" s="725"/>
      <c r="X1" s="725"/>
      <c r="Y1" s="111"/>
      <c r="Z1" s="111"/>
    </row>
    <row r="2" spans="1:26" ht="29.1" customHeight="1">
      <c r="A2" s="66"/>
      <c r="B2" s="735" t="s">
        <v>176</v>
      </c>
      <c r="C2" s="736"/>
      <c r="D2" s="736"/>
      <c r="E2" s="736"/>
      <c r="F2" s="736"/>
      <c r="G2" s="736"/>
      <c r="H2" s="736"/>
      <c r="I2" s="736"/>
      <c r="J2" s="736"/>
      <c r="K2" s="736"/>
      <c r="L2" s="736"/>
      <c r="M2" s="736"/>
      <c r="N2" s="736"/>
      <c r="O2" s="736"/>
      <c r="P2" s="736"/>
      <c r="Q2" s="736"/>
      <c r="R2" s="736"/>
      <c r="S2" s="736"/>
      <c r="T2" s="736"/>
      <c r="U2" s="736"/>
      <c r="V2" s="736"/>
      <c r="W2" s="736"/>
      <c r="X2" s="736"/>
      <c r="Y2" s="111"/>
      <c r="Z2" s="111"/>
    </row>
    <row r="3" spans="1:26" ht="25.5" customHeight="1">
      <c r="B3" s="737" t="s">
        <v>177</v>
      </c>
      <c r="C3" s="738"/>
      <c r="D3" s="738"/>
      <c r="E3" s="738"/>
      <c r="F3" s="738"/>
      <c r="G3" s="738"/>
      <c r="H3" s="738"/>
      <c r="I3" s="738"/>
      <c r="J3" s="738"/>
      <c r="K3" s="738"/>
      <c r="L3" s="738"/>
      <c r="M3" s="738"/>
      <c r="N3" s="738"/>
      <c r="O3" s="738"/>
      <c r="P3" s="738"/>
      <c r="Q3" s="738"/>
      <c r="R3" s="738"/>
      <c r="S3" s="738"/>
      <c r="T3" s="738"/>
      <c r="U3" s="738"/>
      <c r="V3" s="738"/>
      <c r="W3" s="738"/>
      <c r="X3" s="739"/>
    </row>
    <row r="4" spans="1:26" ht="15.75">
      <c r="B4" s="418" t="s">
        <v>178</v>
      </c>
      <c r="C4" s="719" t="s">
        <v>179</v>
      </c>
      <c r="D4" s="720"/>
      <c r="E4" s="721"/>
      <c r="F4" s="720" t="s">
        <v>180</v>
      </c>
      <c r="G4" s="720"/>
      <c r="H4" s="721"/>
      <c r="I4" s="719" t="s">
        <v>181</v>
      </c>
      <c r="J4" s="720"/>
      <c r="K4" s="721"/>
      <c r="L4" s="720" t="s">
        <v>182</v>
      </c>
      <c r="M4" s="720"/>
      <c r="N4" s="722" t="s">
        <v>183</v>
      </c>
      <c r="O4" s="723"/>
      <c r="P4" s="723"/>
      <c r="Q4" s="719" t="s">
        <v>184</v>
      </c>
      <c r="R4" s="720"/>
      <c r="S4" s="720"/>
      <c r="T4" s="720"/>
      <c r="U4" s="720"/>
      <c r="V4" s="717" t="s">
        <v>185</v>
      </c>
      <c r="W4" s="717" t="s">
        <v>186</v>
      </c>
      <c r="X4" s="740" t="s">
        <v>187</v>
      </c>
    </row>
    <row r="5" spans="1:26" ht="15.75">
      <c r="B5" s="578" t="s">
        <v>188</v>
      </c>
      <c r="C5" s="567" t="s">
        <v>189</v>
      </c>
      <c r="D5" s="477" t="s">
        <v>190</v>
      </c>
      <c r="E5" s="568" t="s">
        <v>191</v>
      </c>
      <c r="F5" s="580" t="s">
        <v>189</v>
      </c>
      <c r="G5" s="137" t="s">
        <v>190</v>
      </c>
      <c r="H5" s="137" t="s">
        <v>191</v>
      </c>
      <c r="I5" s="137" t="s">
        <v>189</v>
      </c>
      <c r="J5" s="137" t="s">
        <v>190</v>
      </c>
      <c r="K5" s="137" t="s">
        <v>191</v>
      </c>
      <c r="L5" s="63" t="s">
        <v>189</v>
      </c>
      <c r="M5" s="63" t="s">
        <v>190</v>
      </c>
      <c r="N5" s="137" t="s">
        <v>189</v>
      </c>
      <c r="O5" s="137" t="s">
        <v>190</v>
      </c>
      <c r="P5" s="137" t="s">
        <v>191</v>
      </c>
      <c r="Q5" s="477" t="s">
        <v>192</v>
      </c>
      <c r="R5" s="137" t="s">
        <v>193</v>
      </c>
      <c r="S5" s="137" t="s">
        <v>194</v>
      </c>
      <c r="T5" s="137" t="s">
        <v>195</v>
      </c>
      <c r="U5" s="491" t="s">
        <v>196</v>
      </c>
      <c r="V5" s="718"/>
      <c r="W5" s="718"/>
      <c r="X5" s="741"/>
    </row>
    <row r="6" spans="1:26" ht="15.75">
      <c r="B6" s="252">
        <v>46273</v>
      </c>
      <c r="C6" s="569">
        <v>361</v>
      </c>
      <c r="D6" s="255">
        <v>114</v>
      </c>
      <c r="E6" s="570">
        <v>14.1</v>
      </c>
      <c r="F6" s="581">
        <v>355</v>
      </c>
      <c r="G6" s="255">
        <v>89</v>
      </c>
      <c r="H6" s="255">
        <v>17</v>
      </c>
      <c r="I6" s="254">
        <v>363</v>
      </c>
      <c r="J6" s="254">
        <v>123</v>
      </c>
      <c r="K6" s="254">
        <v>15.2</v>
      </c>
      <c r="L6" s="566"/>
      <c r="M6" s="318"/>
      <c r="N6" s="254">
        <v>354</v>
      </c>
      <c r="O6" s="318">
        <v>126</v>
      </c>
      <c r="P6" s="318"/>
      <c r="Q6" s="587">
        <f>IF(C6="","",IMABS(C6-345))</f>
        <v>16</v>
      </c>
      <c r="R6" s="492">
        <f>IF(F6="","",IMABS(F6-345))</f>
        <v>10</v>
      </c>
      <c r="S6" s="492">
        <f>IF(I6="","",IMABS(I6-345))</f>
        <v>18</v>
      </c>
      <c r="T6" s="492" t="str">
        <f>IF(L6="","",IMABS(L6-345))</f>
        <v/>
      </c>
      <c r="U6" s="492">
        <f>IF(N6="","",IMABS(N6-345))</f>
        <v>9</v>
      </c>
      <c r="V6" s="494" t="str">
        <f>IF(AND(Q6&lt;21,R6&lt;21,U6&lt;21),"OK","ÑOK")</f>
        <v>OK</v>
      </c>
      <c r="W6" s="500"/>
      <c r="X6" s="495"/>
    </row>
    <row r="7" spans="1:26" ht="15.75">
      <c r="B7" s="420">
        <v>46279</v>
      </c>
      <c r="C7" s="569">
        <v>378</v>
      </c>
      <c r="D7" s="255">
        <v>121</v>
      </c>
      <c r="E7" s="570">
        <v>14.8</v>
      </c>
      <c r="F7" s="581">
        <v>360</v>
      </c>
      <c r="G7" s="255">
        <v>103</v>
      </c>
      <c r="H7" s="255">
        <v>16.2</v>
      </c>
      <c r="I7" s="254">
        <v>374</v>
      </c>
      <c r="J7" s="254">
        <v>111</v>
      </c>
      <c r="K7" s="254">
        <v>16.399999999999999</v>
      </c>
      <c r="L7" s="254"/>
      <c r="M7" s="318"/>
      <c r="N7" s="511">
        <v>358</v>
      </c>
      <c r="O7" s="318">
        <v>118</v>
      </c>
      <c r="P7" s="318"/>
      <c r="Q7" s="588">
        <f>IF(C7="","",IMABS(C7-360))</f>
        <v>18</v>
      </c>
      <c r="R7" s="492">
        <f>IF(F7="","",IMABS(F7-360))</f>
        <v>0</v>
      </c>
      <c r="S7" s="492">
        <f>IF(I7="","",IMABS(I7-360))</f>
        <v>14</v>
      </c>
      <c r="T7" s="492" t="str">
        <f t="shared" ref="T7:T9" si="0">IF(L7="","",IMABS(L7-345))</f>
        <v/>
      </c>
      <c r="U7" s="492">
        <f>IF(N7="","",IMABS(N7-360))</f>
        <v>2</v>
      </c>
      <c r="V7" s="494" t="str">
        <f t="shared" ref="V7:V9" si="1">IF(AND(Q7&lt;21,R7&lt;21,U7&lt;21),"OK","ÑOK")</f>
        <v>OK</v>
      </c>
      <c r="W7" s="501"/>
      <c r="X7" s="496"/>
    </row>
    <row r="8" spans="1:26" ht="17.25" customHeight="1">
      <c r="B8" s="419">
        <v>46286</v>
      </c>
      <c r="C8" s="571">
        <v>363</v>
      </c>
      <c r="D8" s="429">
        <v>146</v>
      </c>
      <c r="E8" s="572">
        <v>14.9</v>
      </c>
      <c r="F8" s="582">
        <v>372</v>
      </c>
      <c r="G8" s="254">
        <v>148</v>
      </c>
      <c r="H8" s="254">
        <v>15.75</v>
      </c>
      <c r="I8" s="254">
        <v>371</v>
      </c>
      <c r="J8" s="254">
        <v>115</v>
      </c>
      <c r="K8" s="254">
        <v>15.88</v>
      </c>
      <c r="L8" s="254"/>
      <c r="M8" s="318"/>
      <c r="N8" s="254">
        <v>346</v>
      </c>
      <c r="O8" s="318">
        <v>125</v>
      </c>
      <c r="P8" s="318"/>
      <c r="Q8" s="588">
        <f t="shared" ref="Q8:Q9" si="2">IF(C8="","",IMABS(C8-360))</f>
        <v>3</v>
      </c>
      <c r="R8" s="492">
        <f t="shared" ref="R8:R9" si="3">IF(F8="","",IMABS(F8-360))</f>
        <v>12</v>
      </c>
      <c r="S8" s="492">
        <f t="shared" ref="S8:S9" si="4">IF(I8="","",IMABS(I8-360))</f>
        <v>11</v>
      </c>
      <c r="T8" s="492" t="str">
        <f t="shared" si="0"/>
        <v/>
      </c>
      <c r="U8" s="492">
        <f t="shared" ref="U8:U9" si="5">IF(N8="","",IMABS(N8-360))</f>
        <v>14</v>
      </c>
      <c r="V8" s="494" t="str">
        <f t="shared" si="1"/>
        <v>OK</v>
      </c>
      <c r="W8" s="501" t="s">
        <v>197</v>
      </c>
      <c r="X8" s="496"/>
    </row>
    <row r="9" spans="1:26" ht="17.25" customHeight="1">
      <c r="B9" s="428"/>
      <c r="C9" s="573"/>
      <c r="D9" s="512"/>
      <c r="E9" s="574"/>
      <c r="F9" s="502"/>
      <c r="G9" s="429"/>
      <c r="H9" s="429"/>
      <c r="I9" s="429"/>
      <c r="J9" s="429"/>
      <c r="K9" s="429"/>
      <c r="L9" s="429"/>
      <c r="M9" s="430"/>
      <c r="N9" s="429"/>
      <c r="O9" s="430"/>
      <c r="P9" s="430"/>
      <c r="Q9" s="588" t="str">
        <f t="shared" si="2"/>
        <v/>
      </c>
      <c r="R9" s="492" t="str">
        <f t="shared" si="3"/>
        <v/>
      </c>
      <c r="S9" s="492" t="str">
        <f t="shared" si="4"/>
        <v/>
      </c>
      <c r="T9" s="492" t="str">
        <f t="shared" si="0"/>
        <v/>
      </c>
      <c r="U9" s="492" t="str">
        <f t="shared" si="5"/>
        <v/>
      </c>
      <c r="V9" s="584" t="str">
        <f t="shared" si="1"/>
        <v>ÑOK</v>
      </c>
      <c r="W9" s="309"/>
      <c r="X9" s="497"/>
    </row>
    <row r="10" spans="1:26" ht="15.75">
      <c r="B10" s="431" t="s">
        <v>98</v>
      </c>
      <c r="C10" s="575">
        <f>AVERAGE(C6:C8)</f>
        <v>367.33333333333331</v>
      </c>
      <c r="D10" s="503">
        <f>AVERAGE(D6:D8)</f>
        <v>127</v>
      </c>
      <c r="E10" s="423">
        <f>AVERAGE(E6:E8)</f>
        <v>14.6</v>
      </c>
      <c r="F10" s="583">
        <f t="shared" ref="E10:P10" si="6">AVERAGE(F6:F8)</f>
        <v>362.33333333333331</v>
      </c>
      <c r="G10" s="421">
        <f t="shared" si="6"/>
        <v>113.33333333333333</v>
      </c>
      <c r="H10" s="421">
        <f t="shared" si="6"/>
        <v>16.316666666666666</v>
      </c>
      <c r="I10" s="421">
        <f t="shared" si="6"/>
        <v>369.33333333333331</v>
      </c>
      <c r="J10" s="421">
        <f t="shared" si="6"/>
        <v>116.33333333333333</v>
      </c>
      <c r="K10" s="421">
        <f t="shared" si="6"/>
        <v>15.826666666666666</v>
      </c>
      <c r="L10" s="421" t="e">
        <f t="shared" si="6"/>
        <v>#DIV/0!</v>
      </c>
      <c r="M10" s="422" t="e">
        <f t="shared" si="6"/>
        <v>#DIV/0!</v>
      </c>
      <c r="N10" s="421">
        <f t="shared" si="6"/>
        <v>352.66666666666669</v>
      </c>
      <c r="O10" s="422">
        <f t="shared" si="6"/>
        <v>123</v>
      </c>
      <c r="P10" s="422" t="e">
        <f t="shared" si="6"/>
        <v>#DIV/0!</v>
      </c>
      <c r="Q10" s="589">
        <f>AVERAGE(Q6:Q8)</f>
        <v>12.333333333333334</v>
      </c>
      <c r="R10" s="421">
        <f>AVERAGE(R6:R8)</f>
        <v>7.333333333333333</v>
      </c>
      <c r="S10" s="421">
        <f>AVERAGE(S6:S8)</f>
        <v>14.333333333333334</v>
      </c>
      <c r="T10" s="421" t="e">
        <f>AVERAGE(T6:T8)</f>
        <v>#DIV/0!</v>
      </c>
      <c r="U10" s="422">
        <f>AVERAGE(U6:U8)</f>
        <v>8.3333333333333339</v>
      </c>
      <c r="V10" s="711" t="e">
        <f>AVERAGE(Q10:U10)</f>
        <v>#DIV/0!</v>
      </c>
      <c r="W10" s="712"/>
    </row>
    <row r="11" spans="1:26" ht="15.75">
      <c r="B11" s="579" t="s">
        <v>198</v>
      </c>
      <c r="C11" s="576">
        <f>STDEV(C6:C9)</f>
        <v>9.2915732431775702</v>
      </c>
      <c r="D11" s="490">
        <v>57</v>
      </c>
      <c r="E11" s="577">
        <f>STDEV(E6:E8)</f>
        <v>0.43588989435406783</v>
      </c>
      <c r="F11" s="426">
        <f t="shared" ref="E11:P11" si="7">STDEV(F6:F8)</f>
        <v>8.7368949480541058</v>
      </c>
      <c r="G11" s="424">
        <f t="shared" si="7"/>
        <v>30.827476921300779</v>
      </c>
      <c r="H11" s="424">
        <f t="shared" si="7"/>
        <v>0.63311399710741934</v>
      </c>
      <c r="I11" s="424">
        <f t="shared" si="7"/>
        <v>5.6862407030773268</v>
      </c>
      <c r="J11" s="424">
        <f t="shared" si="7"/>
        <v>6.110100926607787</v>
      </c>
      <c r="K11" s="424">
        <f t="shared" si="7"/>
        <v>0.60177515180782681</v>
      </c>
      <c r="L11" s="424" t="e">
        <f t="shared" si="7"/>
        <v>#DIV/0!</v>
      </c>
      <c r="M11" s="425" t="e">
        <f t="shared" si="7"/>
        <v>#DIV/0!</v>
      </c>
      <c r="N11" s="424">
        <f t="shared" si="7"/>
        <v>6.110100926607787</v>
      </c>
      <c r="O11" s="425">
        <f t="shared" si="7"/>
        <v>4.358898943540674</v>
      </c>
      <c r="P11" s="425" t="e">
        <f t="shared" si="7"/>
        <v>#DIV/0!</v>
      </c>
      <c r="Q11" s="426">
        <f>STDEV(Q6:Q8)</f>
        <v>8.1445278152470788</v>
      </c>
      <c r="R11" s="424">
        <f>STDEV(R6:R8)</f>
        <v>6.429100507328636</v>
      </c>
      <c r="S11" s="424">
        <f>STDEV(S6:S8)</f>
        <v>3.5118845842842434</v>
      </c>
      <c r="T11" s="424" t="e">
        <f>STDEV(T6:T8)</f>
        <v>#DIV/0!</v>
      </c>
      <c r="U11" s="425">
        <f>STDEV(U6:U8)</f>
        <v>6.0277137733417074</v>
      </c>
      <c r="V11" s="713"/>
      <c r="W11" s="714"/>
    </row>
    <row r="13" spans="1:26" ht="14.45" customHeight="1">
      <c r="B13" s="728" t="s">
        <v>199</v>
      </c>
      <c r="C13" s="728"/>
      <c r="D13" s="728"/>
      <c r="E13" s="728"/>
      <c r="F13" s="728"/>
      <c r="G13" s="728"/>
      <c r="H13" s="728"/>
      <c r="J13" s="95"/>
      <c r="K13" s="95"/>
      <c r="L13" s="95"/>
      <c r="M13" s="95"/>
      <c r="N13" s="95"/>
      <c r="O13" s="95"/>
      <c r="P13" s="95"/>
    </row>
    <row r="14" spans="1:26" ht="21">
      <c r="B14" s="65" t="s">
        <v>200</v>
      </c>
      <c r="C14" s="65"/>
      <c r="D14" s="65"/>
      <c r="E14" s="65"/>
      <c r="F14" s="65"/>
      <c r="G14" s="65"/>
      <c r="H14" s="65"/>
      <c r="J14" s="95" t="s">
        <v>201</v>
      </c>
      <c r="K14" s="95"/>
      <c r="L14" s="95"/>
      <c r="M14" s="379" t="s">
        <v>202</v>
      </c>
      <c r="N14" s="379"/>
      <c r="O14" s="379" t="s">
        <v>203</v>
      </c>
      <c r="P14" s="379"/>
    </row>
    <row r="16" spans="1:26" ht="53.1" customHeight="1">
      <c r="A16" s="66"/>
      <c r="B16" s="729" t="s">
        <v>204</v>
      </c>
      <c r="C16" s="730"/>
      <c r="D16" s="730"/>
      <c r="E16" s="730"/>
      <c r="F16" s="730"/>
      <c r="G16" s="730"/>
      <c r="H16" s="730"/>
      <c r="I16" s="730"/>
      <c r="J16" s="730"/>
      <c r="K16" s="730"/>
      <c r="L16" s="730"/>
      <c r="M16" s="730"/>
      <c r="N16" s="730"/>
      <c r="O16" s="730"/>
      <c r="P16" s="730"/>
      <c r="Q16" s="730"/>
      <c r="R16" s="730"/>
      <c r="S16" s="730"/>
      <c r="T16" s="730"/>
      <c r="U16" s="730"/>
      <c r="V16" s="730"/>
      <c r="W16" s="730"/>
      <c r="X16" s="731"/>
      <c r="Y16" s="111"/>
      <c r="Z16" s="111"/>
    </row>
    <row r="17" spans="2:24" ht="26.1" customHeight="1">
      <c r="B17" s="732" t="s">
        <v>177</v>
      </c>
      <c r="C17" s="733"/>
      <c r="D17" s="733"/>
      <c r="E17" s="733"/>
      <c r="F17" s="733"/>
      <c r="G17" s="733"/>
      <c r="H17" s="733"/>
      <c r="I17" s="733"/>
      <c r="J17" s="733"/>
      <c r="K17" s="733"/>
      <c r="L17" s="733"/>
      <c r="M17" s="733"/>
      <c r="N17" s="733"/>
      <c r="O17" s="733"/>
      <c r="P17" s="733"/>
      <c r="Q17" s="733"/>
      <c r="R17" s="733"/>
      <c r="S17" s="733"/>
      <c r="T17" s="733"/>
      <c r="U17" s="733"/>
      <c r="V17" s="733"/>
      <c r="W17" s="733"/>
      <c r="X17" s="734"/>
    </row>
    <row r="18" spans="2:24" ht="15.75">
      <c r="B18" s="316" t="s">
        <v>178</v>
      </c>
      <c r="C18" s="719" t="s">
        <v>179</v>
      </c>
      <c r="D18" s="720"/>
      <c r="E18" s="721"/>
      <c r="F18" s="719" t="s">
        <v>180</v>
      </c>
      <c r="G18" s="720"/>
      <c r="H18" s="721"/>
      <c r="I18" s="719" t="s">
        <v>181</v>
      </c>
      <c r="J18" s="720"/>
      <c r="K18" s="721"/>
      <c r="L18" s="720" t="s">
        <v>182</v>
      </c>
      <c r="M18" s="720"/>
      <c r="N18" s="722" t="s">
        <v>183</v>
      </c>
      <c r="O18" s="723"/>
      <c r="P18" s="723"/>
      <c r="Q18" s="719" t="s">
        <v>184</v>
      </c>
      <c r="R18" s="720"/>
      <c r="S18" s="720"/>
      <c r="T18" s="720"/>
      <c r="U18" s="720"/>
      <c r="V18" s="726" t="s">
        <v>185</v>
      </c>
      <c r="W18" s="715" t="s">
        <v>186</v>
      </c>
      <c r="X18" s="710" t="s">
        <v>187</v>
      </c>
    </row>
    <row r="19" spans="2:24" ht="15.75">
      <c r="B19" s="131" t="s">
        <v>188</v>
      </c>
      <c r="C19" s="137" t="s">
        <v>189</v>
      </c>
      <c r="D19" s="477" t="s">
        <v>190</v>
      </c>
      <c r="E19" s="137" t="s">
        <v>191</v>
      </c>
      <c r="F19" s="137" t="s">
        <v>189</v>
      </c>
      <c r="G19" s="137" t="s">
        <v>190</v>
      </c>
      <c r="H19" s="137" t="s">
        <v>191</v>
      </c>
      <c r="I19" s="137" t="s">
        <v>189</v>
      </c>
      <c r="J19" s="137" t="s">
        <v>190</v>
      </c>
      <c r="K19" s="137" t="s">
        <v>191</v>
      </c>
      <c r="L19" s="63" t="s">
        <v>189</v>
      </c>
      <c r="M19" s="63" t="s">
        <v>190</v>
      </c>
      <c r="N19" s="137" t="s">
        <v>189</v>
      </c>
      <c r="O19" s="137" t="s">
        <v>190</v>
      </c>
      <c r="P19" s="137" t="s">
        <v>191</v>
      </c>
      <c r="Q19" s="477" t="s">
        <v>205</v>
      </c>
      <c r="R19" s="137" t="s">
        <v>206</v>
      </c>
      <c r="S19" s="137" t="s">
        <v>207</v>
      </c>
      <c r="T19" s="137" t="s">
        <v>208</v>
      </c>
      <c r="U19" s="491" t="s">
        <v>209</v>
      </c>
      <c r="V19" s="727"/>
      <c r="W19" s="716"/>
      <c r="X19" s="710"/>
    </row>
    <row r="20" spans="2:24" ht="15.75">
      <c r="B20" s="252">
        <v>46273</v>
      </c>
      <c r="C20" s="254">
        <v>298</v>
      </c>
      <c r="D20" s="254">
        <v>101</v>
      </c>
      <c r="E20" s="255">
        <v>13</v>
      </c>
      <c r="F20" s="255">
        <v>304</v>
      </c>
      <c r="G20" s="255">
        <v>89</v>
      </c>
      <c r="H20" s="255">
        <v>15.2</v>
      </c>
      <c r="I20" s="254">
        <v>306</v>
      </c>
      <c r="J20" s="254">
        <v>108</v>
      </c>
      <c r="K20" s="254">
        <v>14</v>
      </c>
      <c r="L20" s="566" t="s">
        <v>210</v>
      </c>
      <c r="M20" s="318"/>
      <c r="N20" s="318">
        <v>307</v>
      </c>
      <c r="O20" s="318">
        <v>121</v>
      </c>
      <c r="P20" s="318"/>
      <c r="Q20" s="587">
        <f>IF(C20="","",IMABS(C20-310))</f>
        <v>12</v>
      </c>
      <c r="R20" s="492">
        <f>IF(F20="","",IMABS(F20-310))</f>
        <v>6</v>
      </c>
      <c r="S20" s="492">
        <f>IF(I20="","",IMABS(I20-310))</f>
        <v>4</v>
      </c>
      <c r="T20" s="492" t="e">
        <f>IF(L20="","",IMABS(L20-310))</f>
        <v>#VALUE!</v>
      </c>
      <c r="U20" s="492">
        <f>IF(N20="","",IMABS(N20-310))</f>
        <v>3</v>
      </c>
      <c r="V20" s="493" t="str">
        <f>IF(AND(Q20&lt;21,R20&lt;21,U20&lt;21),"OK","ÑOK")</f>
        <v>OK</v>
      </c>
      <c r="W20" s="498"/>
      <c r="X20" s="495"/>
    </row>
    <row r="21" spans="2:24" ht="15.75">
      <c r="B21" s="253">
        <v>46279</v>
      </c>
      <c r="C21" s="254">
        <v>302</v>
      </c>
      <c r="D21" s="254">
        <v>121</v>
      </c>
      <c r="E21" s="255">
        <v>14.8</v>
      </c>
      <c r="F21" s="255">
        <v>300</v>
      </c>
      <c r="G21" s="255">
        <v>122</v>
      </c>
      <c r="H21" s="255">
        <v>16.5</v>
      </c>
      <c r="I21" s="254">
        <v>307</v>
      </c>
      <c r="J21" s="254">
        <v>126</v>
      </c>
      <c r="K21" s="254">
        <v>15.8</v>
      </c>
      <c r="L21" s="254"/>
      <c r="M21" s="318"/>
      <c r="N21" s="318">
        <v>288</v>
      </c>
      <c r="O21" s="318">
        <v>117</v>
      </c>
      <c r="P21" s="318"/>
      <c r="Q21" s="588">
        <f>IF(C21="","",IMABS(C21-295))</f>
        <v>7</v>
      </c>
      <c r="R21" s="492">
        <f>IF(F21="","",IMABS(F21-295))</f>
        <v>5</v>
      </c>
      <c r="S21" s="492">
        <f>IF(I21="","",IMABS(I21-295))</f>
        <v>12</v>
      </c>
      <c r="T21" s="492" t="str">
        <f t="shared" ref="T21:T23" si="8">IF(L21="","",IMABS(L21-310))</f>
        <v/>
      </c>
      <c r="U21" s="492">
        <f>IF(N21="","",IMABS(N21-295))</f>
        <v>7</v>
      </c>
      <c r="V21" s="493" t="str">
        <f t="shared" ref="V21:V23" si="9">IF(AND(Q21&lt;21,R21&lt;21,U21&lt;21),"OK","ÑOK")</f>
        <v>OK</v>
      </c>
      <c r="W21" s="499"/>
      <c r="X21" s="496"/>
    </row>
    <row r="22" spans="2:24" ht="17.25" customHeight="1">
      <c r="B22" s="252">
        <v>46286</v>
      </c>
      <c r="C22" s="254">
        <v>299</v>
      </c>
      <c r="D22" s="254">
        <v>105</v>
      </c>
      <c r="E22" s="255">
        <v>14.93</v>
      </c>
      <c r="F22" s="254">
        <v>312</v>
      </c>
      <c r="G22" s="254">
        <v>111</v>
      </c>
      <c r="H22" s="255">
        <v>16.05</v>
      </c>
      <c r="I22" s="254">
        <v>306</v>
      </c>
      <c r="J22" s="254">
        <v>107</v>
      </c>
      <c r="K22" s="254">
        <v>16.11</v>
      </c>
      <c r="L22" s="254"/>
      <c r="M22" s="318"/>
      <c r="N22" s="318">
        <v>298</v>
      </c>
      <c r="O22" s="318">
        <v>97</v>
      </c>
      <c r="P22" s="318"/>
      <c r="Q22" s="588">
        <f t="shared" ref="Q22:Q23" si="10">IF(C22="","",IMABS(C22-295))</f>
        <v>4</v>
      </c>
      <c r="R22" s="492">
        <f t="shared" ref="R22:R23" si="11">IF(F22="","",IMABS(F22-295))</f>
        <v>17</v>
      </c>
      <c r="S22" s="492">
        <f t="shared" ref="S22:S23" si="12">IF(I22="","",IMABS(I22-295))</f>
        <v>11</v>
      </c>
      <c r="T22" s="492" t="str">
        <f t="shared" si="8"/>
        <v/>
      </c>
      <c r="U22" s="492">
        <f t="shared" ref="U22:U23" si="13">IF(N22="","",IMABS(N22-295))</f>
        <v>3</v>
      </c>
      <c r="V22" s="493" t="str">
        <f t="shared" si="9"/>
        <v>OK</v>
      </c>
      <c r="W22" s="499" t="s">
        <v>197</v>
      </c>
      <c r="X22" s="513"/>
    </row>
    <row r="23" spans="2:24" ht="17.25" customHeight="1">
      <c r="B23" s="428"/>
      <c r="C23" s="254"/>
      <c r="D23" s="254"/>
      <c r="E23" s="254"/>
      <c r="F23" s="254"/>
      <c r="G23" s="254"/>
      <c r="H23" s="254"/>
      <c r="I23" s="254"/>
      <c r="J23" s="254"/>
      <c r="K23" s="254"/>
      <c r="L23" s="254"/>
      <c r="M23" s="319"/>
      <c r="N23" s="319"/>
      <c r="O23" s="319"/>
      <c r="P23" s="319"/>
      <c r="Q23" s="588" t="str">
        <f t="shared" si="10"/>
        <v/>
      </c>
      <c r="R23" s="492" t="str">
        <f t="shared" si="11"/>
        <v/>
      </c>
      <c r="S23" s="492" t="str">
        <f t="shared" si="12"/>
        <v/>
      </c>
      <c r="T23" s="492" t="str">
        <f t="shared" si="8"/>
        <v/>
      </c>
      <c r="U23" s="492" t="str">
        <f t="shared" si="13"/>
        <v/>
      </c>
      <c r="V23" s="586" t="str">
        <f t="shared" si="9"/>
        <v>ÑOK</v>
      </c>
      <c r="W23" s="309"/>
      <c r="X23" s="497"/>
    </row>
    <row r="24" spans="2:24" ht="15.75">
      <c r="B24" s="427" t="s">
        <v>98</v>
      </c>
      <c r="C24" s="254">
        <f>AVERAGE(C20:C22)</f>
        <v>299.66666666666669</v>
      </c>
      <c r="D24" s="254">
        <f>AVERAGE(D20:D22)</f>
        <v>109</v>
      </c>
      <c r="E24" s="254">
        <f>AVERAGE(E20:E22)</f>
        <v>14.243333333333334</v>
      </c>
      <c r="F24" s="254">
        <f t="shared" ref="F24:P24" si="14">AVERAGE(F20:F22)</f>
        <v>305.33333333333331</v>
      </c>
      <c r="G24" s="254">
        <f t="shared" si="14"/>
        <v>107.33333333333333</v>
      </c>
      <c r="H24" s="254">
        <f t="shared" si="14"/>
        <v>15.916666666666666</v>
      </c>
      <c r="I24" s="254">
        <f t="shared" si="14"/>
        <v>306.33333333333331</v>
      </c>
      <c r="J24" s="254">
        <f t="shared" si="14"/>
        <v>113.66666666666667</v>
      </c>
      <c r="K24" s="254">
        <f t="shared" si="14"/>
        <v>15.303333333333333</v>
      </c>
      <c r="L24" s="254" t="e">
        <f t="shared" si="14"/>
        <v>#DIV/0!</v>
      </c>
      <c r="M24" s="319" t="e">
        <f t="shared" si="14"/>
        <v>#DIV/0!</v>
      </c>
      <c r="N24" s="319">
        <f t="shared" si="14"/>
        <v>297.66666666666669</v>
      </c>
      <c r="O24" s="319">
        <f t="shared" si="14"/>
        <v>111.66666666666667</v>
      </c>
      <c r="P24" s="319" t="e">
        <f t="shared" si="14"/>
        <v>#DIV/0!</v>
      </c>
      <c r="Q24" s="589">
        <f>AVERAGE(Q20:Q22)</f>
        <v>7.666666666666667</v>
      </c>
      <c r="R24" s="382">
        <f>AVERAGE(R20:R22)</f>
        <v>9.3333333333333339</v>
      </c>
      <c r="S24" s="320">
        <f>AVERAGE(S20:S22)</f>
        <v>9</v>
      </c>
      <c r="T24" s="320" t="e">
        <f>AVERAGE(T20:T22)</f>
        <v>#VALUE!</v>
      </c>
      <c r="U24" s="585">
        <f>AVERAGE(U20:U22)</f>
        <v>4.333333333333333</v>
      </c>
      <c r="V24" s="711" t="e">
        <f>AVERAGE(Q24:U24)</f>
        <v>#VALUE!</v>
      </c>
      <c r="W24" s="712"/>
    </row>
    <row r="25" spans="2:24" ht="15.75">
      <c r="B25" s="64" t="s">
        <v>198</v>
      </c>
      <c r="C25" s="275">
        <f>STDEV(C20:C23)</f>
        <v>2.0816659994661326</v>
      </c>
      <c r="D25" s="275">
        <f>STDEV(D20:D22)</f>
        <v>10.583005244258363</v>
      </c>
      <c r="E25" s="275">
        <f>STDEV(E20:E22)</f>
        <v>1.0787183753572263</v>
      </c>
      <c r="F25" s="275">
        <f t="shared" ref="F25:P25" si="15">STDEV(F20:F22)</f>
        <v>6.110100926607787</v>
      </c>
      <c r="G25" s="275">
        <f t="shared" si="15"/>
        <v>16.802777548171377</v>
      </c>
      <c r="H25" s="275">
        <f t="shared" si="15"/>
        <v>0.66017674401127913</v>
      </c>
      <c r="I25" s="275">
        <f t="shared" si="15"/>
        <v>0.57735026918962584</v>
      </c>
      <c r="J25" s="275">
        <f t="shared" si="15"/>
        <v>10.692676621563628</v>
      </c>
      <c r="K25" s="275">
        <f t="shared" si="15"/>
        <v>1.1393126582871504</v>
      </c>
      <c r="L25" s="275" t="e">
        <f t="shared" si="15"/>
        <v>#DIV/0!</v>
      </c>
      <c r="M25" s="380" t="e">
        <f t="shared" si="15"/>
        <v>#DIV/0!</v>
      </c>
      <c r="N25" s="380">
        <f t="shared" si="15"/>
        <v>9.5043849529221678</v>
      </c>
      <c r="O25" s="380">
        <f t="shared" si="15"/>
        <v>12.858201014657274</v>
      </c>
      <c r="P25" s="380" t="e">
        <f t="shared" si="15"/>
        <v>#DIV/0!</v>
      </c>
      <c r="Q25" s="426">
        <f>STDEV(Q20:Q22)</f>
        <v>4.0414518843273797</v>
      </c>
      <c r="R25" s="381">
        <f>STDEV(R20:R22)</f>
        <v>6.6583281184793934</v>
      </c>
      <c r="S25" s="275">
        <f>STDEV(S20:S22)</f>
        <v>4.358898943540674</v>
      </c>
      <c r="T25" s="275" t="e">
        <f>STDEV(T20:T22)</f>
        <v>#VALUE!</v>
      </c>
      <c r="U25" s="380">
        <f>STDEV(U20:U22)</f>
        <v>2.3094010767585029</v>
      </c>
      <c r="V25" s="713"/>
      <c r="W25" s="714"/>
    </row>
    <row r="27" spans="2:24" ht="14.45" customHeight="1">
      <c r="B27" t="s">
        <v>36</v>
      </c>
      <c r="C27">
        <f>COUNT(C20:C22,#REF!,I20:I22,K20:K22,K6:K8,I6:I8,#REF!,C6:C8)</f>
        <v>18</v>
      </c>
    </row>
    <row r="30" spans="2:24" ht="14.45" customHeight="1"/>
    <row r="31" spans="2:24" ht="14.45" customHeight="1"/>
  </sheetData>
  <mergeCells count="26">
    <mergeCell ref="B1:X1"/>
    <mergeCell ref="C18:E18"/>
    <mergeCell ref="V18:V19"/>
    <mergeCell ref="F18:H18"/>
    <mergeCell ref="V10:W11"/>
    <mergeCell ref="B13:H13"/>
    <mergeCell ref="B16:X16"/>
    <mergeCell ref="B17:X17"/>
    <mergeCell ref="I18:K18"/>
    <mergeCell ref="B2:X2"/>
    <mergeCell ref="B3:X3"/>
    <mergeCell ref="I4:K4"/>
    <mergeCell ref="L4:M4"/>
    <mergeCell ref="N4:P4"/>
    <mergeCell ref="Q4:U4"/>
    <mergeCell ref="X4:X5"/>
    <mergeCell ref="X18:X19"/>
    <mergeCell ref="V24:W25"/>
    <mergeCell ref="W18:W19"/>
    <mergeCell ref="W4:W5"/>
    <mergeCell ref="C4:E4"/>
    <mergeCell ref="V4:V5"/>
    <mergeCell ref="F4:H4"/>
    <mergeCell ref="L18:M18"/>
    <mergeCell ref="N18:P18"/>
    <mergeCell ref="Q18:U18"/>
  </mergeCells>
  <conditionalFormatting sqref="U6:U9">
    <cfRule type="containsText" dxfId="9" priority="3" operator="containsText" text="ÑOK">
      <formula>NOT(ISERROR(SEARCH("ÑOK",U6)))</formula>
    </cfRule>
    <cfRule type="containsText" dxfId="8" priority="4" operator="containsText" text="OK">
      <formula>NOT(ISERROR(SEARCH("OK",U6)))</formula>
    </cfRule>
  </conditionalFormatting>
  <conditionalFormatting sqref="U20:U23">
    <cfRule type="containsText" dxfId="7" priority="1" operator="containsText" text="ÑOK">
      <formula>NOT(ISERROR(SEARCH("ÑOK",U20)))</formula>
    </cfRule>
    <cfRule type="containsText" dxfId="6" priority="2" operator="containsText" text="OK">
      <formula>NOT(ISERROR(SEARCH("OK",U20)))</formula>
    </cfRule>
  </conditionalFormatting>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dimension ref="A1:AJ77"/>
  <sheetViews>
    <sheetView tabSelected="1" topLeftCell="A31" zoomScale="82" zoomScaleNormal="82" workbookViewId="0">
      <selection activeCell="J43" sqref="J43:J45"/>
    </sheetView>
  </sheetViews>
  <sheetFormatPr defaultRowHeight="14.45"/>
  <cols>
    <col min="1" max="1" width="2.85546875" customWidth="1"/>
    <col min="2" max="2" width="16.42578125" customWidth="1"/>
    <col min="4" max="4" width="11.140625" bestFit="1" customWidth="1"/>
    <col min="5" max="5" width="2.85546875" customWidth="1"/>
    <col min="7" max="7" width="12.28515625" customWidth="1"/>
    <col min="9" max="9" width="16.140625" customWidth="1"/>
    <col min="12" max="12" width="2.28515625" customWidth="1"/>
    <col min="14" max="14" width="13.42578125" customWidth="1"/>
    <col min="16" max="16" width="17.140625" customWidth="1"/>
    <col min="17" max="17" width="9.85546875" customWidth="1"/>
    <col min="18" max="18" width="14.5703125" bestFit="1" customWidth="1"/>
    <col min="20" max="20" width="15.7109375" customWidth="1"/>
    <col min="21" max="21" width="9" customWidth="1"/>
    <col min="22" max="22" width="8.5703125" customWidth="1"/>
    <col min="23" max="23" width="9.5703125" bestFit="1" customWidth="1"/>
    <col min="24" max="24" width="13.28515625" customWidth="1"/>
    <col min="25" max="25" width="10" customWidth="1"/>
    <col min="28" max="28" width="12.140625" customWidth="1"/>
    <col min="29" max="29" width="9.5703125" customWidth="1"/>
    <col min="32" max="32" width="12.5703125" customWidth="1"/>
    <col min="36" max="36" width="17" customWidth="1"/>
  </cols>
  <sheetData>
    <row r="1" spans="1:36" ht="43.5" customHeight="1">
      <c r="A1" s="66"/>
      <c r="B1" s="746" t="s">
        <v>211</v>
      </c>
      <c r="C1" s="747"/>
      <c r="D1" s="747"/>
      <c r="E1" s="747"/>
      <c r="F1" s="747"/>
      <c r="G1" s="747"/>
      <c r="H1" s="747"/>
      <c r="I1" s="747"/>
      <c r="J1" s="747"/>
      <c r="K1" s="747"/>
      <c r="L1" s="747"/>
      <c r="M1" s="747"/>
      <c r="N1" s="747"/>
      <c r="O1" s="747"/>
      <c r="P1" s="747"/>
      <c r="Q1" s="748"/>
    </row>
    <row r="2" spans="1:36" ht="29.45" customHeight="1" thickBot="1">
      <c r="A2" s="66"/>
      <c r="B2" s="745" t="s">
        <v>40</v>
      </c>
      <c r="C2" s="745"/>
      <c r="D2" s="745"/>
      <c r="E2" s="745"/>
      <c r="F2" s="745"/>
      <c r="G2" s="745"/>
      <c r="H2" s="745"/>
      <c r="I2" s="745"/>
      <c r="J2" s="745"/>
      <c r="K2" s="745"/>
      <c r="L2" s="745"/>
      <c r="M2" s="745"/>
      <c r="N2" s="745"/>
      <c r="O2" s="745"/>
      <c r="P2" s="745"/>
      <c r="Q2" s="745"/>
    </row>
    <row r="3" spans="1:36" ht="18.600000000000001">
      <c r="B3" s="329" t="s">
        <v>212</v>
      </c>
      <c r="C3" s="330"/>
      <c r="D3" s="330"/>
      <c r="E3" s="330"/>
      <c r="F3" s="330"/>
      <c r="G3" s="330"/>
      <c r="H3" s="330"/>
      <c r="I3" s="330"/>
      <c r="J3" s="330"/>
      <c r="K3" s="330"/>
      <c r="L3" s="330"/>
      <c r="M3" s="330"/>
      <c r="N3" s="330"/>
      <c r="O3" s="330"/>
      <c r="P3" s="330"/>
      <c r="Q3" s="331"/>
      <c r="R3" s="326"/>
      <c r="S3" s="326"/>
      <c r="T3" s="27"/>
      <c r="U3" s="27"/>
      <c r="V3" s="27"/>
    </row>
    <row r="4" spans="1:36" ht="18.600000000000001">
      <c r="B4" s="332" t="s">
        <v>213</v>
      </c>
      <c r="C4" s="333"/>
      <c r="D4" s="333"/>
      <c r="E4" s="333"/>
      <c r="F4" s="333"/>
      <c r="G4" s="333"/>
      <c r="H4" s="333"/>
      <c r="I4" s="333"/>
      <c r="J4" s="333"/>
      <c r="K4" s="333"/>
      <c r="L4" s="333"/>
      <c r="M4" s="333"/>
      <c r="N4" s="333"/>
      <c r="O4" s="333"/>
      <c r="P4" s="333"/>
      <c r="Q4" s="334"/>
      <c r="R4" s="326"/>
      <c r="S4" s="326"/>
      <c r="T4" s="27"/>
      <c r="U4" s="27"/>
      <c r="V4" s="27"/>
    </row>
    <row r="5" spans="1:36" ht="18.95" thickBot="1">
      <c r="B5" s="335" t="s">
        <v>214</v>
      </c>
      <c r="C5" s="336"/>
      <c r="D5" s="336"/>
      <c r="E5" s="336"/>
      <c r="F5" s="336"/>
      <c r="G5" s="336"/>
      <c r="H5" s="336"/>
      <c r="I5" s="336"/>
      <c r="J5" s="336"/>
      <c r="K5" s="336"/>
      <c r="L5" s="336"/>
      <c r="M5" s="336"/>
      <c r="N5" s="336"/>
      <c r="O5" s="336"/>
      <c r="P5" s="336"/>
      <c r="Q5" s="337"/>
      <c r="R5" s="326"/>
      <c r="S5" s="326"/>
      <c r="T5" s="27"/>
      <c r="U5" s="27"/>
      <c r="V5" s="27"/>
    </row>
    <row r="6" spans="1:36" ht="23.1" customHeight="1" thickBot="1">
      <c r="B6" s="742" t="s">
        <v>215</v>
      </c>
      <c r="C6" s="743"/>
      <c r="D6" s="743"/>
      <c r="E6" s="743"/>
      <c r="F6" s="743"/>
      <c r="G6" s="743"/>
      <c r="H6" s="743"/>
      <c r="I6" s="743"/>
      <c r="J6" s="743"/>
      <c r="K6" s="743"/>
      <c r="L6" s="743"/>
      <c r="M6" s="743"/>
      <c r="N6" s="743"/>
      <c r="O6" s="743"/>
      <c r="P6" s="743"/>
      <c r="Q6" s="744"/>
      <c r="R6" s="327"/>
      <c r="S6" s="327"/>
      <c r="T6" s="328"/>
      <c r="U6" s="328"/>
      <c r="V6" s="328"/>
    </row>
    <row r="7" spans="1:36" ht="19.5" customHeight="1" thickBot="1">
      <c r="B7" s="68" t="s">
        <v>95</v>
      </c>
      <c r="C7" s="785" t="s">
        <v>25</v>
      </c>
      <c r="D7" s="786"/>
      <c r="E7" s="81"/>
      <c r="F7" s="69" t="s">
        <v>5</v>
      </c>
      <c r="G7" s="310">
        <v>46279</v>
      </c>
      <c r="I7" s="70" t="s">
        <v>95</v>
      </c>
      <c r="J7" s="787" t="s">
        <v>197</v>
      </c>
      <c r="K7" s="788"/>
      <c r="L7" s="81"/>
      <c r="M7" s="71" t="s">
        <v>5</v>
      </c>
      <c r="N7" s="311">
        <v>46286</v>
      </c>
    </row>
    <row r="8" spans="1:36" ht="9" customHeight="1" thickBot="1"/>
    <row r="9" spans="1:36" ht="15" customHeight="1">
      <c r="B9" s="793" t="s">
        <v>216</v>
      </c>
      <c r="C9" s="795" t="s">
        <v>217</v>
      </c>
      <c r="D9" s="796"/>
      <c r="E9" s="81"/>
      <c r="F9" s="795" t="s">
        <v>218</v>
      </c>
      <c r="G9" s="796"/>
      <c r="I9" s="799" t="s">
        <v>216</v>
      </c>
      <c r="J9" s="789" t="s">
        <v>217</v>
      </c>
      <c r="K9" s="790"/>
      <c r="L9" s="81"/>
      <c r="M9" s="789" t="s">
        <v>218</v>
      </c>
      <c r="N9" s="790"/>
    </row>
    <row r="10" spans="1:36" ht="22.5" customHeight="1">
      <c r="B10" s="794"/>
      <c r="C10" s="797"/>
      <c r="D10" s="798"/>
      <c r="E10" s="81"/>
      <c r="F10" s="797"/>
      <c r="G10" s="798" t="s">
        <v>219</v>
      </c>
      <c r="I10" s="800"/>
      <c r="J10" s="791"/>
      <c r="K10" s="792"/>
      <c r="L10" s="81"/>
      <c r="M10" s="791"/>
      <c r="N10" s="792" t="s">
        <v>219</v>
      </c>
      <c r="Q10" s="72" t="s">
        <v>220</v>
      </c>
      <c r="R10" s="72" t="s">
        <v>221</v>
      </c>
      <c r="S10" s="72"/>
      <c r="T10" s="72"/>
      <c r="U10" s="72"/>
    </row>
    <row r="11" spans="1:36" ht="15">
      <c r="B11" s="73" t="s">
        <v>222</v>
      </c>
      <c r="C11" s="74" t="s">
        <v>223</v>
      </c>
      <c r="D11" s="75" t="s">
        <v>224</v>
      </c>
      <c r="E11" s="81"/>
      <c r="F11" s="75" t="s">
        <v>223</v>
      </c>
      <c r="G11" s="74" t="s">
        <v>224</v>
      </c>
      <c r="I11" s="73" t="s">
        <v>222</v>
      </c>
      <c r="J11" s="76" t="s">
        <v>223</v>
      </c>
      <c r="K11" s="75" t="s">
        <v>224</v>
      </c>
      <c r="L11" s="81"/>
      <c r="M11" s="75" t="s">
        <v>223</v>
      </c>
      <c r="N11" s="74" t="s">
        <v>224</v>
      </c>
      <c r="Q11" s="77" t="s">
        <v>225</v>
      </c>
      <c r="R11" s="72" t="s">
        <v>226</v>
      </c>
      <c r="S11" s="72"/>
      <c r="T11" s="72"/>
      <c r="U11" s="72"/>
    </row>
    <row r="12" spans="1:36" ht="15">
      <c r="B12" s="78" t="s">
        <v>227</v>
      </c>
      <c r="C12" s="479">
        <v>0</v>
      </c>
      <c r="D12" s="80">
        <f>IF(C12="","",(C12/C22)*100)</f>
        <v>0</v>
      </c>
      <c r="E12" s="81"/>
      <c r="F12" s="479">
        <v>10</v>
      </c>
      <c r="G12" s="80">
        <f>IF(F12="","",(F12/F22)*100)</f>
        <v>0.10950503723171265</v>
      </c>
      <c r="I12" s="78" t="s">
        <v>227</v>
      </c>
      <c r="J12" s="479"/>
      <c r="K12" s="479" t="str">
        <f t="shared" ref="K12:K21" si="0">IF(J12="","",J12-CR12)</f>
        <v/>
      </c>
      <c r="L12" s="81"/>
      <c r="M12" s="79"/>
      <c r="N12" s="80" t="str">
        <f>IF(M12="","",(M12/M22)*100)</f>
        <v/>
      </c>
    </row>
    <row r="13" spans="1:36" ht="15">
      <c r="B13" s="82" t="s">
        <v>228</v>
      </c>
      <c r="C13" s="479">
        <v>58</v>
      </c>
      <c r="D13" s="80">
        <f>IF(C13="","",(C13/C22)*100)</f>
        <v>0.63270426529944368</v>
      </c>
      <c r="E13" s="81"/>
      <c r="F13" s="479">
        <v>44</v>
      </c>
      <c r="G13" s="80">
        <f>IF(F13="","",(F13/F22)*100)</f>
        <v>0.48182216381953569</v>
      </c>
      <c r="I13" s="82" t="s">
        <v>228</v>
      </c>
      <c r="J13" s="479"/>
      <c r="K13" s="479" t="str">
        <f t="shared" si="0"/>
        <v/>
      </c>
      <c r="L13" s="81"/>
      <c r="M13" s="83"/>
      <c r="N13" s="80" t="str">
        <f>IF(M13="","",(M13/M22)*100)</f>
        <v/>
      </c>
    </row>
    <row r="14" spans="1:36" ht="15">
      <c r="B14" s="82" t="s">
        <v>229</v>
      </c>
      <c r="C14" s="479">
        <v>1258</v>
      </c>
      <c r="D14" s="80">
        <f>IF(C14="","",(C14/C22)*100)</f>
        <v>13.723137340460347</v>
      </c>
      <c r="E14" s="81"/>
      <c r="F14" s="479">
        <v>1196</v>
      </c>
      <c r="G14" s="80">
        <f>IF(F14="","",(F14/F22)*100)</f>
        <v>13.096802452912835</v>
      </c>
      <c r="I14" s="82" t="s">
        <v>229</v>
      </c>
      <c r="J14" s="479"/>
      <c r="K14" s="479" t="str">
        <f t="shared" si="0"/>
        <v/>
      </c>
      <c r="L14" s="81"/>
      <c r="M14" s="83"/>
      <c r="N14" s="80" t="str">
        <f>IF(M14="","",(M14/M22)*100)</f>
        <v/>
      </c>
      <c r="P14" s="230" t="s">
        <v>230</v>
      </c>
      <c r="Q14" s="201" t="s">
        <v>231</v>
      </c>
      <c r="R14" s="196" t="s">
        <v>232</v>
      </c>
      <c r="S14" s="763" t="s">
        <v>233</v>
      </c>
      <c r="T14" s="766" t="s">
        <v>49</v>
      </c>
      <c r="U14" s="198" t="s">
        <v>231</v>
      </c>
      <c r="V14" s="197" t="s">
        <v>232</v>
      </c>
      <c r="W14" s="782" t="s">
        <v>233</v>
      </c>
      <c r="X14" s="199"/>
      <c r="Y14" s="201" t="s">
        <v>231</v>
      </c>
      <c r="Z14" s="196" t="s">
        <v>232</v>
      </c>
      <c r="AA14" s="763" t="s">
        <v>233</v>
      </c>
      <c r="AB14" s="766" t="s">
        <v>49</v>
      </c>
      <c r="AC14" s="198" t="s">
        <v>231</v>
      </c>
      <c r="AD14" s="197" t="s">
        <v>232</v>
      </c>
      <c r="AE14" s="749" t="s">
        <v>233</v>
      </c>
      <c r="AF14" s="779" t="s">
        <v>49</v>
      </c>
      <c r="AG14" s="225" t="s">
        <v>231</v>
      </c>
      <c r="AH14" s="226" t="s">
        <v>232</v>
      </c>
      <c r="AI14" s="769" t="s">
        <v>233</v>
      </c>
      <c r="AJ14" s="772" t="s">
        <v>49</v>
      </c>
    </row>
    <row r="15" spans="1:36" ht="15">
      <c r="B15" s="82" t="s">
        <v>234</v>
      </c>
      <c r="C15" s="479">
        <v>2556</v>
      </c>
      <c r="D15" s="80">
        <f>IF(C15="","",(C15/C22)*100)</f>
        <v>27.882622450092725</v>
      </c>
      <c r="E15" s="81"/>
      <c r="F15" s="479">
        <v>2510</v>
      </c>
      <c r="G15" s="80">
        <f>IF(F15="","",(F15/F22)*100)</f>
        <v>27.485764345159879</v>
      </c>
      <c r="I15" s="82" t="s">
        <v>234</v>
      </c>
      <c r="J15" s="479"/>
      <c r="K15" s="479" t="str">
        <f t="shared" si="0"/>
        <v/>
      </c>
      <c r="L15" s="81"/>
      <c r="M15" s="83"/>
      <c r="N15" s="80" t="str">
        <f>IF(M15="","",(M15/M22)*100)</f>
        <v/>
      </c>
      <c r="P15" s="231" t="s">
        <v>5</v>
      </c>
      <c r="Q15" s="752">
        <f>G7</f>
        <v>46279</v>
      </c>
      <c r="R15" s="753"/>
      <c r="S15" s="764"/>
      <c r="T15" s="767"/>
      <c r="U15" s="754">
        <f>N7</f>
        <v>46286</v>
      </c>
      <c r="V15" s="755"/>
      <c r="W15" s="783"/>
      <c r="X15" s="200" t="s">
        <v>49</v>
      </c>
      <c r="Y15" s="752">
        <f>G31</f>
        <v>46286</v>
      </c>
      <c r="Z15" s="756"/>
      <c r="AA15" s="764"/>
      <c r="AB15" s="767"/>
      <c r="AC15" s="754">
        <f>N31</f>
        <v>0</v>
      </c>
      <c r="AD15" s="755"/>
      <c r="AE15" s="750"/>
      <c r="AF15" s="780"/>
      <c r="AG15" s="775">
        <f>G55</f>
        <v>0</v>
      </c>
      <c r="AH15" s="776"/>
      <c r="AI15" s="770"/>
      <c r="AJ15" s="773"/>
    </row>
    <row r="16" spans="1:36" ht="15" hidden="1">
      <c r="B16" s="82" t="s">
        <v>235</v>
      </c>
      <c r="C16" s="479">
        <v>4598</v>
      </c>
      <c r="D16" s="80">
        <f>IF(C16="","",(C16/C22)*100)</f>
        <v>50.158176066324856</v>
      </c>
      <c r="E16" s="81"/>
      <c r="F16" s="479">
        <v>4658</v>
      </c>
      <c r="G16" s="80">
        <f>IF(F16="","",(F16/F22)*100)</f>
        <v>51.007446342531757</v>
      </c>
      <c r="I16" s="82" t="s">
        <v>235</v>
      </c>
      <c r="J16" s="479"/>
      <c r="K16" s="479" t="str">
        <f t="shared" si="0"/>
        <v/>
      </c>
      <c r="L16" s="81"/>
      <c r="M16" s="83"/>
      <c r="N16" s="80" t="str">
        <f>IF(M16="","",(M16/M22)*100)</f>
        <v/>
      </c>
      <c r="P16" s="232" t="s">
        <v>95</v>
      </c>
      <c r="Q16" s="757" t="str">
        <f>C7</f>
        <v>WESLEY</v>
      </c>
      <c r="R16" s="758"/>
      <c r="S16" s="765"/>
      <c r="T16" s="768"/>
      <c r="U16" s="759" t="str">
        <f>J7</f>
        <v>Leonardo</v>
      </c>
      <c r="V16" s="760"/>
      <c r="W16" s="784"/>
      <c r="X16" s="202"/>
      <c r="Y16" s="761" t="str">
        <f>C31</f>
        <v>Leonardo</v>
      </c>
      <c r="Z16" s="762"/>
      <c r="AA16" s="765"/>
      <c r="AB16" s="768"/>
      <c r="AC16" s="759">
        <f>J31</f>
        <v>0</v>
      </c>
      <c r="AD16" s="760"/>
      <c r="AE16" s="751"/>
      <c r="AF16" s="781"/>
      <c r="AG16" s="777">
        <f>C55</f>
        <v>0</v>
      </c>
      <c r="AH16" s="778"/>
      <c r="AI16" s="771"/>
      <c r="AJ16" s="774"/>
    </row>
    <row r="17" spans="2:36" ht="15" hidden="1">
      <c r="B17" s="82" t="s">
        <v>236</v>
      </c>
      <c r="C17" s="479">
        <v>390</v>
      </c>
      <c r="D17" s="80">
        <f>IF(C17="","",(C17/C22)*100)</f>
        <v>4.2543907494272934</v>
      </c>
      <c r="E17" s="81"/>
      <c r="F17" s="479">
        <v>430</v>
      </c>
      <c r="G17" s="80">
        <f>IF(F17="","",(F17/F22)*100)</f>
        <v>4.7087166009636441</v>
      </c>
      <c r="I17" s="82" t="s">
        <v>236</v>
      </c>
      <c r="J17" s="479"/>
      <c r="K17" s="479" t="str">
        <f t="shared" si="0"/>
        <v/>
      </c>
      <c r="L17" s="81"/>
      <c r="M17" s="83"/>
      <c r="N17" s="80" t="str">
        <f>IF(M17="","",(M17/M22)*100)</f>
        <v/>
      </c>
      <c r="P17" s="78" t="s">
        <v>237</v>
      </c>
      <c r="Q17" s="214">
        <f>D23</f>
        <v>41.605759790553073</v>
      </c>
      <c r="R17" s="216">
        <f>G23</f>
        <v>40.582566798072712</v>
      </c>
      <c r="S17" s="219">
        <f>Q17-R17</f>
        <v>1.0231929924803609</v>
      </c>
      <c r="T17" s="203"/>
      <c r="U17" s="215" t="str">
        <f>K23</f>
        <v/>
      </c>
      <c r="V17" s="207" t="str">
        <f>N23</f>
        <v/>
      </c>
      <c r="W17" s="219" t="e">
        <f>U17-V17</f>
        <v>#VALUE!</v>
      </c>
      <c r="X17" s="208"/>
      <c r="Y17" s="220">
        <f>D47</f>
        <v>47.13156294344212</v>
      </c>
      <c r="Z17" s="220">
        <f>G47</f>
        <v>48.258606885508406</v>
      </c>
      <c r="AA17" s="219">
        <f>Y17-Z17</f>
        <v>-1.1270439420662868</v>
      </c>
      <c r="AB17" s="203"/>
      <c r="AC17" s="207" t="str">
        <f>K47</f>
        <v/>
      </c>
      <c r="AD17" s="207" t="str">
        <f>N47</f>
        <v/>
      </c>
      <c r="AE17" s="219" t="e">
        <f>AC17-AD17</f>
        <v>#VALUE!</v>
      </c>
      <c r="AF17" s="221"/>
      <c r="AG17" s="220" t="str">
        <f>D71</f>
        <v/>
      </c>
      <c r="AH17" s="220" t="str">
        <f>G71</f>
        <v/>
      </c>
      <c r="AI17" s="219" t="e">
        <f>AG17-AH17</f>
        <v>#VALUE!</v>
      </c>
      <c r="AJ17" s="227"/>
    </row>
    <row r="18" spans="2:36" ht="15">
      <c r="B18" s="82" t="s">
        <v>238</v>
      </c>
      <c r="C18" s="479">
        <v>160</v>
      </c>
      <c r="D18" s="80">
        <f>IF(C18="","",(C18/C22)*100)</f>
        <v>1.7453910766881204</v>
      </c>
      <c r="E18" s="81"/>
      <c r="F18" s="479">
        <v>142</v>
      </c>
      <c r="G18" s="80">
        <f>IF(F18="","",(F18/F22)*100)</f>
        <v>1.5549715286903198</v>
      </c>
      <c r="I18" s="82" t="s">
        <v>238</v>
      </c>
      <c r="J18" s="479"/>
      <c r="K18" s="479" t="str">
        <f t="shared" si="0"/>
        <v/>
      </c>
      <c r="L18" s="81"/>
      <c r="M18" s="83"/>
      <c r="N18" s="80" t="str">
        <f>IF(M18="","",(M18/M22)*100)</f>
        <v/>
      </c>
      <c r="P18" s="84">
        <v>-6.3</v>
      </c>
      <c r="Q18" s="206">
        <f>D24</f>
        <v>1.6035780517072105</v>
      </c>
      <c r="R18" s="206">
        <f t="shared" ref="R18:R22" si="1">G24</f>
        <v>1.5549715286903196</v>
      </c>
      <c r="S18" s="219">
        <f t="shared" ref="S18:S22" si="2">Q18-R18</f>
        <v>4.8606523016890835E-2</v>
      </c>
      <c r="T18" s="186" t="str">
        <f>IF(S18&gt;0.3,"Confirmar","Verdadeiro")</f>
        <v>Verdadeiro</v>
      </c>
      <c r="U18" s="215" t="str">
        <f t="shared" ref="U18:U22" si="3">K24</f>
        <v/>
      </c>
      <c r="V18" s="207" t="str">
        <f t="shared" ref="V18:V22" si="4">N24</f>
        <v/>
      </c>
      <c r="W18" s="219" t="e">
        <f t="shared" ref="W18:W22" si="5">U18-V18</f>
        <v>#VALUE!</v>
      </c>
      <c r="X18" s="209" t="e">
        <f>IF(W18&gt;0.3,"Confirmar","Verdadeiro")</f>
        <v>#VALUE!</v>
      </c>
      <c r="Y18" s="220">
        <f t="shared" ref="Y18:Y22" si="6">D48</f>
        <v>1.6420028380295968</v>
      </c>
      <c r="Z18" s="220">
        <f t="shared" ref="Z18:Z22" si="7">G48</f>
        <v>1.4811849479583667</v>
      </c>
      <c r="AA18" s="219">
        <f t="shared" ref="AA18:AA22" si="8">Y18-Z18</f>
        <v>0.16081789007123004</v>
      </c>
      <c r="AB18" s="186" t="str">
        <f>IF(AA18&gt;0.3,"Confirmar","Verdadeiro")</f>
        <v>Verdadeiro</v>
      </c>
      <c r="AC18" s="207" t="str">
        <f t="shared" ref="AC18:AC22" si="9">K48</f>
        <v/>
      </c>
      <c r="AD18" s="207" t="str">
        <f t="shared" ref="AD18:AD22" si="10">N48</f>
        <v/>
      </c>
      <c r="AE18" s="219" t="e">
        <f t="shared" ref="AE18:AE22" si="11">AC18-AD18</f>
        <v>#VALUE!</v>
      </c>
      <c r="AF18" s="222" t="e">
        <f>IF(AE18&gt;0.3,"Confirmar","Verdadeiro")</f>
        <v>#VALUE!</v>
      </c>
      <c r="AG18" s="220" t="str">
        <f t="shared" ref="AG18:AG22" si="12">D72</f>
        <v/>
      </c>
      <c r="AH18" s="220" t="str">
        <f t="shared" ref="AH18:AH22" si="13">G72</f>
        <v/>
      </c>
      <c r="AI18" s="219" t="e">
        <f t="shared" ref="AI18:AI22" si="14">AG18-AH18</f>
        <v>#VALUE!</v>
      </c>
      <c r="AJ18" s="186" t="e">
        <f>IF(AI18&gt;0.3,"Confirmar","Verdadeiro")</f>
        <v>#VALUE!</v>
      </c>
    </row>
    <row r="19" spans="2:36" ht="15" hidden="1">
      <c r="B19" s="82" t="s">
        <v>239</v>
      </c>
      <c r="C19" s="479">
        <v>81</v>
      </c>
      <c r="D19" s="80">
        <f>IF(C19="","",(C19/C22)*100)</f>
        <v>0.88360423257336085</v>
      </c>
      <c r="E19" s="81"/>
      <c r="F19" s="479">
        <v>74</v>
      </c>
      <c r="G19" s="80">
        <f>IF(F19="","",(F19/F22)*100)</f>
        <v>0.81033727551467361</v>
      </c>
      <c r="I19" s="82" t="s">
        <v>239</v>
      </c>
      <c r="J19" s="479"/>
      <c r="K19" s="479" t="str">
        <f t="shared" si="0"/>
        <v/>
      </c>
      <c r="L19" s="81"/>
      <c r="M19" s="83"/>
      <c r="N19" s="80" t="str">
        <f>IF(M19="","",(M19/M22)*100)</f>
        <v/>
      </c>
      <c r="P19" s="82" t="s">
        <v>240</v>
      </c>
      <c r="Q19" s="206">
        <f t="shared" ref="Q19:Q22" si="15">D25</f>
        <v>91.763935856877936</v>
      </c>
      <c r="R19" s="217">
        <f t="shared" si="1"/>
        <v>91.590013140604469</v>
      </c>
      <c r="S19" s="219">
        <f t="shared" si="2"/>
        <v>0.17392271627346645</v>
      </c>
      <c r="T19" s="204"/>
      <c r="U19" s="215" t="str">
        <f t="shared" si="3"/>
        <v/>
      </c>
      <c r="V19" s="207" t="str">
        <f t="shared" si="4"/>
        <v/>
      </c>
      <c r="W19" s="219" t="e">
        <f t="shared" si="5"/>
        <v>#VALUE!</v>
      </c>
      <c r="X19" s="210"/>
      <c r="Y19" s="220">
        <f t="shared" si="6"/>
        <v>90.816947091019657</v>
      </c>
      <c r="Z19" s="220">
        <f t="shared" si="7"/>
        <v>93.294635708566858</v>
      </c>
      <c r="AA19" s="219">
        <f t="shared" si="8"/>
        <v>-2.4776886175472015</v>
      </c>
      <c r="AB19" s="204"/>
      <c r="AC19" s="207" t="str">
        <f t="shared" si="9"/>
        <v/>
      </c>
      <c r="AD19" s="207" t="str">
        <f t="shared" si="10"/>
        <v/>
      </c>
      <c r="AE19" s="219" t="e">
        <f t="shared" si="11"/>
        <v>#VALUE!</v>
      </c>
      <c r="AF19" s="223"/>
      <c r="AG19" s="220" t="str">
        <f t="shared" si="12"/>
        <v/>
      </c>
      <c r="AH19" s="220" t="str">
        <f t="shared" si="13"/>
        <v/>
      </c>
      <c r="AI19" s="219" t="e">
        <f t="shared" si="14"/>
        <v>#VALUE!</v>
      </c>
      <c r="AJ19" s="228"/>
    </row>
    <row r="20" spans="2:36" ht="15" hidden="1">
      <c r="B20" s="82" t="s">
        <v>241</v>
      </c>
      <c r="C20" s="479">
        <v>26</v>
      </c>
      <c r="D20" s="80">
        <f>IF(C20="","",(C20/C22)*100)</f>
        <v>0.28362604996181956</v>
      </c>
      <c r="E20" s="81"/>
      <c r="F20" s="479">
        <v>32</v>
      </c>
      <c r="G20" s="80">
        <f>IF(F20="","",(F20/F22)*100)</f>
        <v>0.35041611914148052</v>
      </c>
      <c r="I20" s="82" t="s">
        <v>241</v>
      </c>
      <c r="J20" s="479"/>
      <c r="K20" s="479" t="str">
        <f t="shared" si="0"/>
        <v/>
      </c>
      <c r="L20" s="81"/>
      <c r="M20" s="83"/>
      <c r="N20" s="80" t="str">
        <f>IF(M20="","",(M20/M22)*100)</f>
        <v/>
      </c>
      <c r="P20" s="85" t="s">
        <v>242</v>
      </c>
      <c r="Q20" s="213">
        <f t="shared" si="15"/>
        <v>96.018326606305223</v>
      </c>
      <c r="R20" s="218">
        <f t="shared" si="1"/>
        <v>96.29872974156811</v>
      </c>
      <c r="S20" s="219">
        <f t="shared" si="2"/>
        <v>-0.28040313526288685</v>
      </c>
      <c r="T20" s="204"/>
      <c r="U20" s="215" t="str">
        <f t="shared" si="3"/>
        <v/>
      </c>
      <c r="V20" s="207" t="str">
        <f t="shared" si="4"/>
        <v/>
      </c>
      <c r="W20" s="219" t="e">
        <f t="shared" si="5"/>
        <v>#VALUE!</v>
      </c>
      <c r="X20" s="210"/>
      <c r="Y20" s="220">
        <f t="shared" si="6"/>
        <v>96.0875734846949</v>
      </c>
      <c r="Z20" s="220">
        <f t="shared" si="7"/>
        <v>96.397117694155327</v>
      </c>
      <c r="AA20" s="219">
        <f t="shared" si="8"/>
        <v>-0.3095442094604266</v>
      </c>
      <c r="AB20" s="204"/>
      <c r="AC20" s="207" t="str">
        <f t="shared" si="9"/>
        <v/>
      </c>
      <c r="AD20" s="207" t="str">
        <f t="shared" si="10"/>
        <v/>
      </c>
      <c r="AE20" s="219" t="e">
        <f t="shared" si="11"/>
        <v>#VALUE!</v>
      </c>
      <c r="AF20" s="223"/>
      <c r="AG20" s="220" t="str">
        <f t="shared" si="12"/>
        <v/>
      </c>
      <c r="AH20" s="220" t="str">
        <f t="shared" si="13"/>
        <v/>
      </c>
      <c r="AI20" s="219" t="e">
        <f t="shared" si="14"/>
        <v>#VALUE!</v>
      </c>
      <c r="AJ20" s="228"/>
    </row>
    <row r="21" spans="2:36" ht="15">
      <c r="B21" s="86" t="s">
        <v>243</v>
      </c>
      <c r="C21" s="479">
        <v>40</v>
      </c>
      <c r="D21" s="80">
        <f>IF(C21="","",(C21/C22)*100)</f>
        <v>0.43634776917203011</v>
      </c>
      <c r="E21" s="81"/>
      <c r="F21" s="479">
        <v>36</v>
      </c>
      <c r="G21" s="80">
        <f>IF(F21="","",(F21/F22)*100)</f>
        <v>0.39421813403416556</v>
      </c>
      <c r="I21" s="86" t="s">
        <v>243</v>
      </c>
      <c r="J21" s="479"/>
      <c r="K21" s="479" t="str">
        <f t="shared" si="0"/>
        <v/>
      </c>
      <c r="L21" s="81"/>
      <c r="M21" s="245"/>
      <c r="N21" s="80" t="str">
        <f>IF(M21="","",(M21/M22)*100)</f>
        <v/>
      </c>
      <c r="P21" s="82" t="s">
        <v>244</v>
      </c>
      <c r="Q21" s="417">
        <f t="shared" si="15"/>
        <v>0.82949108307959996</v>
      </c>
      <c r="R21" s="276">
        <f t="shared" si="1"/>
        <v>0.79562043795620441</v>
      </c>
      <c r="S21" s="590">
        <f t="shared" si="2"/>
        <v>3.3870645123395549E-2</v>
      </c>
      <c r="T21" s="186" t="str">
        <f>IF(S21&gt;0.15,"Confirmar","Verdadeiro")</f>
        <v>Verdadeiro</v>
      </c>
      <c r="U21" s="215" t="str">
        <f t="shared" si="3"/>
        <v/>
      </c>
      <c r="V21" s="207" t="str">
        <f t="shared" si="4"/>
        <v/>
      </c>
      <c r="W21" s="219" t="e">
        <f t="shared" si="5"/>
        <v>#VALUE!</v>
      </c>
      <c r="X21" s="209" t="e">
        <f>IF(W21&gt;0.15,"Confirmar","Verdadeiro")</f>
        <v>#VALUE!</v>
      </c>
      <c r="Y21" s="220">
        <f t="shared" si="6"/>
        <v>1.0788863109048723</v>
      </c>
      <c r="Z21" s="220">
        <f t="shared" si="7"/>
        <v>1.0715555555555554</v>
      </c>
      <c r="AA21" s="219">
        <f t="shared" si="8"/>
        <v>7.3307553493169308E-3</v>
      </c>
      <c r="AB21" s="186" t="str">
        <f>IF(AA21&gt;0.15,"Confirmar","Verdadeiro")</f>
        <v>Verdadeiro</v>
      </c>
      <c r="AC21" s="207" t="str">
        <f t="shared" si="9"/>
        <v/>
      </c>
      <c r="AD21" s="207" t="str">
        <f t="shared" si="10"/>
        <v/>
      </c>
      <c r="AE21" s="219" t="e">
        <f t="shared" si="11"/>
        <v>#VALUE!</v>
      </c>
      <c r="AF21" s="222" t="e">
        <f>IF(AE21&gt;0.15,"Confirmar","Verdadeiro")</f>
        <v>#VALUE!</v>
      </c>
      <c r="AG21" s="220" t="str">
        <f t="shared" si="12"/>
        <v/>
      </c>
      <c r="AH21" s="220" t="str">
        <f t="shared" si="13"/>
        <v/>
      </c>
      <c r="AI21" s="219" t="e">
        <f t="shared" si="14"/>
        <v>#VALUE!</v>
      </c>
      <c r="AJ21" s="186" t="e">
        <f>IF(AI21&gt;0.15,"Confirmar","Verdadeiro")</f>
        <v>#VALUE!</v>
      </c>
    </row>
    <row r="22" spans="2:36" ht="15" hidden="1">
      <c r="B22" s="87" t="s">
        <v>245</v>
      </c>
      <c r="C22" s="250">
        <f>IF(C12="","",SUM(C12:C21))</f>
        <v>9167</v>
      </c>
      <c r="D22" s="249">
        <v>100.00000000000003</v>
      </c>
      <c r="E22" s="81"/>
      <c r="F22" s="250">
        <f>IF(F12="","",SUM(F12:F21))</f>
        <v>9132</v>
      </c>
      <c r="G22" s="249">
        <v>100.00000000000003</v>
      </c>
      <c r="I22" s="87" t="s">
        <v>245</v>
      </c>
      <c r="J22" s="250" t="str">
        <f>IF(J12="","",SUM(J12:J21))</f>
        <v/>
      </c>
      <c r="K22" s="249">
        <v>100.00000000000003</v>
      </c>
      <c r="L22" s="81"/>
      <c r="M22" s="250" t="str">
        <f>IF(M12="","",SUM(M12:M21))</f>
        <v/>
      </c>
      <c r="N22" s="249">
        <v>100.00000000000003</v>
      </c>
      <c r="P22" s="233" t="s">
        <v>246</v>
      </c>
      <c r="Q22" s="212">
        <f t="shared" si="15"/>
        <v>11.792576633576962</v>
      </c>
      <c r="R22" s="212">
        <f t="shared" si="1"/>
        <v>11.756307490144547</v>
      </c>
      <c r="S22" s="219">
        <f t="shared" si="2"/>
        <v>3.6269143432415163E-2</v>
      </c>
      <c r="T22" s="205"/>
      <c r="U22" s="215" t="str">
        <f t="shared" si="3"/>
        <v/>
      </c>
      <c r="V22" s="207" t="str">
        <f t="shared" si="4"/>
        <v/>
      </c>
      <c r="W22" s="219" t="e">
        <f t="shared" si="5"/>
        <v>#VALUE!</v>
      </c>
      <c r="X22" s="211"/>
      <c r="Y22" s="220">
        <f t="shared" si="6"/>
        <v>11.973271842692075</v>
      </c>
      <c r="Z22" s="220">
        <f t="shared" si="7"/>
        <v>12.090692554043233</v>
      </c>
      <c r="AA22" s="219">
        <f t="shared" si="8"/>
        <v>-0.1174207113511585</v>
      </c>
      <c r="AB22" s="205"/>
      <c r="AC22" s="207" t="str">
        <f t="shared" si="9"/>
        <v/>
      </c>
      <c r="AD22" s="207" t="str">
        <f t="shared" si="10"/>
        <v/>
      </c>
      <c r="AE22" s="219" t="e">
        <f t="shared" si="11"/>
        <v>#VALUE!</v>
      </c>
      <c r="AF22" s="224"/>
      <c r="AG22" s="220" t="str">
        <f t="shared" si="12"/>
        <v/>
      </c>
      <c r="AH22" s="220" t="str">
        <f t="shared" si="13"/>
        <v/>
      </c>
      <c r="AI22" s="219" t="e">
        <f t="shared" si="14"/>
        <v>#VALUE!</v>
      </c>
      <c r="AJ22" s="229"/>
    </row>
    <row r="23" spans="2:36" ht="15">
      <c r="B23" s="78" t="s">
        <v>237</v>
      </c>
      <c r="C23" s="247"/>
      <c r="D23" s="246">
        <f>IF(C22="","",D14+D15)</f>
        <v>41.605759790553073</v>
      </c>
      <c r="E23" s="81"/>
      <c r="F23" s="248"/>
      <c r="G23" s="246">
        <f>IF(F22="","",G14+G15)</f>
        <v>40.582566798072712</v>
      </c>
      <c r="I23" s="78" t="s">
        <v>237</v>
      </c>
      <c r="J23" s="247"/>
      <c r="K23" s="246" t="str">
        <f>IF(J22="","",K14+K15)</f>
        <v/>
      </c>
      <c r="L23" s="81"/>
      <c r="M23" s="248"/>
      <c r="N23" s="246" t="str">
        <f>IF(M22="","",N14+N15)</f>
        <v/>
      </c>
    </row>
    <row r="24" spans="2:36">
      <c r="B24" s="84">
        <v>-6.3</v>
      </c>
      <c r="C24" s="811"/>
      <c r="D24" s="90">
        <f>IF(C22="","",D19+D20+D21)</f>
        <v>1.6035780517072105</v>
      </c>
      <c r="E24" s="81"/>
      <c r="F24" s="805"/>
      <c r="G24" s="90">
        <f>IF(F22="","",G19+G20+G21)</f>
        <v>1.5549715286903196</v>
      </c>
      <c r="I24" s="84">
        <v>-6.3</v>
      </c>
      <c r="J24" s="811"/>
      <c r="K24" s="90" t="str">
        <f>IF(J22="","",K19+K20+K21)</f>
        <v/>
      </c>
      <c r="L24" s="81"/>
      <c r="M24" s="805"/>
      <c r="N24" s="90" t="str">
        <f>IF(M22="","",N19+N20+N21)</f>
        <v/>
      </c>
      <c r="P24" s="802" t="s">
        <v>247</v>
      </c>
      <c r="Q24" s="801" t="s">
        <v>248</v>
      </c>
      <c r="R24" s="801" t="s">
        <v>249</v>
      </c>
    </row>
    <row r="25" spans="2:36">
      <c r="B25" s="82" t="s">
        <v>240</v>
      </c>
      <c r="C25" s="812"/>
      <c r="D25" s="88">
        <f>IF(C22="","",D14+D15+D16)</f>
        <v>91.763935856877936</v>
      </c>
      <c r="E25" s="81"/>
      <c r="F25" s="805"/>
      <c r="G25" s="88">
        <f>IF(F22="","",G14+G15+G16)</f>
        <v>91.590013140604469</v>
      </c>
      <c r="I25" s="82" t="s">
        <v>240</v>
      </c>
      <c r="J25" s="812"/>
      <c r="K25" s="88" t="str">
        <f>IF(J22="","",K14+K15+K16)</f>
        <v/>
      </c>
      <c r="L25" s="81"/>
      <c r="M25" s="805"/>
      <c r="N25" s="88" t="str">
        <f>IF(M22="","",N14+N15+N16)</f>
        <v/>
      </c>
      <c r="P25" s="802"/>
      <c r="Q25" s="801"/>
      <c r="R25" s="801"/>
    </row>
    <row r="26" spans="2:36" ht="15" thickBot="1">
      <c r="B26" s="85" t="s">
        <v>242</v>
      </c>
      <c r="C26" s="812"/>
      <c r="D26" s="88">
        <f>IF(C22="","",D14+D15+D16+D17)</f>
        <v>96.018326606305223</v>
      </c>
      <c r="E26" s="81"/>
      <c r="F26" s="805"/>
      <c r="G26" s="88">
        <f>IF(F22="","",G14+G15+G16+G17)</f>
        <v>96.29872974156811</v>
      </c>
      <c r="I26" s="85" t="s">
        <v>242</v>
      </c>
      <c r="J26" s="812"/>
      <c r="K26" s="88" t="str">
        <f>IF(J22="","",K14+K15+K16+K17)</f>
        <v/>
      </c>
      <c r="L26" s="81"/>
      <c r="M26" s="805"/>
      <c r="N26" s="88" t="str">
        <f>IF(M22="","",N14+N15+N16+N17)</f>
        <v/>
      </c>
      <c r="P26" s="280" t="s">
        <v>225</v>
      </c>
      <c r="Q26" s="49" t="e">
        <f>AVERAGE(S18,W18,AA18,AD18)</f>
        <v>#VALUE!</v>
      </c>
      <c r="R26" s="133">
        <v>0.3</v>
      </c>
    </row>
    <row r="27" spans="2:36" ht="15" thickBot="1">
      <c r="B27" s="87" t="s">
        <v>244</v>
      </c>
      <c r="C27" s="813"/>
      <c r="D27" s="93">
        <f>IF(C22="","",(D14+D15)/D16)</f>
        <v>0.82949108307959996</v>
      </c>
      <c r="E27" s="81"/>
      <c r="F27" s="805"/>
      <c r="G27" s="93">
        <f>IF(F22="","",(G14+G15)/G16)</f>
        <v>0.79562043795620441</v>
      </c>
      <c r="I27" s="87" t="s">
        <v>244</v>
      </c>
      <c r="J27" s="813"/>
      <c r="K27" s="93" t="str">
        <f>IF(J22="","",(K14+K15)/K16)</f>
        <v/>
      </c>
      <c r="L27" s="81"/>
      <c r="M27" s="805"/>
      <c r="N27" s="93" t="str">
        <f>IF(M22="","",(N14+N15)/N16)</f>
        <v/>
      </c>
      <c r="P27" s="133" t="s">
        <v>220</v>
      </c>
      <c r="Q27" s="49" t="e">
        <f>AVERAGE(Q26,S21,W21,AA21,AD21)</f>
        <v>#VALUE!</v>
      </c>
      <c r="R27" s="133">
        <v>0.15</v>
      </c>
    </row>
    <row r="28" spans="2:36" ht="15.95" thickBot="1">
      <c r="B28" s="807" t="s">
        <v>250</v>
      </c>
      <c r="C28" s="808"/>
      <c r="D28" s="94">
        <f>IF(C22="","",((D12*20)+(D13*17.5)+(D14*15)+(D15*13.25)+(D16*10.75)+(D17*8.5)+(D18*7.15)+(D24*3.15))/100)</f>
        <v>11.792576633576962</v>
      </c>
      <c r="E28" s="81"/>
      <c r="F28" s="806"/>
      <c r="G28" s="94">
        <f>IF(F22="","",((G12*20)+(G13*17.5)+(G14*15)+(G15*13.25)+(G16*10.75)+(G17*8.5)+(G18*7.15)+(G24*3.15))/100)</f>
        <v>11.756307490144547</v>
      </c>
      <c r="I28" s="807" t="s">
        <v>250</v>
      </c>
      <c r="J28" s="808"/>
      <c r="K28" s="94" t="str">
        <f>IF(J22="","",((K12*20)+(K13*17.5)+(K14*15)+(K15*13.25)+(K16*10.75)+(K17*8.5)+(K18*7.15)+(K24*3.15))/100)</f>
        <v/>
      </c>
      <c r="L28" s="81"/>
      <c r="M28" s="806"/>
      <c r="N28" s="94" t="str">
        <f>IF(M22="","",((N12*20)+(N13*17.5)+(N14*15)+(N15*13.25)+(N16*10.75)+(N17*8.5)+(N18*7.15)+(N24*3.15))/100)</f>
        <v/>
      </c>
    </row>
    <row r="31" spans="2:36" ht="18">
      <c r="B31" s="68" t="s">
        <v>95</v>
      </c>
      <c r="C31" s="809" t="s">
        <v>197</v>
      </c>
      <c r="D31" s="810"/>
      <c r="E31" s="81"/>
      <c r="F31" s="69" t="s">
        <v>5</v>
      </c>
      <c r="G31" s="311">
        <v>46286</v>
      </c>
      <c r="I31" s="70" t="s">
        <v>95</v>
      </c>
      <c r="J31" s="809"/>
      <c r="K31" s="810"/>
      <c r="L31" s="81"/>
      <c r="M31" s="71" t="s">
        <v>5</v>
      </c>
      <c r="N31" s="251"/>
    </row>
    <row r="32" spans="2:36" ht="9" customHeight="1"/>
    <row r="33" spans="2:14">
      <c r="B33" s="793" t="s">
        <v>216</v>
      </c>
      <c r="C33" s="795" t="s">
        <v>217</v>
      </c>
      <c r="D33" s="796"/>
      <c r="E33" s="81"/>
      <c r="F33" s="795" t="s">
        <v>218</v>
      </c>
      <c r="G33" s="796"/>
      <c r="I33" s="799" t="s">
        <v>216</v>
      </c>
      <c r="J33" s="789" t="s">
        <v>217</v>
      </c>
      <c r="K33" s="790"/>
      <c r="L33" s="81"/>
      <c r="M33" s="789" t="s">
        <v>218</v>
      </c>
      <c r="N33" s="790"/>
    </row>
    <row r="34" spans="2:14" ht="21" customHeight="1">
      <c r="B34" s="794"/>
      <c r="C34" s="797"/>
      <c r="D34" s="798"/>
      <c r="E34" s="81"/>
      <c r="F34" s="797"/>
      <c r="G34" s="798" t="s">
        <v>219</v>
      </c>
      <c r="I34" s="800"/>
      <c r="J34" s="791"/>
      <c r="K34" s="792"/>
      <c r="L34" s="81"/>
      <c r="M34" s="791"/>
      <c r="N34" s="792" t="s">
        <v>219</v>
      </c>
    </row>
    <row r="35" spans="2:14" ht="15">
      <c r="B35" s="73" t="s">
        <v>222</v>
      </c>
      <c r="C35" s="74" t="s">
        <v>223</v>
      </c>
      <c r="D35" s="75" t="s">
        <v>224</v>
      </c>
      <c r="E35" s="81"/>
      <c r="F35" s="75" t="s">
        <v>223</v>
      </c>
      <c r="G35" s="74" t="s">
        <v>224</v>
      </c>
      <c r="I35" s="73" t="s">
        <v>222</v>
      </c>
      <c r="J35" s="74" t="s">
        <v>223</v>
      </c>
      <c r="K35" s="75" t="s">
        <v>224</v>
      </c>
      <c r="L35" s="81"/>
      <c r="M35" s="75" t="s">
        <v>223</v>
      </c>
      <c r="N35" s="74" t="s">
        <v>224</v>
      </c>
    </row>
    <row r="36" spans="2:14" ht="15">
      <c r="B36" s="78" t="s">
        <v>227</v>
      </c>
      <c r="C36" s="906">
        <v>0</v>
      </c>
      <c r="D36" s="911">
        <f>IF(C36="","",(C36/C46)*100)</f>
        <v>0</v>
      </c>
      <c r="E36" s="81"/>
      <c r="F36" s="479">
        <v>0</v>
      </c>
      <c r="G36" s="80">
        <f>IF(F36="","",(F36/F46)*100)</f>
        <v>0</v>
      </c>
      <c r="I36" s="78" t="s">
        <v>227</v>
      </c>
      <c r="J36" s="591"/>
      <c r="K36" s="591" t="str">
        <f>IF(J37="","",(J36/J46)*100)</f>
        <v/>
      </c>
      <c r="L36" s="81"/>
      <c r="M36" s="79"/>
      <c r="N36" s="80" t="str">
        <f>IF(M36="","",(M36/M46)*100)</f>
        <v/>
      </c>
    </row>
    <row r="37" spans="2:14" ht="15">
      <c r="B37" s="82" t="s">
        <v>228</v>
      </c>
      <c r="C37" s="907">
        <v>64</v>
      </c>
      <c r="D37" s="908">
        <f>IF(C37="","",(C37/C46)*100)</f>
        <v>0.64869247922156903</v>
      </c>
      <c r="E37" s="81"/>
      <c r="F37" s="479">
        <v>72</v>
      </c>
      <c r="G37" s="80">
        <f>IF(F37="","",(F37/F46)*100)</f>
        <v>0.72057646116893515</v>
      </c>
      <c r="I37" s="82" t="s">
        <v>228</v>
      </c>
      <c r="J37" s="591"/>
      <c r="K37" s="591" t="str">
        <f>IF(J37="","",(J37/J46)*100)</f>
        <v/>
      </c>
      <c r="L37" s="81"/>
      <c r="M37" s="83"/>
      <c r="N37" s="80" t="str">
        <f>IF(M37="","",(M37/M46)*100)</f>
        <v/>
      </c>
    </row>
    <row r="38" spans="2:14" ht="15">
      <c r="B38" s="82" t="s">
        <v>229</v>
      </c>
      <c r="C38" s="909">
        <v>1708</v>
      </c>
      <c r="D38" s="910">
        <f>IF(C38="","",(C38/C46)*100)</f>
        <v>17.311980539225623</v>
      </c>
      <c r="E38" s="81"/>
      <c r="F38" s="479">
        <v>1818</v>
      </c>
      <c r="G38" s="80">
        <f>IF(F38="","",(F38/F46)*100)</f>
        <v>18.19455564451561</v>
      </c>
      <c r="I38" s="82" t="s">
        <v>229</v>
      </c>
      <c r="J38" s="591"/>
      <c r="K38" s="591" t="str">
        <f>IF(J38="","",(J38/J46)*100)</f>
        <v/>
      </c>
      <c r="L38" s="81"/>
      <c r="M38" s="83"/>
      <c r="N38" s="80" t="str">
        <f>IF(M38="","",(M38/M46)*100)</f>
        <v/>
      </c>
    </row>
    <row r="39" spans="2:14" ht="15">
      <c r="B39" s="82" t="s">
        <v>234</v>
      </c>
      <c r="C39" s="909">
        <v>2942</v>
      </c>
      <c r="D39" s="910">
        <f>IF(C39="","",(C39/C46)*100)</f>
        <v>29.819582404216501</v>
      </c>
      <c r="E39" s="81"/>
      <c r="F39" s="479">
        <v>3004</v>
      </c>
      <c r="G39" s="80">
        <f>IF(F39="","",(F39/F46)*100)</f>
        <v>30.064051240992796</v>
      </c>
      <c r="I39" s="82" t="s">
        <v>234</v>
      </c>
      <c r="J39" s="591"/>
      <c r="K39" s="591" t="str">
        <f>IF(J39="","",(J39/J46)*100)</f>
        <v/>
      </c>
      <c r="L39" s="81"/>
      <c r="M39" s="83"/>
      <c r="N39" s="80" t="str">
        <f>IF(M39="","",(M39/M46)*100)</f>
        <v/>
      </c>
    </row>
    <row r="40" spans="2:14" ht="15">
      <c r="B40" s="82" t="s">
        <v>235</v>
      </c>
      <c r="C40" s="909">
        <v>4310</v>
      </c>
      <c r="D40" s="910">
        <f>IF(C40="","",(C40/C46)*100)</f>
        <v>43.685384147577537</v>
      </c>
      <c r="E40" s="81"/>
      <c r="F40" s="479">
        <v>4500</v>
      </c>
      <c r="G40" s="80">
        <f>IF(F40="","",(F40/F46)*100)</f>
        <v>45.036028823058452</v>
      </c>
      <c r="I40" s="82" t="s">
        <v>235</v>
      </c>
      <c r="J40" s="591"/>
      <c r="K40" s="591" t="str">
        <f>IF(J40="","",(J40/J46)*100)</f>
        <v/>
      </c>
      <c r="L40" s="81"/>
      <c r="M40" s="83"/>
      <c r="N40" s="80" t="str">
        <f>IF(M40="","",(M40/M46)*100)</f>
        <v/>
      </c>
    </row>
    <row r="41" spans="2:14" ht="15">
      <c r="B41" s="82" t="s">
        <v>236</v>
      </c>
      <c r="C41" s="909">
        <v>520</v>
      </c>
      <c r="D41" s="910">
        <f>IF(C41="","",(C41/C46)*100)</f>
        <v>5.2706263936752489</v>
      </c>
      <c r="E41" s="81"/>
      <c r="F41" s="479">
        <v>310</v>
      </c>
      <c r="G41" s="80">
        <f>IF(F41="","",(F41/F46)*100)</f>
        <v>3.1024819855884709</v>
      </c>
      <c r="I41" s="82" t="s">
        <v>236</v>
      </c>
      <c r="J41" s="591"/>
      <c r="K41" s="591" t="str">
        <f>IF(J41="","",(J41/J46)*100)</f>
        <v/>
      </c>
      <c r="L41" s="81"/>
      <c r="M41" s="83"/>
      <c r="N41" s="80" t="str">
        <f>IF(M41="","",(M41/M46)*100)</f>
        <v/>
      </c>
    </row>
    <row r="42" spans="2:14" ht="15">
      <c r="B42" s="82" t="s">
        <v>238</v>
      </c>
      <c r="C42" s="909">
        <v>160</v>
      </c>
      <c r="D42" s="910">
        <f>IF(C42="","",(C42/C46)*100)</f>
        <v>1.6217311980539224</v>
      </c>
      <c r="E42" s="81"/>
      <c r="F42" s="479">
        <v>140</v>
      </c>
      <c r="G42" s="80">
        <f>IF(F42="","",(F42/F46)*100)</f>
        <v>1.4011208967173738</v>
      </c>
      <c r="I42" s="82" t="s">
        <v>238</v>
      </c>
      <c r="J42" s="591"/>
      <c r="K42" s="591" t="str">
        <f>IF(J42="","",(J42/J46)*100)</f>
        <v/>
      </c>
      <c r="L42" s="81"/>
      <c r="M42" s="83"/>
      <c r="N42" s="80" t="str">
        <f>IF(M42="","",(M42/M46)*100)</f>
        <v/>
      </c>
    </row>
    <row r="43" spans="2:14" ht="15">
      <c r="B43" s="82" t="s">
        <v>239</v>
      </c>
      <c r="C43" s="479">
        <v>76</v>
      </c>
      <c r="D43" s="910">
        <f>IF(C43="","",(C43/C46)*100)</f>
        <v>0.77032231907561322</v>
      </c>
      <c r="E43" s="81"/>
      <c r="F43" s="909">
        <v>68</v>
      </c>
      <c r="G43" s="80">
        <f>IF(F43="","",(F43/F46)*100)</f>
        <v>0.6805444355484388</v>
      </c>
      <c r="I43" s="82" t="s">
        <v>239</v>
      </c>
      <c r="J43" s="909"/>
      <c r="K43" s="591" t="str">
        <f>IF(J43="","",(J43/J46)*100)</f>
        <v/>
      </c>
      <c r="L43" s="81"/>
      <c r="M43" s="83"/>
      <c r="N43" s="80" t="str">
        <f>IF(M43="","",(M43/M46)*100)</f>
        <v/>
      </c>
    </row>
    <row r="44" spans="2:14" ht="15">
      <c r="B44" s="82" t="s">
        <v>241</v>
      </c>
      <c r="C44" s="479">
        <v>44</v>
      </c>
      <c r="D44" s="910">
        <f>IF(C44="","",(C44/C46)*100)</f>
        <v>0.44597607946482876</v>
      </c>
      <c r="E44" s="81"/>
      <c r="F44" s="909">
        <v>38</v>
      </c>
      <c r="G44" s="80">
        <f>IF(F44="","",(F44/F46)*100)</f>
        <v>0.38030424339471575</v>
      </c>
      <c r="I44" s="82" t="s">
        <v>241</v>
      </c>
      <c r="J44" s="909"/>
      <c r="K44" s="591" t="str">
        <f>IF(J44="","",(J44/J46)*100)</f>
        <v/>
      </c>
      <c r="L44" s="81"/>
      <c r="M44" s="83"/>
      <c r="N44" s="80" t="str">
        <f>IF(M44="","",(M44/M46)*100)</f>
        <v/>
      </c>
    </row>
    <row r="45" spans="2:14" ht="15">
      <c r="B45" s="86" t="s">
        <v>243</v>
      </c>
      <c r="C45" s="479">
        <v>42</v>
      </c>
      <c r="D45" s="910">
        <f>IF(C45="","",(C45/C46)*100)</f>
        <v>0.42570443948915465</v>
      </c>
      <c r="E45" s="81"/>
      <c r="F45" s="909">
        <v>42</v>
      </c>
      <c r="G45" s="80">
        <f>IF(F45="","",(F45/F46)*100)</f>
        <v>0.42033626901521215</v>
      </c>
      <c r="I45" s="86" t="s">
        <v>243</v>
      </c>
      <c r="J45" s="909"/>
      <c r="K45" s="591" t="str">
        <f>IF(J45="","",(J45/J46)*100)</f>
        <v/>
      </c>
      <c r="L45" s="81"/>
      <c r="M45" s="245"/>
      <c r="N45" s="80" t="str">
        <f>IF(M45="","",(M45/M46)*100)</f>
        <v/>
      </c>
    </row>
    <row r="46" spans="2:14" ht="15">
      <c r="B46" s="87" t="s">
        <v>245</v>
      </c>
      <c r="C46" s="250">
        <f>IF(C36="","",SUM(C36:C45))</f>
        <v>9866</v>
      </c>
      <c r="D46" s="249">
        <v>100.00000000000003</v>
      </c>
      <c r="E46" s="81"/>
      <c r="F46" s="250">
        <f>IF(F36="","",SUM(F36:F45))</f>
        <v>9992</v>
      </c>
      <c r="G46" s="249">
        <v>100.00000000000003</v>
      </c>
      <c r="I46" s="87" t="s">
        <v>245</v>
      </c>
      <c r="J46" s="250" t="str">
        <f>IF(J36="","",SUM(J36:J45))</f>
        <v/>
      </c>
      <c r="K46" s="249">
        <v>100.00000000000003</v>
      </c>
      <c r="L46" s="81"/>
      <c r="M46" s="250" t="str">
        <f>IF(M36="","",SUM(M36:M45))</f>
        <v/>
      </c>
      <c r="N46" s="249">
        <v>100.00000000000003</v>
      </c>
    </row>
    <row r="47" spans="2:14" ht="15" thickBot="1">
      <c r="B47" s="78" t="s">
        <v>237</v>
      </c>
      <c r="C47" s="247"/>
      <c r="D47" s="246">
        <f>IF(C46="","",D38+D39)</f>
        <v>47.13156294344212</v>
      </c>
      <c r="E47" s="81"/>
      <c r="F47" s="248"/>
      <c r="G47" s="246">
        <f>IF(F46="","",G38+G39)</f>
        <v>48.258606885508406</v>
      </c>
      <c r="I47" s="78" t="s">
        <v>237</v>
      </c>
      <c r="J47" s="247"/>
      <c r="K47" s="246" t="str">
        <f>IF(J46="","",K38+K39)</f>
        <v/>
      </c>
      <c r="L47" s="81"/>
      <c r="M47" s="248"/>
      <c r="N47" s="246" t="str">
        <f>IF(M46="","",N38+N39)</f>
        <v/>
      </c>
    </row>
    <row r="48" spans="2:14">
      <c r="B48" s="89">
        <v>-6.3</v>
      </c>
      <c r="C48" s="803"/>
      <c r="D48" s="90">
        <f>IF(C46="","",D43+D44+D45)</f>
        <v>1.6420028380295968</v>
      </c>
      <c r="E48" s="81"/>
      <c r="F48" s="805"/>
      <c r="G48" s="90">
        <f>IF(F46="","",G43+G44+G45)</f>
        <v>1.4811849479583667</v>
      </c>
      <c r="I48" s="89">
        <v>-6.3</v>
      </c>
      <c r="J48" s="803"/>
      <c r="K48" s="90" t="str">
        <f>IF(J46="","",K43+K44+K45)</f>
        <v/>
      </c>
      <c r="L48" s="81"/>
      <c r="M48" s="805"/>
      <c r="N48" s="90" t="str">
        <f>IF(M46="","",N43+N44+N45)</f>
        <v/>
      </c>
    </row>
    <row r="49" spans="2:14">
      <c r="B49" s="91" t="s">
        <v>240</v>
      </c>
      <c r="C49" s="803"/>
      <c r="D49" s="88">
        <f>IF(C46="","",D38+D39+D40)</f>
        <v>90.816947091019657</v>
      </c>
      <c r="E49" s="81"/>
      <c r="F49" s="805"/>
      <c r="G49" s="88">
        <f>IF(F46="","",G38+G39+G40)</f>
        <v>93.294635708566858</v>
      </c>
      <c r="I49" s="91" t="s">
        <v>240</v>
      </c>
      <c r="J49" s="803"/>
      <c r="K49" s="88" t="str">
        <f>IF(J46="","",K38+K39+K40)</f>
        <v/>
      </c>
      <c r="L49" s="81"/>
      <c r="M49" s="805"/>
      <c r="N49" s="88" t="str">
        <f>IF(M46="","",N38+N39+N40)</f>
        <v/>
      </c>
    </row>
    <row r="50" spans="2:14" ht="15" thickBot="1">
      <c r="B50" s="92" t="s">
        <v>242</v>
      </c>
      <c r="C50" s="803"/>
      <c r="D50" s="88">
        <f>IF(C46="","",D38+D39+D40+D41)</f>
        <v>96.0875734846949</v>
      </c>
      <c r="E50" s="81"/>
      <c r="F50" s="805"/>
      <c r="G50" s="88">
        <f>IF(F46="","",G38+G39+G40+G41)</f>
        <v>96.397117694155327</v>
      </c>
      <c r="I50" s="92" t="s">
        <v>242</v>
      </c>
      <c r="J50" s="803"/>
      <c r="K50" s="88" t="str">
        <f>IF(J46="","",K38+K39+K40+K41)</f>
        <v/>
      </c>
      <c r="L50" s="81"/>
      <c r="M50" s="805"/>
      <c r="N50" s="88" t="str">
        <f>IF(M46="","",N38+N39+N40+N41)</f>
        <v/>
      </c>
    </row>
    <row r="51" spans="2:14" ht="15" thickBot="1">
      <c r="B51" s="87" t="s">
        <v>244</v>
      </c>
      <c r="C51" s="804"/>
      <c r="D51" s="93">
        <f>IF(C46="","",(D38+D39)/D40)</f>
        <v>1.0788863109048723</v>
      </c>
      <c r="E51" s="81"/>
      <c r="F51" s="805"/>
      <c r="G51" s="93">
        <f>IF(F46="","",(G38+G39)/G40)</f>
        <v>1.0715555555555554</v>
      </c>
      <c r="I51" s="87" t="s">
        <v>244</v>
      </c>
      <c r="J51" s="804"/>
      <c r="K51" s="93" t="str">
        <f>IF(J46="","",(K38+K39)/K40)</f>
        <v/>
      </c>
      <c r="L51" s="81"/>
      <c r="M51" s="805"/>
      <c r="N51" s="93" t="str">
        <f>IF(M46="","",(N38+N39)/N40)</f>
        <v/>
      </c>
    </row>
    <row r="52" spans="2:14" ht="15.95" thickBot="1">
      <c r="B52" s="807" t="s">
        <v>250</v>
      </c>
      <c r="C52" s="808"/>
      <c r="D52" s="94">
        <f>IF(C46="","",((D36*20)+(D37*17.5)+(D38*15)+(D39*13.25)+(D40*10.75)+(D41*8.5)+(D42*7.15)+(D48*3.15))/100)</f>
        <v>11.973271842692075</v>
      </c>
      <c r="E52" s="81"/>
      <c r="F52" s="806"/>
      <c r="G52" s="94">
        <f>IF(F46="","",((G36*20)+(G37*17.5)+(G38*15)+(G39*13.25)+(G40*10.75)+(G41*8.5)+(G42*7.15)+(G48*3.15))/100)</f>
        <v>12.090692554043233</v>
      </c>
      <c r="I52" s="807" t="s">
        <v>250</v>
      </c>
      <c r="J52" s="808"/>
      <c r="K52" s="94" t="str">
        <f>IF(J46="","",((K36*20)+(K37*17.5)+(K38*15)+(K39*13.25)+(K40*10.75)+(K41*8.5)+(K42*7.15)+(K48*3.15))/100)</f>
        <v/>
      </c>
      <c r="L52" s="81"/>
      <c r="M52" s="806"/>
      <c r="N52" s="94" t="str">
        <f>IF(M46="","",((N36*20)+(N37*17.5)+(N38*15)+(N39*13.25)+(N40*10.75)+(N41*8.5)+(N42*7.15)+(N48*3.15))/100)</f>
        <v/>
      </c>
    </row>
    <row r="54" spans="2:14" ht="15"/>
    <row r="55" spans="2:14" ht="18">
      <c r="B55" s="68" t="s">
        <v>95</v>
      </c>
      <c r="C55" s="809"/>
      <c r="D55" s="810"/>
      <c r="E55" s="81"/>
      <c r="F55" s="69" t="s">
        <v>5</v>
      </c>
      <c r="G55" s="251"/>
      <c r="I55" s="68" t="s">
        <v>95</v>
      </c>
      <c r="J55" s="809"/>
      <c r="K55" s="810"/>
      <c r="L55" s="81"/>
      <c r="M55" s="69" t="s">
        <v>5</v>
      </c>
      <c r="N55" s="251"/>
    </row>
    <row r="56" spans="2:14" ht="15"/>
    <row r="57" spans="2:14" ht="15">
      <c r="B57" s="793" t="s">
        <v>216</v>
      </c>
      <c r="C57" s="795" t="s">
        <v>217</v>
      </c>
      <c r="D57" s="796"/>
      <c r="E57" s="81"/>
      <c r="F57" s="795" t="s">
        <v>218</v>
      </c>
      <c r="G57" s="796"/>
      <c r="I57" s="793" t="s">
        <v>216</v>
      </c>
      <c r="J57" s="795" t="s">
        <v>217</v>
      </c>
      <c r="K57" s="796"/>
      <c r="L57" s="81"/>
      <c r="M57" s="795" t="s">
        <v>218</v>
      </c>
      <c r="N57" s="796"/>
    </row>
    <row r="58" spans="2:14" ht="30" customHeight="1">
      <c r="B58" s="794"/>
      <c r="C58" s="797"/>
      <c r="D58" s="798"/>
      <c r="E58" s="81"/>
      <c r="F58" s="797"/>
      <c r="G58" s="798" t="s">
        <v>219</v>
      </c>
      <c r="I58" s="794"/>
      <c r="J58" s="797"/>
      <c r="K58" s="798"/>
      <c r="L58" s="81"/>
      <c r="M58" s="797"/>
      <c r="N58" s="798" t="s">
        <v>219</v>
      </c>
    </row>
    <row r="59" spans="2:14" ht="15">
      <c r="B59" s="73" t="s">
        <v>222</v>
      </c>
      <c r="C59" s="74" t="s">
        <v>223</v>
      </c>
      <c r="D59" s="75" t="s">
        <v>224</v>
      </c>
      <c r="E59" s="81"/>
      <c r="F59" s="75" t="s">
        <v>223</v>
      </c>
      <c r="G59" s="74" t="s">
        <v>224</v>
      </c>
      <c r="I59" s="73" t="s">
        <v>222</v>
      </c>
      <c r="J59" s="74" t="s">
        <v>223</v>
      </c>
      <c r="K59" s="75" t="s">
        <v>224</v>
      </c>
      <c r="L59" s="81"/>
      <c r="M59" s="75" t="s">
        <v>223</v>
      </c>
      <c r="N59" s="74" t="s">
        <v>224</v>
      </c>
    </row>
    <row r="60" spans="2:14" ht="15">
      <c r="B60" s="78" t="s">
        <v>227</v>
      </c>
      <c r="C60" s="479"/>
      <c r="D60" s="80" t="str">
        <f>IF(C60="","",(C60/C70)*100)</f>
        <v/>
      </c>
      <c r="E60" s="81"/>
      <c r="F60" s="479"/>
      <c r="G60" s="80" t="str">
        <f>IF(F60="","",(F60/F70)*100)</f>
        <v/>
      </c>
      <c r="I60" s="78" t="s">
        <v>227</v>
      </c>
      <c r="J60" s="479"/>
      <c r="K60" s="80" t="str">
        <f>IF(J60="","",(J60/J70)*100)</f>
        <v/>
      </c>
      <c r="L60" s="81"/>
      <c r="M60" s="479"/>
      <c r="N60" s="80" t="str">
        <f>IF(M60="","",(M60/M70)*100)</f>
        <v/>
      </c>
    </row>
    <row r="61" spans="2:14" ht="15">
      <c r="B61" s="82" t="s">
        <v>228</v>
      </c>
      <c r="C61" s="479"/>
      <c r="D61" s="80" t="str">
        <f>IF(C61="","",(C61/C70)*100)</f>
        <v/>
      </c>
      <c r="E61" s="81"/>
      <c r="F61" s="479"/>
      <c r="G61" s="80" t="str">
        <f>IF(F61="","",(F61/F70)*100)</f>
        <v/>
      </c>
      <c r="I61" s="82" t="s">
        <v>228</v>
      </c>
      <c r="J61" s="479"/>
      <c r="K61" s="80" t="str">
        <f>IF(J61="","",(J61/J70)*100)</f>
        <v/>
      </c>
      <c r="L61" s="81"/>
      <c r="M61" s="479"/>
      <c r="N61" s="80" t="str">
        <f>IF(M61="","",(M61/M70)*100)</f>
        <v/>
      </c>
    </row>
    <row r="62" spans="2:14" ht="15">
      <c r="B62" s="82" t="s">
        <v>229</v>
      </c>
      <c r="C62" s="479"/>
      <c r="D62" s="80" t="str">
        <f>IF(C62="","",(C62/C70)*100)</f>
        <v/>
      </c>
      <c r="E62" s="81"/>
      <c r="F62" s="479"/>
      <c r="G62" s="80" t="str">
        <f>IF(F62="","",(F62/F70)*100)</f>
        <v/>
      </c>
      <c r="I62" s="82" t="s">
        <v>229</v>
      </c>
      <c r="J62" s="479"/>
      <c r="K62" s="80" t="str">
        <f>IF(J62="","",(J62/J70)*100)</f>
        <v/>
      </c>
      <c r="L62" s="81"/>
      <c r="M62" s="479"/>
      <c r="N62" s="80" t="str">
        <f>IF(M62="","",(M62/M70)*100)</f>
        <v/>
      </c>
    </row>
    <row r="63" spans="2:14" ht="15">
      <c r="B63" s="82" t="s">
        <v>234</v>
      </c>
      <c r="C63" s="479"/>
      <c r="D63" s="80" t="str">
        <f>IF(C63="","",(C63/C70)*100)</f>
        <v/>
      </c>
      <c r="E63" s="81"/>
      <c r="F63" s="479"/>
      <c r="G63" s="80" t="str">
        <f>IF(F63="","",(F63/F70)*100)</f>
        <v/>
      </c>
      <c r="I63" s="82" t="s">
        <v>234</v>
      </c>
      <c r="J63" s="479"/>
      <c r="K63" s="80" t="str">
        <f>IF(J63="","",(J63/J70)*100)</f>
        <v/>
      </c>
      <c r="L63" s="81"/>
      <c r="M63" s="479"/>
      <c r="N63" s="80" t="str">
        <f>IF(M63="","",(M63/M70)*100)</f>
        <v/>
      </c>
    </row>
    <row r="64" spans="2:14" ht="15">
      <c r="B64" s="82" t="s">
        <v>235</v>
      </c>
      <c r="C64" s="479"/>
      <c r="D64" s="80" t="str">
        <f>IF(C64="","",(C64/C70)*100)</f>
        <v/>
      </c>
      <c r="E64" s="81"/>
      <c r="F64" s="479"/>
      <c r="G64" s="80" t="str">
        <f>IF(F64="","",(F64/F70)*100)</f>
        <v/>
      </c>
      <c r="I64" s="82" t="s">
        <v>235</v>
      </c>
      <c r="J64" s="479"/>
      <c r="K64" s="80" t="str">
        <f>IF(J64="","",(J64/J70)*100)</f>
        <v/>
      </c>
      <c r="L64" s="81"/>
      <c r="M64" s="479"/>
      <c r="N64" s="80" t="str">
        <f>IF(M64="","",(M64/M70)*100)</f>
        <v/>
      </c>
    </row>
    <row r="65" spans="2:14" ht="15">
      <c r="B65" s="82" t="s">
        <v>236</v>
      </c>
      <c r="C65" s="479"/>
      <c r="D65" s="80" t="str">
        <f>IF(C65="","",(C65/C70)*100)</f>
        <v/>
      </c>
      <c r="E65" s="81"/>
      <c r="F65" s="479"/>
      <c r="G65" s="80" t="str">
        <f>IF(F65="","",(F65/F70)*100)</f>
        <v/>
      </c>
      <c r="I65" s="82" t="s">
        <v>236</v>
      </c>
      <c r="J65" s="479"/>
      <c r="K65" s="80" t="str">
        <f>IF(J65="","",(J65/J70)*100)</f>
        <v/>
      </c>
      <c r="L65" s="81"/>
      <c r="M65" s="479"/>
      <c r="N65" s="80" t="str">
        <f>IF(M65="","",(M65/M70)*100)</f>
        <v/>
      </c>
    </row>
    <row r="66" spans="2:14" ht="15">
      <c r="B66" s="82" t="s">
        <v>238</v>
      </c>
      <c r="C66" s="479"/>
      <c r="D66" s="80" t="str">
        <f>IF(C66="","",(C66/C70)*100)</f>
        <v/>
      </c>
      <c r="E66" s="81"/>
      <c r="F66" s="479"/>
      <c r="G66" s="80" t="str">
        <f>IF(F66="","",(F66/F70)*100)</f>
        <v/>
      </c>
      <c r="I66" s="82" t="s">
        <v>238</v>
      </c>
      <c r="J66" s="479"/>
      <c r="K66" s="80" t="str">
        <f>IF(J66="","",(J66/J70)*100)</f>
        <v/>
      </c>
      <c r="L66" s="81"/>
      <c r="M66" s="479"/>
      <c r="N66" s="80" t="str">
        <f>IF(M66="","",(M66/M70)*100)</f>
        <v/>
      </c>
    </row>
    <row r="67" spans="2:14" ht="15">
      <c r="B67" s="82" t="s">
        <v>239</v>
      </c>
      <c r="C67" s="479"/>
      <c r="D67" s="80" t="str">
        <f>IF(C67="","",(C67/C70)*100)</f>
        <v/>
      </c>
      <c r="E67" s="81"/>
      <c r="F67" s="479"/>
      <c r="G67" s="80" t="str">
        <f>IF(F67="","",(F67/F70)*100)</f>
        <v/>
      </c>
      <c r="I67" s="82" t="s">
        <v>239</v>
      </c>
      <c r="J67" s="479"/>
      <c r="K67" s="80" t="str">
        <f>IF(J67="","",(J67/J70)*100)</f>
        <v/>
      </c>
      <c r="L67" s="81"/>
      <c r="M67" s="479"/>
      <c r="N67" s="80" t="str">
        <f>IF(M67="","",(M67/M70)*100)</f>
        <v/>
      </c>
    </row>
    <row r="68" spans="2:14" ht="15">
      <c r="B68" s="82" t="s">
        <v>241</v>
      </c>
      <c r="C68" s="479"/>
      <c r="D68" s="80" t="str">
        <f>IF(C68="","",(C68/C70)*100)</f>
        <v/>
      </c>
      <c r="E68" s="81"/>
      <c r="F68" s="479"/>
      <c r="G68" s="80" t="str">
        <f>IF(F68="","",(F68/F70)*100)</f>
        <v/>
      </c>
      <c r="I68" s="82" t="s">
        <v>241</v>
      </c>
      <c r="J68" s="479"/>
      <c r="K68" s="80" t="str">
        <f>IF(J68="","",(J68/J70)*100)</f>
        <v/>
      </c>
      <c r="L68" s="81"/>
      <c r="M68" s="479"/>
      <c r="N68" s="80" t="str">
        <f>IF(M68="","",(M68/M70)*100)</f>
        <v/>
      </c>
    </row>
    <row r="69" spans="2:14" ht="15">
      <c r="B69" s="86" t="s">
        <v>243</v>
      </c>
      <c r="C69" s="479"/>
      <c r="D69" s="80" t="str">
        <f>IF(C69="","",(C69/C70)*100)</f>
        <v/>
      </c>
      <c r="E69" s="81"/>
      <c r="F69" s="479"/>
      <c r="G69" s="80" t="str">
        <f>IF(F69="","",(F69/F70)*100)</f>
        <v/>
      </c>
      <c r="I69" s="86" t="s">
        <v>243</v>
      </c>
      <c r="J69" s="479"/>
      <c r="K69" s="80" t="str">
        <f>IF(J69="","",(J69/J70)*100)</f>
        <v/>
      </c>
      <c r="L69" s="81"/>
      <c r="M69" s="479"/>
      <c r="N69" s="80" t="str">
        <f>IF(M69="","",(M69/M70)*100)</f>
        <v/>
      </c>
    </row>
    <row r="70" spans="2:14" ht="15">
      <c r="B70" s="87" t="s">
        <v>245</v>
      </c>
      <c r="C70" s="250" t="str">
        <f>IF(C60="","",SUM(C60:C69))</f>
        <v/>
      </c>
      <c r="D70" s="249">
        <v>100.00000000000003</v>
      </c>
      <c r="E70" s="81"/>
      <c r="F70" s="250" t="str">
        <f>IF(F60="","",SUM(F60:F69))</f>
        <v/>
      </c>
      <c r="G70" s="249">
        <v>100.00000000000003</v>
      </c>
      <c r="I70" s="87" t="s">
        <v>245</v>
      </c>
      <c r="J70" s="250" t="str">
        <f>IF(J60="","",SUM(J60:J69))</f>
        <v/>
      </c>
      <c r="K70" s="249">
        <v>100.00000000000003</v>
      </c>
      <c r="L70" s="81"/>
      <c r="M70" s="250" t="str">
        <f>IF(M60="","",SUM(M60:M69))</f>
        <v/>
      </c>
      <c r="N70" s="249">
        <v>100.00000000000003</v>
      </c>
    </row>
    <row r="71" spans="2:14" ht="15">
      <c r="B71" s="78" t="s">
        <v>237</v>
      </c>
      <c r="C71" s="247"/>
      <c r="D71" s="246" t="str">
        <f>IF(C70="","",D62+D63)</f>
        <v/>
      </c>
      <c r="E71" s="81"/>
      <c r="F71" s="248"/>
      <c r="G71" s="246" t="str">
        <f>IF(F70="","",G62+G63)</f>
        <v/>
      </c>
      <c r="I71" s="78" t="s">
        <v>237</v>
      </c>
      <c r="J71" s="247"/>
      <c r="K71" s="246" t="str">
        <f>IF(J70="","",K62+K63)</f>
        <v/>
      </c>
      <c r="L71" s="81"/>
      <c r="M71" s="248"/>
      <c r="N71" s="246" t="str">
        <f>IF(M70="","",N62+N63)</f>
        <v/>
      </c>
    </row>
    <row r="72" spans="2:14" ht="15">
      <c r="B72" s="89">
        <v>-6.3</v>
      </c>
      <c r="C72" s="803"/>
      <c r="D72" s="90" t="str">
        <f>IF(C70="","",D67+D68+D69)</f>
        <v/>
      </c>
      <c r="E72" s="81"/>
      <c r="F72" s="805"/>
      <c r="G72" s="90" t="str">
        <f>IF(F70="","",G67+G68+G69)</f>
        <v/>
      </c>
      <c r="I72" s="89">
        <v>-6.3</v>
      </c>
      <c r="J72" s="803"/>
      <c r="K72" s="90" t="str">
        <f>IF(J70="","",K67+K68+K69)</f>
        <v/>
      </c>
      <c r="L72" s="81"/>
      <c r="M72" s="805"/>
      <c r="N72" s="90" t="str">
        <f>IF(M70="","",N67+N68+N69)</f>
        <v/>
      </c>
    </row>
    <row r="73" spans="2:14" ht="15">
      <c r="B73" s="91" t="s">
        <v>240</v>
      </c>
      <c r="C73" s="803"/>
      <c r="D73" s="88" t="str">
        <f>IF(C70="","",D62+D63+D64)</f>
        <v/>
      </c>
      <c r="E73" s="81"/>
      <c r="F73" s="805"/>
      <c r="G73" s="88" t="str">
        <f>IF(F70="","",G62+G63+G64)</f>
        <v/>
      </c>
      <c r="I73" s="91" t="s">
        <v>240</v>
      </c>
      <c r="J73" s="803"/>
      <c r="K73" s="88" t="str">
        <f>IF(J70="","",K62+K63+K64)</f>
        <v/>
      </c>
      <c r="L73" s="81"/>
      <c r="M73" s="805"/>
      <c r="N73" s="88" t="str">
        <f>IF(M70="","",N62+N63+N64)</f>
        <v/>
      </c>
    </row>
    <row r="74" spans="2:14" ht="15">
      <c r="B74" s="92" t="s">
        <v>242</v>
      </c>
      <c r="C74" s="803"/>
      <c r="D74" s="88" t="str">
        <f>IF(C70="","",D62+D63+D64+D65)</f>
        <v/>
      </c>
      <c r="E74" s="81"/>
      <c r="F74" s="805"/>
      <c r="G74" s="88" t="str">
        <f>IF(F70="","",G62+G63+G64+G65)</f>
        <v/>
      </c>
      <c r="I74" s="92" t="s">
        <v>242</v>
      </c>
      <c r="J74" s="803"/>
      <c r="K74" s="88" t="str">
        <f>IF(J70="","",K62+K63+K64+K65)</f>
        <v/>
      </c>
      <c r="L74" s="81"/>
      <c r="M74" s="805"/>
      <c r="N74" s="88" t="str">
        <f>IF(M70="","",N62+N63+N64+N65)</f>
        <v/>
      </c>
    </row>
    <row r="75" spans="2:14" ht="15">
      <c r="B75" s="87" t="s">
        <v>244</v>
      </c>
      <c r="C75" s="804"/>
      <c r="D75" s="93" t="str">
        <f>IF(C70="","",(D62+D63)/D64)</f>
        <v/>
      </c>
      <c r="E75" s="81"/>
      <c r="F75" s="805"/>
      <c r="G75" s="93" t="str">
        <f>IF(F70="","",(G62+G63)/G64)</f>
        <v/>
      </c>
      <c r="I75" s="87" t="s">
        <v>244</v>
      </c>
      <c r="J75" s="804"/>
      <c r="K75" s="93" t="str">
        <f>IF(J70="","",(K62+K63)/K64)</f>
        <v/>
      </c>
      <c r="L75" s="81"/>
      <c r="M75" s="805"/>
      <c r="N75" s="93" t="str">
        <f>IF(M70="","",(N62+N63)/N64)</f>
        <v/>
      </c>
    </row>
    <row r="76" spans="2:14" ht="15.75">
      <c r="B76" s="807" t="s">
        <v>250</v>
      </c>
      <c r="C76" s="808"/>
      <c r="D76" s="94" t="str">
        <f>IF(C70="","",((D60*20)+(D61*17.5)+(D62*15)+(D63*13.25)+(D64*10.75)+(D65*8.5)+(D66*7.15)+(D72*3.15))/100)</f>
        <v/>
      </c>
      <c r="E76" s="81"/>
      <c r="F76" s="806"/>
      <c r="G76" s="94" t="str">
        <f>IF(F70="","",((G60*20)+(G61*17.5)+(G62*15)+(G63*13.25)+(G64*10.75)+(G65*8.5)+(G66*7.15)+(G72*3.15))/100)</f>
        <v/>
      </c>
      <c r="I76" s="807" t="s">
        <v>250</v>
      </c>
      <c r="J76" s="808"/>
      <c r="K76" s="94" t="str">
        <f>IF(J70="","",((K60*20)+(K61*17.5)+(K62*15)+(K63*13.25)+(K64*10.75)+(K65*8.5)+(K66*7.15)+(K72*3.15))/100)</f>
        <v/>
      </c>
      <c r="L76" s="81"/>
      <c r="M76" s="806"/>
      <c r="N76" s="94" t="str">
        <f>IF(M70="","",((N60*20)+(N61*17.5)+(N62*15)+(N63*13.25)+(N64*10.75)+(N65*8.5)+(N66*7.15)+(N72*3.15))/100)</f>
        <v/>
      </c>
    </row>
    <row r="77" spans="2:14" ht="15"/>
  </sheetData>
  <mergeCells count="67">
    <mergeCell ref="C72:C75"/>
    <mergeCell ref="F72:F76"/>
    <mergeCell ref="B76:C76"/>
    <mergeCell ref="M33:N34"/>
    <mergeCell ref="C55:D55"/>
    <mergeCell ref="B57:B58"/>
    <mergeCell ref="C57:D58"/>
    <mergeCell ref="F57:G58"/>
    <mergeCell ref="J55:K55"/>
    <mergeCell ref="I57:I58"/>
    <mergeCell ref="J57:K58"/>
    <mergeCell ref="M57:N58"/>
    <mergeCell ref="J72:J75"/>
    <mergeCell ref="M72:M76"/>
    <mergeCell ref="I76:J76"/>
    <mergeCell ref="C24:C27"/>
    <mergeCell ref="F24:F28"/>
    <mergeCell ref="J24:J27"/>
    <mergeCell ref="M24:M28"/>
    <mergeCell ref="B28:C28"/>
    <mergeCell ref="I28:J28"/>
    <mergeCell ref="Q24:Q25"/>
    <mergeCell ref="R24:R25"/>
    <mergeCell ref="P24:P25"/>
    <mergeCell ref="C48:C51"/>
    <mergeCell ref="F48:F52"/>
    <mergeCell ref="J48:J51"/>
    <mergeCell ref="M48:M52"/>
    <mergeCell ref="B52:C52"/>
    <mergeCell ref="I52:J52"/>
    <mergeCell ref="C31:D31"/>
    <mergeCell ref="J31:K31"/>
    <mergeCell ref="B33:B34"/>
    <mergeCell ref="C33:D34"/>
    <mergeCell ref="F33:G34"/>
    <mergeCell ref="I33:I34"/>
    <mergeCell ref="J33:K34"/>
    <mergeCell ref="W14:W16"/>
    <mergeCell ref="C7:D7"/>
    <mergeCell ref="J7:K7"/>
    <mergeCell ref="M9:N10"/>
    <mergeCell ref="B9:B10"/>
    <mergeCell ref="C9:D10"/>
    <mergeCell ref="F9:G10"/>
    <mergeCell ref="I9:I10"/>
    <mergeCell ref="J9:K10"/>
    <mergeCell ref="AI14:AI16"/>
    <mergeCell ref="AJ14:AJ16"/>
    <mergeCell ref="AG15:AH15"/>
    <mergeCell ref="AG16:AH16"/>
    <mergeCell ref="AF14:AF16"/>
    <mergeCell ref="B6:Q6"/>
    <mergeCell ref="B2:Q2"/>
    <mergeCell ref="B1:Q1"/>
    <mergeCell ref="AE14:AE16"/>
    <mergeCell ref="Q15:R15"/>
    <mergeCell ref="U15:V15"/>
    <mergeCell ref="Y15:Z15"/>
    <mergeCell ref="AC15:AD15"/>
    <mergeCell ref="Q16:R16"/>
    <mergeCell ref="U16:V16"/>
    <mergeCell ref="Y16:Z16"/>
    <mergeCell ref="AA14:AA16"/>
    <mergeCell ref="T14:T16"/>
    <mergeCell ref="AB14:AB16"/>
    <mergeCell ref="AC16:AD16"/>
    <mergeCell ref="S14:S16"/>
  </mergeCells>
  <conditionalFormatting sqref="T18 T21 X18 X21 AB18 AB21 AF18 AF21 AJ18 AJ21">
    <cfRule type="containsText" dxfId="5" priority="1" operator="containsText" text="confirmar">
      <formula>NOT(ISERROR(SEARCH("confirmar",T18)))</formula>
    </cfRule>
    <cfRule type="containsText" dxfId="4" priority="2" operator="containsText" text="verdadeiro">
      <formula>NOT(ISERROR(SEARCH("verdadeiro",T18)))</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S30"/>
  <sheetViews>
    <sheetView showGridLines="0" zoomScale="70" zoomScaleNormal="70" workbookViewId="0">
      <pane ySplit="4" topLeftCell="A5" activePane="bottomLeft" state="frozen"/>
      <selection pane="bottomLeft" activeCell="E12" sqref="E12"/>
    </sheetView>
  </sheetViews>
  <sheetFormatPr defaultColWidth="9.140625" defaultRowHeight="15" customHeight="1"/>
  <cols>
    <col min="1" max="1" width="11.28515625" customWidth="1"/>
    <col min="2" max="2" width="12.5703125" customWidth="1"/>
    <col min="3" max="4" width="12.7109375" customWidth="1"/>
    <col min="5" max="5" width="13.28515625" customWidth="1"/>
    <col min="6" max="6" width="12.7109375" customWidth="1"/>
    <col min="7" max="8" width="13.140625" customWidth="1"/>
    <col min="9" max="9" width="12.28515625" bestFit="1" customWidth="1"/>
    <col min="10" max="10" width="12.7109375" customWidth="1"/>
    <col min="11" max="11" width="9.5703125" customWidth="1"/>
    <col min="12" max="12" width="15.5703125" bestFit="1" customWidth="1"/>
    <col min="13" max="13" width="14" bestFit="1" customWidth="1"/>
    <col min="19" max="19" width="1.5703125" customWidth="1"/>
  </cols>
  <sheetData>
    <row r="1" spans="1:19" ht="30" customHeight="1">
      <c r="A1" s="814" t="s">
        <v>251</v>
      </c>
      <c r="B1" s="815"/>
      <c r="C1" s="815"/>
      <c r="D1" s="815"/>
      <c r="E1" s="815"/>
      <c r="F1" s="815"/>
      <c r="G1" s="815"/>
      <c r="H1" s="815"/>
      <c r="I1" s="815"/>
      <c r="J1" s="815"/>
      <c r="K1" s="815"/>
      <c r="L1" s="815"/>
      <c r="M1" s="815"/>
      <c r="N1" s="815"/>
      <c r="O1" s="815"/>
      <c r="P1" s="815"/>
      <c r="Q1" s="815"/>
      <c r="R1" s="815"/>
      <c r="S1" s="815"/>
    </row>
    <row r="2" spans="1:19" ht="20.45" customHeight="1">
      <c r="A2" s="828" t="s">
        <v>252</v>
      </c>
      <c r="B2" s="829"/>
      <c r="C2" s="829"/>
      <c r="D2" s="829"/>
      <c r="E2" s="829"/>
      <c r="F2" s="829"/>
      <c r="G2" s="829"/>
      <c r="H2" s="829"/>
      <c r="I2" s="829"/>
      <c r="J2" s="829"/>
      <c r="K2" s="829"/>
      <c r="L2" s="829"/>
      <c r="M2" s="829"/>
      <c r="N2" s="829"/>
      <c r="O2" s="829"/>
      <c r="P2" s="829"/>
      <c r="Q2" s="829"/>
      <c r="R2" s="829"/>
      <c r="S2" s="829"/>
    </row>
    <row r="3" spans="1:19" ht="42.75" customHeight="1">
      <c r="A3" s="825" t="s">
        <v>253</v>
      </c>
      <c r="B3" s="826"/>
      <c r="C3" s="826"/>
      <c r="D3" s="826"/>
      <c r="E3" s="826"/>
      <c r="F3" s="826"/>
      <c r="G3" s="826"/>
      <c r="H3" s="826"/>
      <c r="I3" s="826"/>
      <c r="J3" s="826"/>
      <c r="K3" s="826"/>
      <c r="L3" s="826"/>
      <c r="M3" s="826"/>
      <c r="N3" s="826"/>
      <c r="O3" s="826"/>
      <c r="P3" s="826"/>
      <c r="Q3" s="826"/>
      <c r="R3" s="826"/>
      <c r="S3" s="827"/>
    </row>
    <row r="4" spans="1:19" s="38" customFormat="1" ht="29.45" customHeight="1">
      <c r="A4" s="33" t="s">
        <v>254</v>
      </c>
      <c r="B4" s="20"/>
      <c r="C4" s="20" t="s">
        <v>255</v>
      </c>
      <c r="D4" s="20" t="s">
        <v>256</v>
      </c>
      <c r="E4" s="34" t="s">
        <v>257</v>
      </c>
      <c r="F4" s="542" t="s">
        <v>258</v>
      </c>
      <c r="G4" s="35" t="s">
        <v>259</v>
      </c>
      <c r="H4" s="35" t="s">
        <v>259</v>
      </c>
      <c r="I4" s="35" t="s">
        <v>260</v>
      </c>
      <c r="J4" s="36" t="s">
        <v>185</v>
      </c>
      <c r="K4" s="37" t="s">
        <v>104</v>
      </c>
      <c r="L4" s="37" t="s">
        <v>261</v>
      </c>
      <c r="M4" s="37" t="s">
        <v>14</v>
      </c>
      <c r="N4" s="57" t="s">
        <v>262</v>
      </c>
      <c r="O4" s="58"/>
      <c r="P4" s="58"/>
      <c r="Q4" s="58"/>
      <c r="R4" s="58"/>
      <c r="S4" s="59"/>
    </row>
    <row r="5" spans="1:19">
      <c r="A5" s="234">
        <v>46266</v>
      </c>
      <c r="B5" s="235"/>
      <c r="C5" s="235">
        <v>11.8</v>
      </c>
      <c r="D5" s="235">
        <v>11.79</v>
      </c>
      <c r="E5" s="236">
        <v>11.83</v>
      </c>
      <c r="F5" s="543"/>
      <c r="G5" s="138">
        <f t="shared" ref="G5:G18" si="0">IMABS(E5-C5)</f>
        <v>2.9999999999999361E-2</v>
      </c>
      <c r="H5" s="138">
        <f>IMABS(E5-D5)</f>
        <v>4.0000000000000924E-2</v>
      </c>
      <c r="I5" s="14">
        <v>0.05</v>
      </c>
      <c r="J5" s="14" t="str">
        <f>IF(AND(F5&lt;0.06,G5&lt;0.06,H5&lt;0.06),"VERDADEIRO","CONFIRMAR")</f>
        <v>VERDADEIRO</v>
      </c>
      <c r="K5" s="238" t="s">
        <v>75</v>
      </c>
      <c r="L5" s="239" t="s">
        <v>57</v>
      </c>
      <c r="M5" s="239">
        <v>126259</v>
      </c>
      <c r="N5" s="816" t="s">
        <v>263</v>
      </c>
      <c r="O5" s="817"/>
      <c r="P5" s="817"/>
      <c r="Q5" s="817"/>
      <c r="R5" s="817"/>
      <c r="S5" s="818"/>
    </row>
    <row r="6" spans="1:19">
      <c r="A6" s="234">
        <v>46271</v>
      </c>
      <c r="B6" s="235"/>
      <c r="C6" s="235">
        <v>12.35</v>
      </c>
      <c r="D6" s="235">
        <v>12.356</v>
      </c>
      <c r="E6" s="236">
        <v>11.38</v>
      </c>
      <c r="F6" s="543"/>
      <c r="G6" s="138">
        <f t="shared" si="0"/>
        <v>0.96999999999999886</v>
      </c>
      <c r="H6" s="138">
        <f t="shared" ref="H6:H18" si="1">IMABS(E6-D6)</f>
        <v>0.97599999999999909</v>
      </c>
      <c r="I6" s="14">
        <v>0.05</v>
      </c>
      <c r="J6" s="14" t="str">
        <f>IF(AND(F6&lt;0.06,G6&lt;0.06,H6&lt;0.06),"VERDADEIRO","CONFIRMAR")</f>
        <v>CONFIRMAR</v>
      </c>
      <c r="K6" s="238" t="s">
        <v>81</v>
      </c>
      <c r="L6" s="239" t="s">
        <v>82</v>
      </c>
      <c r="M6" s="239">
        <v>127039</v>
      </c>
      <c r="N6" s="288" t="s">
        <v>263</v>
      </c>
      <c r="O6" s="240"/>
      <c r="P6" s="240"/>
      <c r="Q6" s="240"/>
      <c r="R6" s="240"/>
      <c r="S6" s="241"/>
    </row>
    <row r="7" spans="1:19">
      <c r="A7" s="234">
        <v>46273</v>
      </c>
      <c r="B7" s="235"/>
      <c r="C7" s="235">
        <v>11.76</v>
      </c>
      <c r="D7" s="235">
        <v>11.82</v>
      </c>
      <c r="E7" s="236">
        <v>11.8</v>
      </c>
      <c r="F7" s="543"/>
      <c r="G7" s="138">
        <f t="shared" si="0"/>
        <v>4.0000000000000924E-2</v>
      </c>
      <c r="H7" s="138">
        <f t="shared" si="1"/>
        <v>1.9999999999999574E-2</v>
      </c>
      <c r="I7" s="14">
        <v>0.05</v>
      </c>
      <c r="J7" s="14" t="str">
        <f t="shared" ref="J7:J18" si="2">IF(AND(F7&lt;0.06,G7&lt;0.06,H7&lt;0.06),"VERDADEIRO","CONFIRMAR")</f>
        <v>VERDADEIRO</v>
      </c>
      <c r="K7" s="238" t="s">
        <v>75</v>
      </c>
      <c r="L7" s="242" t="s">
        <v>60</v>
      </c>
      <c r="M7" s="239">
        <v>126712</v>
      </c>
      <c r="N7" s="288" t="s">
        <v>263</v>
      </c>
      <c r="O7" s="289"/>
      <c r="P7" s="289"/>
      <c r="Q7" s="289"/>
      <c r="R7" s="289"/>
      <c r="S7" s="290"/>
    </row>
    <row r="8" spans="1:19">
      <c r="A8" s="234">
        <v>46278</v>
      </c>
      <c r="B8" s="235"/>
      <c r="C8" s="235">
        <v>12.02</v>
      </c>
      <c r="D8" s="235">
        <v>12</v>
      </c>
      <c r="E8" s="236">
        <v>12.03</v>
      </c>
      <c r="F8" s="543"/>
      <c r="G8" s="138">
        <f t="shared" si="0"/>
        <v>9.9999999999997868E-3</v>
      </c>
      <c r="H8" s="138">
        <f t="shared" si="1"/>
        <v>2.9999999999999361E-2</v>
      </c>
      <c r="I8" s="14">
        <v>0.05</v>
      </c>
      <c r="J8" s="14" t="str">
        <f t="shared" si="2"/>
        <v>VERDADEIRO</v>
      </c>
      <c r="K8" s="238" t="s">
        <v>77</v>
      </c>
      <c r="L8" s="239" t="s">
        <v>80</v>
      </c>
      <c r="M8" s="239">
        <v>126702</v>
      </c>
      <c r="N8" s="819" t="s">
        <v>263</v>
      </c>
      <c r="O8" s="820"/>
      <c r="P8" s="820"/>
      <c r="Q8" s="820"/>
      <c r="R8" s="820"/>
      <c r="S8" s="821"/>
    </row>
    <row r="9" spans="1:19">
      <c r="A9" s="234">
        <v>46280</v>
      </c>
      <c r="B9" s="235"/>
      <c r="C9" s="235">
        <v>11.72</v>
      </c>
      <c r="D9" s="235">
        <v>11.72</v>
      </c>
      <c r="E9" s="236">
        <v>11.75</v>
      </c>
      <c r="F9" s="543"/>
      <c r="G9" s="138">
        <f t="shared" si="0"/>
        <v>2.9999999999999361E-2</v>
      </c>
      <c r="H9" s="138">
        <f t="shared" si="1"/>
        <v>2.9999999999999361E-2</v>
      </c>
      <c r="I9" s="14">
        <v>0.05</v>
      </c>
      <c r="J9" s="14" t="str">
        <f t="shared" si="2"/>
        <v>VERDADEIRO</v>
      </c>
      <c r="K9" s="238" t="s">
        <v>81</v>
      </c>
      <c r="L9" s="239" t="s">
        <v>25</v>
      </c>
      <c r="M9" s="239">
        <v>126669</v>
      </c>
      <c r="N9" s="288"/>
      <c r="O9" s="289"/>
      <c r="P9" s="289"/>
      <c r="Q9" s="289"/>
      <c r="R9" s="289"/>
      <c r="S9" s="290"/>
    </row>
    <row r="10" spans="1:19">
      <c r="A10" s="234">
        <v>46282</v>
      </c>
      <c r="B10" s="235"/>
      <c r="C10" s="235">
        <v>12.02</v>
      </c>
      <c r="D10" s="235">
        <v>11.98</v>
      </c>
      <c r="E10" s="236">
        <v>11.99</v>
      </c>
      <c r="F10" s="543"/>
      <c r="G10" s="138">
        <f t="shared" si="0"/>
        <v>2.9999999999999361E-2</v>
      </c>
      <c r="H10" s="138">
        <f t="shared" si="1"/>
        <v>9.9999999999997868E-3</v>
      </c>
      <c r="I10" s="14">
        <v>0.05</v>
      </c>
      <c r="J10" s="14" t="str">
        <f t="shared" si="2"/>
        <v>VERDADEIRO</v>
      </c>
      <c r="K10" s="238" t="s">
        <v>75</v>
      </c>
      <c r="L10" s="239" t="s">
        <v>60</v>
      </c>
      <c r="M10" s="239">
        <v>126712</v>
      </c>
      <c r="N10" s="819"/>
      <c r="O10" s="820"/>
      <c r="P10" s="820"/>
      <c r="Q10" s="820"/>
      <c r="R10" s="820"/>
      <c r="S10" s="821"/>
    </row>
    <row r="11" spans="1:19">
      <c r="A11" s="234">
        <v>46287</v>
      </c>
      <c r="B11" s="235"/>
      <c r="C11" s="235">
        <v>11.467000000000001</v>
      </c>
      <c r="D11" s="235">
        <v>11.477</v>
      </c>
      <c r="E11" s="236">
        <v>11.46</v>
      </c>
      <c r="F11" s="543"/>
      <c r="G11" s="138">
        <f t="shared" si="0"/>
        <v>6.9999999999996732E-3</v>
      </c>
      <c r="H11" s="138">
        <f t="shared" si="1"/>
        <v>1.699999999999946E-2</v>
      </c>
      <c r="I11" s="14">
        <v>0.05</v>
      </c>
      <c r="J11" s="14" t="str">
        <f t="shared" si="2"/>
        <v>VERDADEIRO</v>
      </c>
      <c r="K11" s="238" t="s">
        <v>81</v>
      </c>
      <c r="L11" s="239" t="s">
        <v>82</v>
      </c>
      <c r="M11" s="239">
        <v>127039</v>
      </c>
      <c r="N11" s="822"/>
      <c r="O11" s="823"/>
      <c r="P11" s="823"/>
      <c r="Q11" s="823"/>
      <c r="R11" s="823"/>
      <c r="S11" s="824"/>
    </row>
    <row r="12" spans="1:19">
      <c r="A12" s="234"/>
      <c r="B12" s="235"/>
      <c r="C12" s="235"/>
      <c r="D12" s="235"/>
      <c r="E12" s="236"/>
      <c r="F12" s="543"/>
      <c r="G12" s="138">
        <f t="shared" si="0"/>
        <v>0</v>
      </c>
      <c r="H12" s="138">
        <f t="shared" si="1"/>
        <v>0</v>
      </c>
      <c r="I12" s="14">
        <v>0.05</v>
      </c>
      <c r="J12" s="14" t="str">
        <f t="shared" si="2"/>
        <v>VERDADEIRO</v>
      </c>
      <c r="K12" s="238"/>
      <c r="L12" s="239"/>
      <c r="M12" s="239"/>
      <c r="N12" s="819"/>
      <c r="O12" s="820"/>
      <c r="P12" s="820"/>
      <c r="Q12" s="820"/>
      <c r="R12" s="820"/>
      <c r="S12" s="821"/>
    </row>
    <row r="13" spans="1:19">
      <c r="A13" s="234"/>
      <c r="B13" s="235"/>
      <c r="C13" s="235"/>
      <c r="D13" s="235"/>
      <c r="E13" s="236"/>
      <c r="F13" s="543"/>
      <c r="G13" s="138">
        <f t="shared" si="0"/>
        <v>0</v>
      </c>
      <c r="H13" s="138">
        <f t="shared" si="1"/>
        <v>0</v>
      </c>
      <c r="I13" s="14">
        <v>0.05</v>
      </c>
      <c r="J13" s="14" t="str">
        <f t="shared" si="2"/>
        <v>VERDADEIRO</v>
      </c>
      <c r="K13" s="238"/>
      <c r="L13" s="239"/>
      <c r="M13" s="239"/>
      <c r="N13" s="291"/>
      <c r="O13" s="292"/>
      <c r="P13" s="292"/>
      <c r="Q13" s="292"/>
      <c r="R13" s="292"/>
      <c r="S13" s="293"/>
    </row>
    <row r="14" spans="1:19">
      <c r="A14" s="234"/>
      <c r="B14" s="235"/>
      <c r="C14" s="235"/>
      <c r="D14" s="235"/>
      <c r="E14" s="236"/>
      <c r="F14" s="543"/>
      <c r="G14" s="138">
        <f t="shared" si="0"/>
        <v>0</v>
      </c>
      <c r="H14" s="138">
        <f t="shared" si="1"/>
        <v>0</v>
      </c>
      <c r="I14" s="14">
        <v>0.05</v>
      </c>
      <c r="J14" s="14" t="str">
        <f t="shared" si="2"/>
        <v>VERDADEIRO</v>
      </c>
      <c r="K14" s="238"/>
      <c r="L14" s="239"/>
      <c r="M14" s="239"/>
      <c r="N14" s="291"/>
      <c r="O14" s="292"/>
      <c r="P14" s="292"/>
      <c r="Q14" s="292"/>
      <c r="R14" s="292"/>
      <c r="S14" s="293"/>
    </row>
    <row r="15" spans="1:19">
      <c r="A15" s="234"/>
      <c r="B15" s="235"/>
      <c r="C15" s="235"/>
      <c r="D15" s="235"/>
      <c r="E15" s="236"/>
      <c r="F15" s="543"/>
      <c r="G15" s="138">
        <f t="shared" si="0"/>
        <v>0</v>
      </c>
      <c r="H15" s="138">
        <f t="shared" si="1"/>
        <v>0</v>
      </c>
      <c r="I15" s="14">
        <v>0.05</v>
      </c>
      <c r="J15" s="14" t="str">
        <f t="shared" si="2"/>
        <v>VERDADEIRO</v>
      </c>
      <c r="K15" s="238"/>
      <c r="L15" s="239"/>
      <c r="M15" s="239"/>
      <c r="N15" s="291"/>
      <c r="O15" s="292"/>
      <c r="P15" s="292"/>
      <c r="Q15" s="292"/>
      <c r="R15" s="292"/>
      <c r="S15" s="293"/>
    </row>
    <row r="16" spans="1:19">
      <c r="A16" s="234"/>
      <c r="B16" s="235"/>
      <c r="C16" s="235"/>
      <c r="D16" s="235"/>
      <c r="E16" s="236"/>
      <c r="F16" s="543"/>
      <c r="G16" s="138">
        <f t="shared" si="0"/>
        <v>0</v>
      </c>
      <c r="H16" s="138">
        <f t="shared" si="1"/>
        <v>0</v>
      </c>
      <c r="I16" s="14">
        <v>0.05</v>
      </c>
      <c r="J16" s="14" t="str">
        <f t="shared" si="2"/>
        <v>VERDADEIRO</v>
      </c>
      <c r="K16" s="238"/>
      <c r="L16" s="239"/>
      <c r="M16" s="239"/>
      <c r="N16" s="291"/>
      <c r="O16" s="292"/>
      <c r="P16" s="292"/>
      <c r="Q16" s="292"/>
      <c r="R16" s="292"/>
      <c r="S16" s="293"/>
    </row>
    <row r="17" spans="1:19">
      <c r="A17" s="234"/>
      <c r="B17" s="235"/>
      <c r="C17" s="235"/>
      <c r="D17" s="235"/>
      <c r="E17" s="236"/>
      <c r="F17" s="543"/>
      <c r="G17" s="138">
        <f t="shared" si="0"/>
        <v>0</v>
      </c>
      <c r="H17" s="138">
        <f t="shared" si="1"/>
        <v>0</v>
      </c>
      <c r="I17" s="14">
        <v>0.05</v>
      </c>
      <c r="J17" s="14" t="str">
        <f t="shared" si="2"/>
        <v>VERDADEIRO</v>
      </c>
      <c r="K17" s="238"/>
      <c r="L17" s="239"/>
      <c r="M17" s="239"/>
      <c r="N17" s="291"/>
      <c r="O17" s="292"/>
      <c r="P17" s="292"/>
      <c r="Q17" s="292"/>
      <c r="R17" s="292"/>
      <c r="S17" s="293"/>
    </row>
    <row r="18" spans="1:19">
      <c r="A18" s="237"/>
      <c r="B18" s="235"/>
      <c r="C18" s="235"/>
      <c r="D18" s="235"/>
      <c r="E18" s="236"/>
      <c r="F18" s="543"/>
      <c r="G18" s="138">
        <f t="shared" si="0"/>
        <v>0</v>
      </c>
      <c r="H18" s="138">
        <f t="shared" si="1"/>
        <v>0</v>
      </c>
      <c r="I18" s="14">
        <v>0.05</v>
      </c>
      <c r="J18" s="14" t="str">
        <f t="shared" si="2"/>
        <v>VERDADEIRO</v>
      </c>
      <c r="K18" s="238"/>
      <c r="L18" s="239"/>
      <c r="M18" s="239"/>
      <c r="N18" s="291"/>
      <c r="O18" s="292"/>
      <c r="P18" s="292"/>
      <c r="Q18" s="292"/>
      <c r="R18" s="292"/>
      <c r="S18" s="293"/>
    </row>
    <row r="19" spans="1:19">
      <c r="A19" s="13" t="s">
        <v>98</v>
      </c>
      <c r="B19" s="7" t="e">
        <f>AVERAGE(B5:B18)</f>
        <v>#DIV/0!</v>
      </c>
      <c r="C19" s="7">
        <f>AVERAGE(C5:C18)</f>
        <v>11.876714285714284</v>
      </c>
      <c r="D19" s="7">
        <f>AVERAGE(D5:D18)</f>
        <v>11.877571428571429</v>
      </c>
      <c r="E19" s="7">
        <f>AVERAGE(E5:E18)</f>
        <v>11.748571428571429</v>
      </c>
      <c r="F19" s="7" t="e">
        <f t="shared" ref="F19:H19" si="3">AVERAGE(F5:F18)</f>
        <v>#DIV/0!</v>
      </c>
      <c r="G19" s="7">
        <f t="shared" si="3"/>
        <v>7.9785714285714099E-2</v>
      </c>
      <c r="H19" s="7">
        <f t="shared" si="3"/>
        <v>8.0214285714285544E-2</v>
      </c>
      <c r="I19" s="14">
        <v>0.2</v>
      </c>
      <c r="J19" s="14"/>
      <c r="K19" s="243"/>
      <c r="L19" s="243"/>
      <c r="M19" s="244"/>
      <c r="N19" s="822"/>
      <c r="O19" s="823"/>
      <c r="P19" s="823"/>
      <c r="Q19" s="823"/>
      <c r="R19" s="823"/>
      <c r="S19" s="824"/>
    </row>
    <row r="22" spans="1:19" ht="15.75" customHeight="1">
      <c r="C22" s="374"/>
      <c r="D22" s="374"/>
    </row>
    <row r="23" spans="1:19">
      <c r="A23" t="s">
        <v>36</v>
      </c>
      <c r="B23">
        <f>COUNT(B5:B18,C5:C18,E5:E18)</f>
        <v>14</v>
      </c>
      <c r="C23" s="39" t="s">
        <v>264</v>
      </c>
      <c r="D23" s="377"/>
      <c r="E23" s="375"/>
    </row>
    <row r="24" spans="1:19">
      <c r="C24" s="39" t="s">
        <v>265</v>
      </c>
      <c r="D24" s="377"/>
      <c r="E24" s="375"/>
    </row>
    <row r="25" spans="1:19">
      <c r="B25" s="9"/>
      <c r="C25" s="40" t="s">
        <v>266</v>
      </c>
      <c r="D25" s="377"/>
      <c r="E25" s="375"/>
    </row>
    <row r="26" spans="1:19">
      <c r="B26" s="10"/>
      <c r="C26" s="40" t="s">
        <v>267</v>
      </c>
      <c r="D26" s="378" t="e">
        <f>((D24-D25)/(D24-D23))*100</f>
        <v>#DIV/0!</v>
      </c>
      <c r="E26" s="376" t="e">
        <f>((E24-E25)/(E24-E23))*100</f>
        <v>#DIV/0!</v>
      </c>
    </row>
    <row r="27" spans="1:19">
      <c r="B27" s="11"/>
      <c r="C27" s="8"/>
      <c r="D27" s="8"/>
    </row>
    <row r="28" spans="1:19">
      <c r="B28" s="11"/>
      <c r="C28" s="8"/>
      <c r="D28" s="8"/>
    </row>
    <row r="29" spans="1:19">
      <c r="B29" s="12"/>
      <c r="C29" s="8"/>
      <c r="D29" s="8"/>
    </row>
    <row r="30" spans="1:19">
      <c r="B30" s="8"/>
      <c r="C30" s="8"/>
      <c r="D30" s="8"/>
    </row>
  </sheetData>
  <sheetProtection algorithmName="SHA-512" hashValue="aBClsjsf+4s2TegqJrHxCdNsSBxkb4wWOAT1bouiX5CPmU2hvw/eVpCVXjEKVcVMT6e2Bnkf3dfyISsWK2YKNg==" saltValue="DPcalmXByEtTEDGsc0jd7A==" spinCount="100000" sheet="1" objects="1" scenarios="1"/>
  <customSheetViews>
    <customSheetView guid="{CCCF8C80-0A30-4E00-90E2-6A0478F5DFB8}" showGridLines="0">
      <selection sqref="A1:U1"/>
      <pageMargins left="0" right="0" top="0" bottom="0" header="0" footer="0"/>
    </customSheetView>
    <customSheetView guid="{BB76541C-9734-4AE6-BF63-6D073F753C9C}" showGridLines="0">
      <selection sqref="A1:U1"/>
      <pageMargins left="0" right="0" top="0" bottom="0" header="0" footer="0"/>
      <pageSetup paperSize="9" orientation="portrait" r:id="rId1"/>
    </customSheetView>
    <customSheetView guid="{B5E2B02B-7E99-408C-BB6F-FFF2280098B7}" showGridLines="0">
      <selection activeCell="L8" sqref="L8"/>
      <pageMargins left="0" right="0" top="0" bottom="0" header="0" footer="0"/>
      <pageSetup paperSize="9" orientation="portrait" r:id="rId2"/>
    </customSheetView>
    <customSheetView guid="{C2E74EDD-1B26-4C41-B9BB-CBF9BFB9023A}" showGridLines="0">
      <selection activeCell="J5" sqref="J5"/>
      <pageMargins left="0" right="0" top="0" bottom="0" header="0" footer="0"/>
      <pageSetup paperSize="9" orientation="portrait" r:id="rId3"/>
    </customSheetView>
    <customSheetView guid="{350D256E-484A-493C-BEC1-E6E92C0ED1FB}" showGridLines="0" topLeftCell="D1">
      <selection sqref="A1:U1"/>
      <pageMargins left="0" right="0" top="0" bottom="0" header="0" footer="0"/>
      <pageSetup paperSize="9" orientation="portrait" r:id="rId4"/>
    </customSheetView>
    <customSheetView guid="{66B043C9-090A-44CE-8F78-F01A2E95C074}" showGridLines="0" topLeftCell="G1">
      <selection activeCell="T7" sqref="T7"/>
      <pageMargins left="0" right="0" top="0" bottom="0" header="0" footer="0"/>
      <pageSetup paperSize="9" orientation="portrait" r:id="rId5"/>
    </customSheetView>
    <customSheetView guid="{71E28378-5869-4383-8FDC-814E20362E22}" showGridLines="0">
      <selection sqref="A1:U1"/>
      <pageMargins left="0" right="0" top="0" bottom="0" header="0" footer="0"/>
      <pageSetup paperSize="9" orientation="portrait" r:id="rId6"/>
    </customSheetView>
    <customSheetView guid="{F714CF42-7A1C-4705-AE29-392CBBABC9F9}" showGridLines="0" topLeftCell="G1">
      <selection activeCell="T7" sqref="T7"/>
      <pageMargins left="0" right="0" top="0" bottom="0" header="0" footer="0"/>
      <pageSetup paperSize="9" orientation="portrait" r:id="rId7"/>
    </customSheetView>
    <customSheetView guid="{38FBFED3-58FC-4347-B294-953F7A53DE3D}" showGridLines="0">
      <selection sqref="A1:U1"/>
      <pageMargins left="0" right="0" top="0" bottom="0" header="0" footer="0"/>
      <pageSetup paperSize="9" orientation="portrait" r:id="rId8"/>
    </customSheetView>
    <customSheetView guid="{693A9131-2702-4FE7-A7C7-E6EDDD138512}" showGridLines="0">
      <selection sqref="A1:U1"/>
      <pageMargins left="0" right="0" top="0" bottom="0" header="0" footer="0"/>
      <pageSetup paperSize="9" orientation="portrait" r:id="rId9"/>
    </customSheetView>
    <customSheetView guid="{4748EC4C-81D5-43D5-94BD-A5B223346BCF}" showGridLines="0">
      <selection sqref="A1:U1"/>
      <pageMargins left="0" right="0" top="0" bottom="0" header="0" footer="0"/>
      <pageSetup paperSize="9" orientation="portrait" r:id="rId10"/>
    </customSheetView>
    <customSheetView guid="{CBDC2B44-0B12-42F6-8A83-327620A020F0}" showGridLines="0">
      <selection activeCell="G28" sqref="G28"/>
      <pageMargins left="0" right="0" top="0" bottom="0" header="0" footer="0"/>
      <pageSetup paperSize="9" orientation="portrait" r:id="rId11"/>
    </customSheetView>
    <customSheetView guid="{713A1DD7-FA1F-4623-B0E6-A04686290522}" showGridLines="0">
      <selection activeCell="J5" sqref="J5"/>
      <pageMargins left="0" right="0" top="0" bottom="0" header="0" footer="0"/>
      <pageSetup paperSize="9" orientation="portrait" r:id="rId12"/>
    </customSheetView>
    <customSheetView guid="{70843BDF-D655-4848-BCD4-BDFD277BBD35}" showGridLines="0">
      <selection sqref="A1:U1"/>
      <pageMargins left="0" right="0" top="0" bottom="0" header="0" footer="0"/>
      <pageSetup paperSize="9" orientation="portrait" r:id="rId13"/>
    </customSheetView>
    <customSheetView guid="{8C81953D-A26D-4ACF-9D7D-729107B858BE}" showGridLines="0">
      <selection sqref="A1:U1"/>
      <pageMargins left="0" right="0" top="0" bottom="0" header="0" footer="0"/>
      <pageSetup paperSize="9" orientation="portrait" r:id="rId14"/>
    </customSheetView>
    <customSheetView guid="{F237F3C3-0F47-464A-8293-D057DA35FD3F}" showGridLines="0">
      <selection activeCell="G21" sqref="G21"/>
      <pageMargins left="0" right="0" top="0" bottom="0" header="0" footer="0"/>
      <pageSetup paperSize="9" orientation="portrait" r:id="rId15"/>
    </customSheetView>
    <customSheetView guid="{5867E70C-6837-4B3A-9747-480F77CCE139}" showGridLines="0">
      <selection sqref="A1:U1"/>
      <pageMargins left="0" right="0" top="0" bottom="0" header="0" footer="0"/>
      <pageSetup paperSize="9" orientation="portrait" r:id="rId16"/>
    </customSheetView>
    <customSheetView guid="{59F2B60C-C5F9-44B8-BC83-94BE106F57C3}" showGridLines="0" topLeftCell="C1">
      <selection activeCell="S6" sqref="S6"/>
      <pageMargins left="0" right="0" top="0" bottom="0" header="0" footer="0"/>
      <pageSetup paperSize="9" orientation="portrait" r:id="rId17"/>
    </customSheetView>
    <customSheetView guid="{0C0476DE-F4E6-4ADB-B504-A8D8F3A78376}" showGridLines="0">
      <selection sqref="A1:U1"/>
      <pageMargins left="0" right="0" top="0" bottom="0" header="0" footer="0"/>
      <pageSetup paperSize="9" orientation="portrait" r:id="rId18"/>
    </customSheetView>
    <customSheetView guid="{AAFEB45B-EC48-4A57-9442-3F536E68E653}" showGridLines="0" topLeftCell="G1">
      <selection activeCell="S3" sqref="S3:U8"/>
      <pageMargins left="0" right="0" top="0" bottom="0" header="0" footer="0"/>
      <pageSetup paperSize="9" orientation="portrait" r:id="rId19"/>
    </customSheetView>
    <customSheetView guid="{18148FBC-4DDD-4025-B982-F009E34B76B6}" showGridLines="0">
      <selection sqref="A1:U1"/>
      <pageMargins left="0" right="0" top="0" bottom="0" header="0" footer="0"/>
      <pageSetup paperSize="9" orientation="portrait" r:id="rId20"/>
    </customSheetView>
    <customSheetView guid="{45058AEB-0A55-4288-B2D5-D3D1B02DD62F}" showGridLines="0">
      <selection sqref="A1:U1"/>
      <pageMargins left="0" right="0" top="0" bottom="0" header="0" footer="0"/>
      <pageSetup paperSize="9" orientation="portrait" r:id="rId21"/>
    </customSheetView>
    <customSheetView guid="{0121BC5C-2AA6-4F6C-871B-F5CDF1633F72}" showGridLines="0">
      <selection activeCell="Q6" sqref="Q6:Y6"/>
      <pageMargins left="0" right="0" top="0" bottom="0" header="0" footer="0"/>
      <pageSetup paperSize="9" orientation="portrait" r:id="rId22"/>
    </customSheetView>
    <customSheetView guid="{83581ACB-5281-4BE1-9AE2-7BAA59D29A86}" showGridLines="0">
      <selection activeCell="B3" sqref="B3"/>
      <pageMargins left="0" right="0" top="0" bottom="0" header="0" footer="0"/>
      <pageSetup paperSize="9" orientation="portrait" r:id="rId23"/>
    </customSheetView>
    <customSheetView guid="{C4E0EA46-0B96-4EC7-979B-F7138E3B8454}" showGridLines="0">
      <selection activeCell="O19" sqref="N17:O19"/>
      <pageMargins left="0" right="0" top="0" bottom="0" header="0" footer="0"/>
      <pageSetup paperSize="9" orientation="portrait" r:id="rId24"/>
    </customSheetView>
    <customSheetView guid="{EA7DCB4E-60E8-4E16-A16D-6D297CA2C1EC}" showGridLines="0">
      <selection sqref="A1:P1"/>
      <pageMargins left="0" right="0" top="0" bottom="0" header="0" footer="0"/>
      <pageSetup paperSize="9" orientation="portrait" r:id="rId25"/>
    </customSheetView>
    <customSheetView guid="{CB25E97E-E1F7-40D2-96CC-9C5F1ECB4FCD}" showGridLines="0">
      <selection activeCell="E18" sqref="E17:E18"/>
      <pageMargins left="0" right="0" top="0" bottom="0" header="0" footer="0"/>
      <pageSetup paperSize="9" orientation="portrait" r:id="rId26"/>
    </customSheetView>
    <customSheetView guid="{99844124-CC26-41CC-BF01-C430840B6A11}" showGridLines="0">
      <selection sqref="A1:U1"/>
      <pageMargins left="0" right="0" top="0" bottom="0" header="0" footer="0"/>
      <pageSetup paperSize="9" orientation="portrait" r:id="rId27"/>
    </customSheetView>
    <customSheetView guid="{57A1ECFE-977E-4E0D-86F8-5E397B58E2E7}" showGridLines="0">
      <selection activeCell="B6" sqref="B6"/>
      <pageMargins left="0" right="0" top="0" bottom="0" header="0" footer="0"/>
      <pageSetup paperSize="9" orientation="portrait" r:id="rId28"/>
    </customSheetView>
    <customSheetView guid="{4928B0BF-3605-4228-B5EA-B9EFCB2DA176}" showGridLines="0">
      <selection sqref="A1:U1"/>
      <pageMargins left="0" right="0" top="0" bottom="0" header="0" footer="0"/>
      <pageSetup paperSize="9" orientation="portrait" r:id="rId29"/>
    </customSheetView>
    <customSheetView guid="{3BD3E38B-E288-4CCF-9EE9-3A5263D49C28}" showGridLines="0">
      <selection activeCell="C4" sqref="C4"/>
      <pageMargins left="0" right="0" top="0" bottom="0" header="0" footer="0"/>
      <pageSetup paperSize="9" orientation="portrait" r:id="rId30"/>
    </customSheetView>
    <customSheetView guid="{C77CCEB6-690D-489F-B3AF-2BAA99B10E03}" showGridLines="0">
      <selection activeCell="G21" sqref="G21"/>
      <pageMargins left="0" right="0" top="0" bottom="0" header="0" footer="0"/>
      <pageSetup paperSize="9" orientation="portrait" r:id="rId31"/>
    </customSheetView>
    <customSheetView guid="{DEFA81B0-B3DE-4E04-AE8D-48B1B85AD3F3}" showGridLines="0" topLeftCell="F1">
      <selection activeCell="Q16" sqref="Q16"/>
      <pageMargins left="0" right="0" top="0" bottom="0" header="0" footer="0"/>
      <pageSetup paperSize="9" orientation="portrait" r:id="rId32"/>
    </customSheetView>
    <customSheetView guid="{59668F56-2642-434E-822C-BDA8586DAA1D}" showGridLines="0">
      <selection sqref="A1:U1"/>
      <pageMargins left="0" right="0" top="0" bottom="0" header="0" footer="0"/>
      <pageSetup paperSize="9" orientation="portrait" r:id="rId33"/>
    </customSheetView>
    <customSheetView guid="{A9DC904F-863E-4EE0-A626-0795983927A7}" showGridLines="0">
      <selection sqref="A1:U1"/>
      <pageMargins left="0" right="0" top="0" bottom="0" header="0" footer="0"/>
      <pageSetup paperSize="9" orientation="portrait" r:id="rId34"/>
    </customSheetView>
    <customSheetView guid="{E8ADB739-37E9-4E75-B31D-C7B374D790E1}" showGridLines="0" topLeftCell="D1">
      <selection activeCell="T6" sqref="T6"/>
      <pageMargins left="0" right="0" top="0" bottom="0" header="0" footer="0"/>
      <pageSetup paperSize="9" orientation="portrait" r:id="rId35"/>
    </customSheetView>
    <customSheetView guid="{875BCD04-10B9-4BB6-BBE5-9B2301DD2EC9}" showGridLines="0">
      <selection activeCell="L9" sqref="L9"/>
      <pageMargins left="0" right="0" top="0" bottom="0" header="0" footer="0"/>
      <pageSetup paperSize="9" orientation="portrait" r:id="rId36"/>
    </customSheetView>
    <customSheetView guid="{681A0256-766F-4C32-B8C6-D64468E2450A}" showGridLines="0">
      <selection sqref="A1:U1"/>
      <pageMargins left="0" right="0" top="0" bottom="0" header="0" footer="0"/>
    </customSheetView>
  </customSheetViews>
  <mergeCells count="9">
    <mergeCell ref="A1:S1"/>
    <mergeCell ref="N5:S5"/>
    <mergeCell ref="N8:S8"/>
    <mergeCell ref="N19:S19"/>
    <mergeCell ref="N10:S10"/>
    <mergeCell ref="N11:S11"/>
    <mergeCell ref="N12:S12"/>
    <mergeCell ref="A3:S3"/>
    <mergeCell ref="A2:S2"/>
  </mergeCells>
  <conditionalFormatting sqref="J5:J19">
    <cfRule type="containsText" dxfId="3" priority="1" operator="containsText" text="confirmar">
      <formula>NOT(ISERROR(SEARCH("confirmar",J5)))</formula>
    </cfRule>
    <cfRule type="containsText" dxfId="2" priority="2" operator="containsText" text="verdadeiro">
      <formula>NOT(ISERROR(SEARCH("verdadeiro",J5)))</formula>
    </cfRule>
  </conditionalFormatting>
  <pageMargins left="0.25" right="0.25" top="0.75" bottom="0.75" header="0.3" footer="0.3"/>
  <pageSetup orientation="landscape" r:id="rId37"/>
  <drawing r:id="rId3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5"/>
  <dimension ref="B1:W32"/>
  <sheetViews>
    <sheetView zoomScale="70" zoomScaleNormal="70" workbookViewId="0">
      <pane ySplit="6" topLeftCell="F7" activePane="bottomLeft" state="frozen"/>
      <selection pane="bottomLeft" activeCell="K14" sqref="K14"/>
    </sheetView>
  </sheetViews>
  <sheetFormatPr defaultRowHeight="15" customHeight="1"/>
  <cols>
    <col min="1" max="1" width="2.42578125" customWidth="1"/>
    <col min="2" max="2" width="14.85546875" bestFit="1" customWidth="1"/>
    <col min="3" max="3" width="12.85546875" customWidth="1"/>
    <col min="4" max="4" width="15.85546875" customWidth="1"/>
    <col min="5" max="5" width="4.7109375" customWidth="1"/>
    <col min="6" max="6" width="16.140625" customWidth="1"/>
    <col min="7" max="7" width="10.5703125" customWidth="1"/>
    <col min="8" max="8" width="11.85546875" customWidth="1"/>
    <col min="9" max="9" width="6" customWidth="1"/>
    <col min="10" max="10" width="14.5703125" customWidth="1"/>
    <col min="11" max="11" width="12.140625" customWidth="1"/>
    <col min="12" max="12" width="14.7109375" customWidth="1"/>
    <col min="13" max="13" width="4.28515625" customWidth="1"/>
    <col min="14" max="14" width="16" customWidth="1"/>
    <col min="15" max="15" width="11.42578125" customWidth="1"/>
    <col min="16" max="16" width="15.140625" customWidth="1"/>
    <col min="17" max="17" width="11.42578125" bestFit="1" customWidth="1"/>
    <col min="18" max="21" width="13.7109375" customWidth="1"/>
    <col min="22" max="22" width="17.85546875" customWidth="1"/>
    <col min="23" max="23" width="13.7109375" customWidth="1"/>
  </cols>
  <sheetData>
    <row r="1" spans="2:23" ht="18.75" customHeight="1">
      <c r="B1" s="849"/>
      <c r="C1" s="850"/>
      <c r="D1" s="853" t="s">
        <v>268</v>
      </c>
      <c r="E1" s="854"/>
      <c r="F1" s="854"/>
      <c r="G1" s="854"/>
      <c r="H1" s="854"/>
      <c r="I1" s="854"/>
      <c r="J1" s="854"/>
      <c r="K1" s="854"/>
      <c r="L1" s="854"/>
      <c r="M1" s="854"/>
      <c r="N1" s="854"/>
      <c r="O1" s="854"/>
      <c r="P1" s="855"/>
    </row>
    <row r="2" spans="2:23" ht="16.5" customHeight="1" thickBot="1">
      <c r="B2" s="851"/>
      <c r="C2" s="852"/>
      <c r="D2" s="856"/>
      <c r="E2" s="857"/>
      <c r="F2" s="857"/>
      <c r="G2" s="857"/>
      <c r="H2" s="857"/>
      <c r="I2" s="857"/>
      <c r="J2" s="857"/>
      <c r="K2" s="857"/>
      <c r="L2" s="857"/>
      <c r="M2" s="857"/>
      <c r="N2" s="857"/>
      <c r="O2" s="857"/>
      <c r="P2" s="858"/>
    </row>
    <row r="3" spans="2:23" ht="18.95" thickBot="1">
      <c r="B3" s="859" t="s">
        <v>269</v>
      </c>
      <c r="C3" s="860"/>
      <c r="D3" s="861"/>
      <c r="E3" s="861"/>
      <c r="F3" s="861"/>
      <c r="G3" s="861"/>
      <c r="H3" s="861"/>
      <c r="I3" s="861"/>
      <c r="J3" s="861"/>
      <c r="K3" s="861"/>
      <c r="L3" s="861"/>
      <c r="M3" s="861"/>
      <c r="N3" s="861"/>
      <c r="O3" s="861"/>
      <c r="P3" s="862"/>
    </row>
    <row r="4" spans="2:23" ht="15" customHeight="1">
      <c r="B4" s="863" t="s">
        <v>270</v>
      </c>
      <c r="C4" s="864"/>
      <c r="D4" s="864"/>
      <c r="E4" s="864"/>
      <c r="F4" s="864"/>
      <c r="G4" s="864"/>
      <c r="H4" s="864"/>
      <c r="I4" s="864"/>
      <c r="J4" s="864"/>
      <c r="K4" s="864"/>
      <c r="L4" s="864"/>
      <c r="M4" s="864"/>
      <c r="N4" s="864"/>
      <c r="O4" s="864"/>
      <c r="P4" s="865"/>
    </row>
    <row r="5" spans="2:23" ht="15" customHeight="1" thickBot="1">
      <c r="B5" s="866" t="s">
        <v>271</v>
      </c>
      <c r="C5" s="867"/>
      <c r="D5" s="867"/>
      <c r="E5" s="867"/>
      <c r="F5" s="867"/>
      <c r="G5" s="867"/>
      <c r="H5" s="867"/>
      <c r="I5" s="867"/>
      <c r="J5" s="867"/>
      <c r="K5" s="867"/>
      <c r="L5" s="867"/>
      <c r="M5" s="867"/>
      <c r="N5" s="867"/>
      <c r="O5" s="867"/>
      <c r="P5" s="868"/>
    </row>
    <row r="6" spans="2:23" ht="5.0999999999999996" customHeight="1" thickBot="1">
      <c r="B6" s="256"/>
      <c r="C6" s="256"/>
      <c r="D6" s="256"/>
      <c r="E6" s="256"/>
      <c r="F6" s="256"/>
      <c r="G6" s="256"/>
      <c r="H6" s="256"/>
      <c r="I6" s="256"/>
      <c r="J6" s="256"/>
      <c r="K6" s="256"/>
      <c r="L6" s="256"/>
      <c r="M6" s="256"/>
      <c r="N6" s="256"/>
    </row>
    <row r="7" spans="2:23" s="38" customFormat="1" ht="31.5" customHeight="1" thickBot="1">
      <c r="B7" s="844" t="s">
        <v>5</v>
      </c>
      <c r="C7" s="845"/>
      <c r="D7" s="312">
        <v>46279</v>
      </c>
      <c r="E7" s="257"/>
      <c r="F7" s="258" t="s">
        <v>51</v>
      </c>
      <c r="G7" s="836" t="s">
        <v>25</v>
      </c>
      <c r="H7" s="837"/>
      <c r="J7" s="844" t="s">
        <v>5</v>
      </c>
      <c r="K7" s="845"/>
      <c r="L7" s="386">
        <v>46286</v>
      </c>
      <c r="M7" s="257"/>
      <c r="N7" s="258" t="s">
        <v>51</v>
      </c>
      <c r="O7" s="836" t="s">
        <v>272</v>
      </c>
      <c r="P7" s="837"/>
    </row>
    <row r="8" spans="2:23" ht="36.75" customHeight="1" thickBot="1">
      <c r="B8" s="846" t="s">
        <v>273</v>
      </c>
      <c r="C8" s="847"/>
      <c r="D8" s="848"/>
      <c r="E8" s="259"/>
      <c r="F8" s="838" t="s">
        <v>274</v>
      </c>
      <c r="G8" s="839"/>
      <c r="H8" s="840"/>
      <c r="J8" s="846" t="s">
        <v>273</v>
      </c>
      <c r="K8" s="847"/>
      <c r="L8" s="848"/>
      <c r="M8" s="259"/>
      <c r="N8" s="838" t="s">
        <v>274</v>
      </c>
      <c r="O8" s="839"/>
      <c r="P8" s="840"/>
      <c r="R8" s="383" t="s">
        <v>5</v>
      </c>
      <c r="S8" s="387" t="s">
        <v>275</v>
      </c>
      <c r="T8" s="388" t="s">
        <v>276</v>
      </c>
      <c r="U8" s="389" t="s">
        <v>277</v>
      </c>
      <c r="V8" s="390" t="s">
        <v>278</v>
      </c>
      <c r="W8" s="390" t="s">
        <v>49</v>
      </c>
    </row>
    <row r="9" spans="2:23" thickBot="1">
      <c r="B9" s="833" t="s">
        <v>279</v>
      </c>
      <c r="C9" s="834"/>
      <c r="D9" s="835"/>
      <c r="E9" s="260"/>
      <c r="F9" s="830" t="s">
        <v>279</v>
      </c>
      <c r="G9" s="831"/>
      <c r="H9" s="832"/>
      <c r="J9" s="833" t="s">
        <v>279</v>
      </c>
      <c r="K9" s="834"/>
      <c r="L9" s="835"/>
      <c r="M9" s="260"/>
      <c r="N9" s="830" t="s">
        <v>279</v>
      </c>
      <c r="O9" s="831"/>
      <c r="P9" s="832"/>
    </row>
    <row r="10" spans="2:23" ht="18.95" thickBot="1">
      <c r="B10" s="261" t="s">
        <v>222</v>
      </c>
      <c r="C10" s="262" t="s">
        <v>223</v>
      </c>
      <c r="D10" s="263" t="s">
        <v>224</v>
      </c>
      <c r="E10" s="259"/>
      <c r="F10" s="384" t="s">
        <v>222</v>
      </c>
      <c r="G10" s="264" t="s">
        <v>223</v>
      </c>
      <c r="H10" s="385" t="s">
        <v>224</v>
      </c>
      <c r="J10" s="261" t="s">
        <v>222</v>
      </c>
      <c r="K10" s="262" t="s">
        <v>223</v>
      </c>
      <c r="L10" s="263" t="s">
        <v>224</v>
      </c>
      <c r="M10" s="259"/>
      <c r="N10" s="384" t="s">
        <v>222</v>
      </c>
      <c r="O10" s="264" t="s">
        <v>223</v>
      </c>
      <c r="P10" s="385" t="s">
        <v>224</v>
      </c>
      <c r="R10" s="391">
        <v>46279</v>
      </c>
      <c r="S10" s="392">
        <f>D11</f>
        <v>93.8</v>
      </c>
      <c r="T10" s="392">
        <f>H11</f>
        <v>93.533333333333331</v>
      </c>
      <c r="U10" s="393">
        <f>IMABS(S10-T10)</f>
        <v>0.26666666666666572</v>
      </c>
      <c r="V10" s="393">
        <v>0.5</v>
      </c>
      <c r="W10" s="394" t="str">
        <f>IF(U10&gt;0.5,"Confirmar","Verdadeiro")</f>
        <v>Verdadeiro</v>
      </c>
    </row>
    <row r="11" spans="2:23" ht="18">
      <c r="B11" s="265">
        <v>6.3</v>
      </c>
      <c r="C11" s="313">
        <v>4690</v>
      </c>
      <c r="D11" s="266">
        <f>IF(C11/50=0,"",C11/50)</f>
        <v>93.8</v>
      </c>
      <c r="E11" s="267"/>
      <c r="F11" s="265">
        <v>6.3</v>
      </c>
      <c r="G11" s="313">
        <v>14030</v>
      </c>
      <c r="H11" s="269">
        <f>IF(G11/150=0,"",G11/150)</f>
        <v>93.533333333333331</v>
      </c>
      <c r="J11" s="265">
        <v>6.3</v>
      </c>
      <c r="K11" s="313">
        <v>4700</v>
      </c>
      <c r="L11" s="266">
        <f>IF(K11/50=0,"",K11/50)</f>
        <v>94</v>
      </c>
      <c r="M11" s="267"/>
      <c r="N11" s="265">
        <v>6.3</v>
      </c>
      <c r="O11" s="313">
        <v>14070</v>
      </c>
      <c r="P11" s="269">
        <f>IF(O11/150=0,"",O11/150)</f>
        <v>93.8</v>
      </c>
      <c r="R11" s="395">
        <v>46286</v>
      </c>
      <c r="S11" s="396">
        <f>L11</f>
        <v>94</v>
      </c>
      <c r="T11" s="396">
        <f>P11</f>
        <v>93.8</v>
      </c>
      <c r="U11" s="397">
        <f t="shared" ref="U11:U14" si="0">IMABS(S11-T11)</f>
        <v>0.20000000000000284</v>
      </c>
      <c r="V11" s="397">
        <v>0.5</v>
      </c>
      <c r="W11" s="186" t="str">
        <f t="shared" ref="W11:W14" si="1">IF(U11&gt;0.5,"Confirmar","Verdadeiro")</f>
        <v>Verdadeiro</v>
      </c>
    </row>
    <row r="12" spans="2:23" ht="18">
      <c r="B12" s="268" t="s">
        <v>280</v>
      </c>
      <c r="C12" s="314">
        <v>40</v>
      </c>
      <c r="D12" s="266">
        <f>IF(C12/50=0,"",C12/50)</f>
        <v>0.8</v>
      </c>
      <c r="E12" s="267"/>
      <c r="F12" s="268" t="s">
        <v>280</v>
      </c>
      <c r="G12" s="314">
        <v>250</v>
      </c>
      <c r="H12" s="269">
        <f>IF(G12/150=0,"",G12/150)</f>
        <v>1.6666666666666667</v>
      </c>
      <c r="J12" s="268" t="s">
        <v>280</v>
      </c>
      <c r="K12" s="314">
        <v>45</v>
      </c>
      <c r="L12" s="266">
        <f>IF(K12/50=0,"",K12/50)</f>
        <v>0.9</v>
      </c>
      <c r="M12" s="267"/>
      <c r="N12" s="268" t="s">
        <v>280</v>
      </c>
      <c r="O12" s="314">
        <v>150</v>
      </c>
      <c r="P12" s="269">
        <f>IF(O12/150=0,"",O12/150)</f>
        <v>1</v>
      </c>
      <c r="R12" s="395"/>
      <c r="S12" s="396" t="str">
        <f>D20</f>
        <v/>
      </c>
      <c r="T12" s="396" t="str">
        <f>H20</f>
        <v/>
      </c>
      <c r="U12" s="397" t="e">
        <f t="shared" si="0"/>
        <v>#VALUE!</v>
      </c>
      <c r="V12" s="397">
        <v>0.5</v>
      </c>
      <c r="W12" s="186" t="e">
        <f t="shared" si="1"/>
        <v>#VALUE!</v>
      </c>
    </row>
    <row r="13" spans="2:23" ht="18">
      <c r="B13" s="270">
        <v>-0.5</v>
      </c>
      <c r="C13" s="315">
        <v>270</v>
      </c>
      <c r="D13" s="269">
        <f>IF(C11="","",100-(D11+D12))</f>
        <v>5.4000000000000057</v>
      </c>
      <c r="E13" s="267"/>
      <c r="F13" s="270">
        <v>-0.5</v>
      </c>
      <c r="G13" s="315">
        <v>720</v>
      </c>
      <c r="H13" s="269">
        <f>IF(G11="","",100-(H11+H12))</f>
        <v>4.7999999999999972</v>
      </c>
      <c r="J13" s="270">
        <v>-0.5</v>
      </c>
      <c r="K13" s="315">
        <v>255</v>
      </c>
      <c r="L13" s="269">
        <f>IF(K11="","",100-(L11+L12))</f>
        <v>5.0999999999999943</v>
      </c>
      <c r="M13" s="267"/>
      <c r="N13" s="270">
        <v>-0.5</v>
      </c>
      <c r="O13" s="315">
        <v>780</v>
      </c>
      <c r="P13" s="269">
        <f>IF(O11="","",100-(P11+P12))</f>
        <v>5.2000000000000028</v>
      </c>
      <c r="R13" s="395"/>
      <c r="S13" s="396" t="str">
        <f>L20</f>
        <v/>
      </c>
      <c r="T13" s="396" t="str">
        <f>P20</f>
        <v/>
      </c>
      <c r="U13" s="397" t="e">
        <f t="shared" si="0"/>
        <v>#VALUE!</v>
      </c>
      <c r="V13" s="397">
        <v>0.5</v>
      </c>
      <c r="W13" s="186" t="e">
        <f t="shared" si="1"/>
        <v>#VALUE!</v>
      </c>
    </row>
    <row r="14" spans="2:23" ht="18.95" thickBot="1">
      <c r="B14" s="271" t="s">
        <v>245</v>
      </c>
      <c r="C14" s="272">
        <f>SUM(C11:C13)</f>
        <v>5000</v>
      </c>
      <c r="D14" s="273">
        <v>100</v>
      </c>
      <c r="E14" s="274"/>
      <c r="F14" s="271" t="s">
        <v>245</v>
      </c>
      <c r="G14" s="272">
        <f>SUM(G11:G13)</f>
        <v>15000</v>
      </c>
      <c r="H14" s="273">
        <v>100</v>
      </c>
      <c r="J14" s="271" t="s">
        <v>245</v>
      </c>
      <c r="K14" s="272">
        <f>SUM(K11:K13)</f>
        <v>5000</v>
      </c>
      <c r="L14" s="273">
        <v>100</v>
      </c>
      <c r="M14" s="274"/>
      <c r="N14" s="271" t="s">
        <v>245</v>
      </c>
      <c r="O14" s="272">
        <f>SUM(O11:O13)</f>
        <v>15000</v>
      </c>
      <c r="P14" s="273">
        <v>100</v>
      </c>
      <c r="R14" s="398"/>
      <c r="S14" s="399" t="str">
        <f>H29</f>
        <v/>
      </c>
      <c r="T14" s="399" t="str">
        <f>L29</f>
        <v/>
      </c>
      <c r="U14" s="400" t="e">
        <f t="shared" si="0"/>
        <v>#VALUE!</v>
      </c>
      <c r="V14" s="400">
        <v>0.5</v>
      </c>
      <c r="W14" s="401" t="e">
        <f t="shared" si="1"/>
        <v>#VALUE!</v>
      </c>
    </row>
    <row r="15" spans="2:23" ht="15" customHeight="1" thickBot="1">
      <c r="S15" s="21"/>
      <c r="T15" s="21"/>
    </row>
    <row r="16" spans="2:23" s="38" customFormat="1" ht="28.5" customHeight="1" thickBot="1">
      <c r="B16" s="844" t="s">
        <v>5</v>
      </c>
      <c r="C16" s="845"/>
      <c r="D16" s="386">
        <v>45978</v>
      </c>
      <c r="E16" s="257"/>
      <c r="F16" s="258" t="s">
        <v>51</v>
      </c>
      <c r="G16" s="836"/>
      <c r="H16" s="837"/>
      <c r="J16" s="844" t="s">
        <v>5</v>
      </c>
      <c r="K16" s="845"/>
      <c r="L16" s="386"/>
      <c r="M16" s="257"/>
      <c r="N16" s="258" t="s">
        <v>51</v>
      </c>
      <c r="O16" s="836"/>
      <c r="P16" s="837"/>
      <c r="S16" s="21"/>
      <c r="T16" s="21"/>
    </row>
    <row r="17" spans="2:16" ht="42.75" customHeight="1" thickBot="1">
      <c r="B17" s="846" t="s">
        <v>273</v>
      </c>
      <c r="C17" s="847"/>
      <c r="D17" s="848"/>
      <c r="E17" s="259"/>
      <c r="F17" s="838" t="s">
        <v>274</v>
      </c>
      <c r="G17" s="839"/>
      <c r="H17" s="840"/>
      <c r="J17" s="846" t="s">
        <v>273</v>
      </c>
      <c r="K17" s="847"/>
      <c r="L17" s="848"/>
      <c r="M17" s="259"/>
      <c r="N17" s="838" t="s">
        <v>274</v>
      </c>
      <c r="O17" s="839"/>
      <c r="P17" s="840"/>
    </row>
    <row r="18" spans="2:16" thickBot="1">
      <c r="B18" s="833" t="s">
        <v>279</v>
      </c>
      <c r="C18" s="834"/>
      <c r="D18" s="835"/>
      <c r="E18" s="260"/>
      <c r="F18" s="830" t="s">
        <v>279</v>
      </c>
      <c r="G18" s="831"/>
      <c r="H18" s="832"/>
      <c r="J18" s="833" t="s">
        <v>279</v>
      </c>
      <c r="K18" s="834"/>
      <c r="L18" s="835"/>
      <c r="M18" s="260"/>
      <c r="N18" s="830" t="s">
        <v>279</v>
      </c>
      <c r="O18" s="831"/>
      <c r="P18" s="832"/>
    </row>
    <row r="19" spans="2:16" ht="18.95" thickBot="1">
      <c r="B19" s="261" t="s">
        <v>222</v>
      </c>
      <c r="C19" s="262" t="s">
        <v>223</v>
      </c>
      <c r="D19" s="263" t="s">
        <v>224</v>
      </c>
      <c r="E19" s="259"/>
      <c r="F19" s="384" t="s">
        <v>222</v>
      </c>
      <c r="G19" s="264" t="s">
        <v>223</v>
      </c>
      <c r="H19" s="385" t="s">
        <v>224</v>
      </c>
      <c r="J19" s="261" t="s">
        <v>222</v>
      </c>
      <c r="K19" s="262" t="s">
        <v>223</v>
      </c>
      <c r="L19" s="263" t="s">
        <v>224</v>
      </c>
      <c r="M19" s="259"/>
      <c r="N19" s="384" t="s">
        <v>222</v>
      </c>
      <c r="O19" s="264" t="s">
        <v>223</v>
      </c>
      <c r="P19" s="385" t="s">
        <v>224</v>
      </c>
    </row>
    <row r="20" spans="2:16" ht="18">
      <c r="B20" s="265">
        <v>6.3</v>
      </c>
      <c r="C20" s="313"/>
      <c r="D20" s="266" t="str">
        <f>IF(C20/50=0,"",C20/50)</f>
        <v/>
      </c>
      <c r="E20" s="267"/>
      <c r="F20" s="265">
        <v>6.3</v>
      </c>
      <c r="G20" s="313"/>
      <c r="H20" s="269" t="str">
        <f>IF(G20/150=0,"",G20/150)</f>
        <v/>
      </c>
      <c r="J20" s="265">
        <v>6.3</v>
      </c>
      <c r="K20" s="313"/>
      <c r="L20" s="266" t="str">
        <f>IF(K20/50=0,"",K20/50)</f>
        <v/>
      </c>
      <c r="M20" s="267"/>
      <c r="N20" s="265">
        <v>6.3</v>
      </c>
      <c r="O20" s="313"/>
      <c r="P20" s="269" t="str">
        <f>IF(O20/150=0,"",O20/150)</f>
        <v/>
      </c>
    </row>
    <row r="21" spans="2:16" ht="18.75">
      <c r="B21" s="268" t="s">
        <v>280</v>
      </c>
      <c r="C21" s="314"/>
      <c r="D21" s="266" t="str">
        <f>IF(C21/50=0,"",C21/50)</f>
        <v/>
      </c>
      <c r="E21" s="267"/>
      <c r="F21" s="268" t="s">
        <v>280</v>
      </c>
      <c r="G21" s="314"/>
      <c r="H21" s="269" t="str">
        <f>IF(G21/150=0,"",G21/150)</f>
        <v/>
      </c>
      <c r="J21" s="268" t="s">
        <v>280</v>
      </c>
      <c r="K21" s="314"/>
      <c r="L21" s="266" t="str">
        <f>IF(K21/50=0,"",K21/50)</f>
        <v/>
      </c>
      <c r="M21" s="267"/>
      <c r="N21" s="268" t="s">
        <v>280</v>
      </c>
      <c r="O21" s="314"/>
      <c r="P21" s="269" t="str">
        <f>IF(O21/150=0,"",O21/150)</f>
        <v/>
      </c>
    </row>
    <row r="22" spans="2:16" ht="18">
      <c r="B22" s="270">
        <v>-0.5</v>
      </c>
      <c r="C22" s="315"/>
      <c r="D22" s="269" t="str">
        <f>IF(C20="","",100-(D20+D21))</f>
        <v/>
      </c>
      <c r="E22" s="267"/>
      <c r="F22" s="270">
        <v>-0.5</v>
      </c>
      <c r="G22" s="315"/>
      <c r="H22" s="269" t="str">
        <f>IF(G20="","",100-(H20+H21))</f>
        <v/>
      </c>
      <c r="J22" s="270">
        <v>-0.5</v>
      </c>
      <c r="K22" s="315"/>
      <c r="L22" s="269" t="str">
        <f>IF(K20="","",100-(L20+L21))</f>
        <v/>
      </c>
      <c r="M22" s="267"/>
      <c r="N22" s="270">
        <v>-0.5</v>
      </c>
      <c r="O22" s="315"/>
      <c r="P22" s="269" t="str">
        <f>IF(O20="","",100-(P20+P21))</f>
        <v/>
      </c>
    </row>
    <row r="23" spans="2:16" ht="18.95" thickBot="1">
      <c r="B23" s="271" t="s">
        <v>245</v>
      </c>
      <c r="C23" s="272">
        <f>SUM(C20:C22)</f>
        <v>0</v>
      </c>
      <c r="D23" s="273">
        <v>100</v>
      </c>
      <c r="E23" s="274"/>
      <c r="F23" s="271" t="s">
        <v>245</v>
      </c>
      <c r="G23" s="272">
        <f>SUM(G20:G22)</f>
        <v>0</v>
      </c>
      <c r="H23" s="273">
        <v>100</v>
      </c>
      <c r="J23" s="271" t="s">
        <v>245</v>
      </c>
      <c r="K23" s="272">
        <f>SUM(K20:K22)</f>
        <v>0</v>
      </c>
      <c r="L23" s="273">
        <v>100</v>
      </c>
      <c r="M23" s="274"/>
      <c r="N23" s="271" t="s">
        <v>245</v>
      </c>
      <c r="O23" s="272">
        <f>SUM(O20:O22)</f>
        <v>0</v>
      </c>
      <c r="P23" s="273">
        <v>100</v>
      </c>
    </row>
    <row r="25" spans="2:16" ht="31.5" customHeight="1">
      <c r="B25" s="383" t="s">
        <v>5</v>
      </c>
      <c r="C25" s="483"/>
      <c r="D25" s="386">
        <v>46013</v>
      </c>
      <c r="E25" s="257"/>
      <c r="F25" s="258" t="s">
        <v>51</v>
      </c>
      <c r="G25" s="836"/>
      <c r="H25" s="837"/>
      <c r="I25" s="257"/>
      <c r="J25" s="383" t="s">
        <v>5</v>
      </c>
      <c r="K25" s="483"/>
      <c r="L25" s="386"/>
      <c r="M25" s="257"/>
      <c r="N25" s="258" t="s">
        <v>51</v>
      </c>
      <c r="O25" s="836"/>
      <c r="P25" s="837"/>
    </row>
    <row r="26" spans="2:16" ht="57">
      <c r="B26" s="841" t="s">
        <v>273</v>
      </c>
      <c r="C26" s="842"/>
      <c r="D26" s="843"/>
      <c r="E26" s="259"/>
      <c r="F26" s="838" t="s">
        <v>274</v>
      </c>
      <c r="G26" s="839"/>
      <c r="H26" s="840"/>
      <c r="I26" s="259"/>
      <c r="J26" s="484" t="s">
        <v>273</v>
      </c>
      <c r="K26" s="485"/>
      <c r="L26" s="486"/>
      <c r="M26" s="259"/>
      <c r="N26" s="838" t="s">
        <v>274</v>
      </c>
      <c r="O26" s="839"/>
      <c r="P26" s="840"/>
    </row>
    <row r="27" spans="2:16" ht="28.5" customHeight="1">
      <c r="B27" s="487" t="s">
        <v>279</v>
      </c>
      <c r="C27" s="488"/>
      <c r="D27" s="489"/>
      <c r="E27" s="260"/>
      <c r="F27" s="830" t="s">
        <v>279</v>
      </c>
      <c r="G27" s="831"/>
      <c r="H27" s="832"/>
      <c r="I27" s="260"/>
      <c r="J27" s="833" t="s">
        <v>279</v>
      </c>
      <c r="K27" s="834"/>
      <c r="L27" s="835"/>
      <c r="M27" s="260"/>
      <c r="N27" s="830" t="s">
        <v>279</v>
      </c>
      <c r="O27" s="831"/>
      <c r="P27" s="832"/>
    </row>
    <row r="28" spans="2:16" ht="21.95" customHeight="1">
      <c r="B28" s="261" t="s">
        <v>222</v>
      </c>
      <c r="C28" s="262" t="s">
        <v>223</v>
      </c>
      <c r="D28" s="263" t="s">
        <v>224</v>
      </c>
      <c r="E28" s="259"/>
      <c r="F28" s="384" t="s">
        <v>222</v>
      </c>
      <c r="G28" s="264" t="s">
        <v>223</v>
      </c>
      <c r="H28" s="385" t="s">
        <v>224</v>
      </c>
      <c r="I28" s="259"/>
      <c r="J28" s="261" t="s">
        <v>222</v>
      </c>
      <c r="K28" s="262" t="s">
        <v>223</v>
      </c>
      <c r="L28" s="263" t="s">
        <v>224</v>
      </c>
      <c r="M28" s="259"/>
      <c r="N28" s="384" t="s">
        <v>222</v>
      </c>
      <c r="O28" s="264" t="s">
        <v>223</v>
      </c>
      <c r="P28" s="385" t="s">
        <v>224</v>
      </c>
    </row>
    <row r="29" spans="2:16" ht="21.95" customHeight="1">
      <c r="B29" s="265">
        <v>6.3</v>
      </c>
      <c r="C29" s="313"/>
      <c r="D29" s="266" t="str">
        <f>IF(C29/50=0,"",C29/50)</f>
        <v/>
      </c>
      <c r="E29" s="267"/>
      <c r="F29" s="265">
        <v>6.3</v>
      </c>
      <c r="G29" s="313"/>
      <c r="H29" s="269" t="str">
        <f>IF(G29/150=0,"",G29/150)</f>
        <v/>
      </c>
      <c r="I29" s="267"/>
      <c r="J29" s="265">
        <v>6.3</v>
      </c>
      <c r="K29" s="313"/>
      <c r="L29" s="266" t="str">
        <f>IF(K29/50=0,"",K29/50)</f>
        <v/>
      </c>
      <c r="M29" s="267"/>
      <c r="N29" s="265">
        <v>6.3</v>
      </c>
      <c r="O29" s="313"/>
      <c r="P29" s="269" t="str">
        <f>IF(O29/150=0,"",O29/150)</f>
        <v/>
      </c>
    </row>
    <row r="30" spans="2:16" ht="21.95" customHeight="1">
      <c r="B30" s="268" t="s">
        <v>280</v>
      </c>
      <c r="C30" s="314"/>
      <c r="D30" s="266" t="str">
        <f>IF(C30/50=0,"",C30/50)</f>
        <v/>
      </c>
      <c r="E30" s="267"/>
      <c r="F30" s="268" t="s">
        <v>280</v>
      </c>
      <c r="G30" s="314"/>
      <c r="H30" s="269" t="str">
        <f>IF(G30/150=0,"",G30/150)</f>
        <v/>
      </c>
      <c r="I30" s="267"/>
      <c r="J30" s="268" t="s">
        <v>280</v>
      </c>
      <c r="K30" s="314"/>
      <c r="L30" s="266" t="str">
        <f>IF(K30/50=0,"",K30/50)</f>
        <v/>
      </c>
      <c r="M30" s="267"/>
      <c r="N30" s="268" t="s">
        <v>280</v>
      </c>
      <c r="O30" s="314"/>
      <c r="P30" s="269" t="str">
        <f>IF(O30/150=0,"",O30/150)</f>
        <v/>
      </c>
    </row>
    <row r="31" spans="2:16" ht="21.95" customHeight="1">
      <c r="B31" s="270">
        <v>-0.5</v>
      </c>
      <c r="C31" s="315"/>
      <c r="D31" s="269" t="str">
        <f>IF(C29="","",100-(D29+D30))</f>
        <v/>
      </c>
      <c r="E31" s="267"/>
      <c r="F31" s="270">
        <v>-0.5</v>
      </c>
      <c r="G31" s="315"/>
      <c r="H31" s="269" t="str">
        <f>IF(G29="","",100-(H29+H30))</f>
        <v/>
      </c>
      <c r="I31" s="267"/>
      <c r="J31" s="270">
        <v>-0.5</v>
      </c>
      <c r="K31" s="315"/>
      <c r="L31" s="269" t="str">
        <f>IF(K29="","",100-(L29+L30))</f>
        <v/>
      </c>
      <c r="M31" s="267"/>
      <c r="N31" s="270">
        <v>-0.5</v>
      </c>
      <c r="O31" s="315"/>
      <c r="P31" s="269" t="str">
        <f>IF(O29="","",100-(P29+P30))</f>
        <v/>
      </c>
    </row>
    <row r="32" spans="2:16" ht="21.95" customHeight="1">
      <c r="B32" s="271" t="s">
        <v>245</v>
      </c>
      <c r="C32" s="272">
        <f>SUM(C29:C31)</f>
        <v>0</v>
      </c>
      <c r="D32" s="273">
        <v>100</v>
      </c>
      <c r="E32" s="274"/>
      <c r="F32" s="271" t="s">
        <v>245</v>
      </c>
      <c r="G32" s="272">
        <f>SUM(G29:G31)</f>
        <v>0</v>
      </c>
      <c r="H32" s="273">
        <v>100</v>
      </c>
      <c r="I32" s="274"/>
      <c r="J32" s="271" t="s">
        <v>245</v>
      </c>
      <c r="K32" s="272">
        <f>SUM(K29:K31)</f>
        <v>0</v>
      </c>
      <c r="L32" s="273">
        <v>100</v>
      </c>
      <c r="M32" s="274"/>
      <c r="N32" s="271" t="s">
        <v>245</v>
      </c>
      <c r="O32" s="272">
        <f>SUM(O29:O31)</f>
        <v>0</v>
      </c>
      <c r="P32" s="273">
        <v>100</v>
      </c>
    </row>
  </sheetData>
  <mergeCells count="37">
    <mergeCell ref="B7:C7"/>
    <mergeCell ref="G7:H7"/>
    <mergeCell ref="J7:K7"/>
    <mergeCell ref="O7:P7"/>
    <mergeCell ref="B1:C2"/>
    <mergeCell ref="D1:P2"/>
    <mergeCell ref="B3:P3"/>
    <mergeCell ref="B4:P4"/>
    <mergeCell ref="B5:P5"/>
    <mergeCell ref="B8:D8"/>
    <mergeCell ref="F8:H8"/>
    <mergeCell ref="J8:L8"/>
    <mergeCell ref="N8:P8"/>
    <mergeCell ref="B9:D9"/>
    <mergeCell ref="F9:H9"/>
    <mergeCell ref="J9:L9"/>
    <mergeCell ref="N9:P9"/>
    <mergeCell ref="B16:C16"/>
    <mergeCell ref="G16:H16"/>
    <mergeCell ref="J16:K16"/>
    <mergeCell ref="O16:P16"/>
    <mergeCell ref="B17:D17"/>
    <mergeCell ref="F17:H17"/>
    <mergeCell ref="J17:L17"/>
    <mergeCell ref="N17:P17"/>
    <mergeCell ref="B18:D18"/>
    <mergeCell ref="F18:H18"/>
    <mergeCell ref="J18:L18"/>
    <mergeCell ref="N18:P18"/>
    <mergeCell ref="F26:H26"/>
    <mergeCell ref="B26:D26"/>
    <mergeCell ref="F27:H27"/>
    <mergeCell ref="J27:L27"/>
    <mergeCell ref="G25:H25"/>
    <mergeCell ref="O25:P25"/>
    <mergeCell ref="N26:P26"/>
    <mergeCell ref="N27:P27"/>
  </mergeCells>
  <conditionalFormatting sqref="W10:W14">
    <cfRule type="containsText" dxfId="1" priority="1" operator="containsText" text="confirmar">
      <formula>NOT(ISERROR(SEARCH("confirmar",W10)))</formula>
    </cfRule>
    <cfRule type="containsText" dxfId="0" priority="2" operator="containsText" text="verdadeiro">
      <formula>NOT(ISERROR(SEARCH("verdadeiro",W10)))</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B3:Q25"/>
  <sheetViews>
    <sheetView workbookViewId="0">
      <selection activeCell="I5" sqref="I5"/>
    </sheetView>
  </sheetViews>
  <sheetFormatPr defaultRowHeight="14.45"/>
  <cols>
    <col min="1" max="1" width="2.140625" customWidth="1"/>
    <col min="2" max="2" width="17.5703125" customWidth="1"/>
    <col min="3" max="3" width="12.28515625" customWidth="1"/>
    <col min="4" max="6" width="9.7109375" customWidth="1"/>
    <col min="12" max="12" width="3.5703125" customWidth="1"/>
    <col min="13" max="13" width="21" customWidth="1"/>
    <col min="14" max="17" width="9.7109375" customWidth="1"/>
  </cols>
  <sheetData>
    <row r="3" spans="2:17">
      <c r="B3" s="869" t="s">
        <v>281</v>
      </c>
      <c r="C3" s="870"/>
      <c r="D3" s="870"/>
      <c r="E3" s="870"/>
      <c r="F3" s="871"/>
      <c r="M3" s="872" t="s">
        <v>267</v>
      </c>
      <c r="N3" s="873"/>
      <c r="O3" s="873"/>
      <c r="P3" s="873"/>
      <c r="Q3" s="874"/>
    </row>
    <row r="4" spans="2:17">
      <c r="B4" s="114" t="s">
        <v>216</v>
      </c>
      <c r="C4" s="47" t="s">
        <v>282</v>
      </c>
      <c r="D4" s="114" t="s">
        <v>283</v>
      </c>
      <c r="E4" s="114" t="s">
        <v>284</v>
      </c>
      <c r="F4" s="114" t="s">
        <v>285</v>
      </c>
      <c r="M4" s="114" t="s">
        <v>216</v>
      </c>
      <c r="N4" s="114" t="s">
        <v>286</v>
      </c>
      <c r="O4" s="114" t="s">
        <v>283</v>
      </c>
      <c r="P4" s="114" t="s">
        <v>284</v>
      </c>
      <c r="Q4" s="114" t="s">
        <v>285</v>
      </c>
    </row>
    <row r="5" spans="2:17">
      <c r="B5" s="114" t="s">
        <v>287</v>
      </c>
      <c r="C5" s="48">
        <f>'Gran. Fina Alpine'!B22</f>
        <v>88.589999999999989</v>
      </c>
      <c r="D5" s="48">
        <v>88.4</v>
      </c>
      <c r="E5" s="114">
        <v>87.4</v>
      </c>
      <c r="F5" s="114">
        <v>89.4</v>
      </c>
      <c r="M5" s="133" t="s">
        <v>288</v>
      </c>
      <c r="N5" s="49" t="e">
        <f>Umidade!B19</f>
        <v>#DIV/0!</v>
      </c>
      <c r="O5" s="50">
        <f>N8</f>
        <v>11.748571428571429</v>
      </c>
      <c r="P5" s="50">
        <f>O5-0.2</f>
        <v>11.54857142857143</v>
      </c>
      <c r="Q5" s="49">
        <f>O5+0.2</f>
        <v>11.948571428571428</v>
      </c>
    </row>
    <row r="6" spans="2:17">
      <c r="B6" s="114" t="s">
        <v>289</v>
      </c>
      <c r="C6" s="48">
        <f>'Gran. Fina Alpine'!D22</f>
        <v>88.312499999999986</v>
      </c>
      <c r="D6" s="48">
        <v>88.4</v>
      </c>
      <c r="E6" s="114">
        <v>87.4</v>
      </c>
      <c r="F6" s="114">
        <v>89.4</v>
      </c>
      <c r="M6" s="133" t="s">
        <v>290</v>
      </c>
      <c r="N6" s="49">
        <f>Umidade!C19</f>
        <v>11.876714285714284</v>
      </c>
      <c r="O6" s="50">
        <f>N8</f>
        <v>11.748571428571429</v>
      </c>
      <c r="P6" s="50">
        <f>O6-0.2</f>
        <v>11.54857142857143</v>
      </c>
      <c r="Q6" s="49">
        <f>O6+0.2</f>
        <v>11.948571428571428</v>
      </c>
    </row>
    <row r="7" spans="2:17">
      <c r="B7" s="114" t="s">
        <v>291</v>
      </c>
      <c r="C7" s="48">
        <f>'Gran. Fina Alpine'!F22</f>
        <v>88.693750000000009</v>
      </c>
      <c r="D7" s="48">
        <v>88.4</v>
      </c>
      <c r="E7" s="114">
        <v>87.4</v>
      </c>
      <c r="F7" s="114">
        <v>89.4</v>
      </c>
      <c r="M7" s="133" t="s">
        <v>292</v>
      </c>
      <c r="N7" s="49">
        <f>Umidade!D19</f>
        <v>11.877571428571429</v>
      </c>
      <c r="O7" s="50">
        <f>N8</f>
        <v>11.748571428571429</v>
      </c>
      <c r="P7" s="50">
        <f>O7-0.2</f>
        <v>11.54857142857143</v>
      </c>
      <c r="Q7" s="49">
        <f>O7+0.2</f>
        <v>11.948571428571428</v>
      </c>
    </row>
    <row r="8" spans="2:17">
      <c r="M8" s="133" t="s">
        <v>293</v>
      </c>
      <c r="N8" s="49">
        <f>Umidade!E19</f>
        <v>11.748571428571429</v>
      </c>
      <c r="O8" s="50">
        <f>N8</f>
        <v>11.748571428571429</v>
      </c>
      <c r="P8" s="50">
        <f>O8-0.2</f>
        <v>11.54857142857143</v>
      </c>
      <c r="Q8" s="49">
        <f>O8+0.2</f>
        <v>11.948571428571428</v>
      </c>
    </row>
    <row r="11" spans="2:17">
      <c r="B11" s="872" t="s">
        <v>294</v>
      </c>
      <c r="C11" s="873"/>
      <c r="D11" s="873"/>
      <c r="E11" s="873"/>
      <c r="F11" s="874"/>
      <c r="M11" s="875" t="s">
        <v>295</v>
      </c>
      <c r="N11" s="875"/>
      <c r="O11" s="875"/>
      <c r="P11" s="875"/>
      <c r="Q11" s="875"/>
    </row>
    <row r="12" spans="2:17" ht="30.75">
      <c r="B12" s="471" t="s">
        <v>216</v>
      </c>
      <c r="C12" s="472" t="s">
        <v>296</v>
      </c>
      <c r="D12" s="471" t="s">
        <v>283</v>
      </c>
      <c r="E12" s="471" t="s">
        <v>284</v>
      </c>
      <c r="F12" s="471" t="s">
        <v>285</v>
      </c>
      <c r="M12" s="114" t="s">
        <v>216</v>
      </c>
      <c r="N12" s="51" t="s">
        <v>297</v>
      </c>
      <c r="O12" s="114" t="s">
        <v>283</v>
      </c>
      <c r="P12" s="114" t="s">
        <v>284</v>
      </c>
      <c r="Q12" s="114" t="s">
        <v>285</v>
      </c>
    </row>
    <row r="13" spans="2:17" ht="15">
      <c r="B13" s="473" t="s">
        <v>298</v>
      </c>
      <c r="C13" s="474">
        <f>'Calibração Blaine'!H72</f>
        <v>2021.5714285714287</v>
      </c>
      <c r="D13" s="475">
        <v>2030</v>
      </c>
      <c r="E13" s="475">
        <v>1986</v>
      </c>
      <c r="F13" s="476">
        <v>2074</v>
      </c>
      <c r="M13" s="133" t="s">
        <v>299</v>
      </c>
      <c r="N13" s="277">
        <f>'Tambor de Abrasão'!E16</f>
        <v>24.644047389366815</v>
      </c>
      <c r="O13" s="277">
        <v>25</v>
      </c>
      <c r="P13" s="277">
        <v>24</v>
      </c>
      <c r="Q13" s="277">
        <v>26</v>
      </c>
    </row>
    <row r="14" spans="2:17" ht="15">
      <c r="B14" s="468"/>
      <c r="C14" s="469"/>
      <c r="D14" s="470"/>
      <c r="E14" s="470"/>
      <c r="F14" s="470"/>
      <c r="M14" s="133" t="s">
        <v>300</v>
      </c>
      <c r="N14" s="277">
        <f>'Tambor de Abrasão'!E36</f>
        <v>24.738680446639371</v>
      </c>
      <c r="O14" s="277">
        <v>25</v>
      </c>
      <c r="P14" s="277">
        <v>24</v>
      </c>
      <c r="Q14" s="277">
        <v>26</v>
      </c>
    </row>
    <row r="15" spans="2:17">
      <c r="B15" s="876"/>
      <c r="C15" s="876"/>
      <c r="D15" s="876"/>
      <c r="E15" s="876"/>
      <c r="F15" s="876"/>
      <c r="M15" s="133" t="s">
        <v>301</v>
      </c>
      <c r="N15" s="277">
        <f>'Tambor de Abrasão'!J36</f>
        <v>24.844986744795026</v>
      </c>
      <c r="O15" s="277">
        <v>25</v>
      </c>
      <c r="P15" s="277">
        <v>24</v>
      </c>
      <c r="Q15" s="277">
        <v>26</v>
      </c>
    </row>
    <row r="16" spans="2:17">
      <c r="M16" s="133" t="s">
        <v>302</v>
      </c>
      <c r="N16" s="277">
        <f>'Tambor de Abrasão'!J16</f>
        <v>24.660121904650985</v>
      </c>
      <c r="O16" s="277">
        <v>25</v>
      </c>
      <c r="P16" s="277">
        <v>24</v>
      </c>
      <c r="Q16" s="277">
        <v>26</v>
      </c>
    </row>
    <row r="17" spans="2:17">
      <c r="M17" s="133"/>
      <c r="N17" s="277"/>
      <c r="O17" s="277"/>
      <c r="P17" s="277"/>
      <c r="Q17" s="277"/>
    </row>
    <row r="20" spans="2:17" ht="14.45" customHeight="1">
      <c r="B20" s="869" t="s">
        <v>303</v>
      </c>
      <c r="C20" s="870"/>
      <c r="D20" s="870"/>
      <c r="E20" s="871"/>
      <c r="M20" s="278" t="s">
        <v>304</v>
      </c>
      <c r="N20" s="285" t="s">
        <v>220</v>
      </c>
      <c r="O20" s="286" t="s">
        <v>305</v>
      </c>
      <c r="P20" s="278" t="s">
        <v>306</v>
      </c>
    </row>
    <row r="21" spans="2:17">
      <c r="B21" s="53" t="s">
        <v>216</v>
      </c>
      <c r="C21" s="53" t="s">
        <v>307</v>
      </c>
      <c r="D21" s="54" t="s">
        <v>284</v>
      </c>
      <c r="E21" s="54" t="s">
        <v>285</v>
      </c>
      <c r="M21" s="287" t="s">
        <v>233</v>
      </c>
      <c r="N21" s="279" t="e">
        <f>Granulometria!Q27</f>
        <v>#VALUE!</v>
      </c>
      <c r="O21" s="279" t="e">
        <f>Granulometria!Q26</f>
        <v>#VALUE!</v>
      </c>
      <c r="P21" s="279">
        <f>'Tamb Kg x Tamb 15,0Kg'!C27</f>
        <v>0</v>
      </c>
    </row>
    <row r="22" spans="2:17">
      <c r="B22" s="55" t="s">
        <v>308</v>
      </c>
      <c r="C22" s="55">
        <f>Compressão!C10</f>
        <v>367.33333333333331</v>
      </c>
      <c r="D22" s="55">
        <v>280</v>
      </c>
      <c r="E22" s="55">
        <v>340</v>
      </c>
      <c r="M22" s="278" t="s">
        <v>309</v>
      </c>
      <c r="N22" s="279">
        <v>0.15</v>
      </c>
      <c r="O22" s="279">
        <v>0.3</v>
      </c>
      <c r="P22" s="279">
        <v>0.5</v>
      </c>
    </row>
    <row r="23" spans="2:17">
      <c r="B23" s="55" t="s">
        <v>310</v>
      </c>
      <c r="C23" s="55" t="e">
        <f>Compressão!M10</f>
        <v>#DIV/0!</v>
      </c>
      <c r="D23" s="55">
        <v>280</v>
      </c>
      <c r="E23" s="55">
        <v>340</v>
      </c>
    </row>
    <row r="24" spans="2:17">
      <c r="B24" s="55" t="s">
        <v>311</v>
      </c>
      <c r="C24" s="55">
        <f>Compressão!F10</f>
        <v>362.33333333333331</v>
      </c>
      <c r="D24" s="55">
        <v>280</v>
      </c>
      <c r="E24" s="55">
        <v>340</v>
      </c>
    </row>
    <row r="25" spans="2:17">
      <c r="B25" s="55" t="s">
        <v>312</v>
      </c>
      <c r="C25" s="55">
        <f>Compressão!K10</f>
        <v>15.826666666666666</v>
      </c>
      <c r="D25" s="55">
        <v>280</v>
      </c>
      <c r="E25" s="55">
        <v>340</v>
      </c>
    </row>
  </sheetData>
  <mergeCells count="6">
    <mergeCell ref="B20:E20"/>
    <mergeCell ref="B3:F3"/>
    <mergeCell ref="M3:Q3"/>
    <mergeCell ref="B11:F11"/>
    <mergeCell ref="M11:Q11"/>
    <mergeCell ref="B15:F15"/>
  </mergeCells>
  <pageMargins left="0.511811024" right="0.511811024" top="0.78740157499999996" bottom="0.78740157499999996" header="0.31496062000000002" footer="0.31496062000000002"/>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7"/>
  <dimension ref="Z23:AB23"/>
  <sheetViews>
    <sheetView zoomScale="75" zoomScaleNormal="75" workbookViewId="0">
      <selection activeCell="L3" sqref="L3"/>
    </sheetView>
  </sheetViews>
  <sheetFormatPr defaultColWidth="9.140625" defaultRowHeight="14.45"/>
  <cols>
    <col min="1" max="16384" width="9.140625" style="4"/>
  </cols>
  <sheetData>
    <row r="23" spans="26:28">
      <c r="Z23" s="361" t="s">
        <v>313</v>
      </c>
      <c r="AA23" s="363"/>
      <c r="AB23" s="362">
        <f>'Tamb Kg x Tamb 15,0Kg'!C29+Umidade!B23+Granulometria!J60+Compressão!C27+'Calibração Blaine'!B75+'Gran. Fina Alpine'!B24++'Tambor de Abrasão'!B38</f>
        <v>106</v>
      </c>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4"/>
  <dimension ref="B2:H11"/>
  <sheetViews>
    <sheetView showGridLines="0" workbookViewId="0">
      <selection activeCell="F9" sqref="F9:H9"/>
    </sheetView>
  </sheetViews>
  <sheetFormatPr defaultRowHeight="15" customHeight="1"/>
  <cols>
    <col min="1" max="1" width="3" customWidth="1"/>
    <col min="5" max="5" width="2.7109375" customWidth="1"/>
    <col min="6" max="8" width="18.7109375" customWidth="1"/>
  </cols>
  <sheetData>
    <row r="2" spans="2:8" ht="36.75" customHeight="1">
      <c r="B2" s="879" t="s">
        <v>314</v>
      </c>
      <c r="C2" s="880"/>
      <c r="D2" s="880"/>
      <c r="E2" s="880"/>
      <c r="F2" s="881"/>
      <c r="G2" s="881"/>
      <c r="H2" s="882"/>
    </row>
    <row r="3" spans="2:8" ht="15.75" customHeight="1">
      <c r="B3" s="565"/>
      <c r="C3" s="901" t="s">
        <v>315</v>
      </c>
      <c r="D3" s="901"/>
      <c r="E3" s="902"/>
      <c r="F3" s="903" t="s">
        <v>316</v>
      </c>
      <c r="G3" s="904"/>
      <c r="H3" s="905"/>
    </row>
    <row r="4" spans="2:8" ht="113.25" customHeight="1">
      <c r="B4" s="414" t="s">
        <v>317</v>
      </c>
      <c r="C4" s="883" t="s">
        <v>318</v>
      </c>
      <c r="D4" s="883"/>
      <c r="E4" s="884"/>
      <c r="F4" s="890" t="s">
        <v>319</v>
      </c>
      <c r="G4" s="891"/>
      <c r="H4" s="892"/>
    </row>
    <row r="5" spans="2:8" ht="56.25" customHeight="1">
      <c r="B5" s="564" t="s">
        <v>320</v>
      </c>
      <c r="C5" s="877" t="s">
        <v>318</v>
      </c>
      <c r="D5" s="877"/>
      <c r="E5" s="878"/>
      <c r="F5" s="893" t="s">
        <v>321</v>
      </c>
      <c r="G5" s="894"/>
      <c r="H5" s="895"/>
    </row>
    <row r="6" spans="2:8" ht="61.5" customHeight="1">
      <c r="B6" s="414" t="s">
        <v>322</v>
      </c>
      <c r="C6" s="883" t="s">
        <v>318</v>
      </c>
      <c r="D6" s="883"/>
      <c r="E6" s="884"/>
      <c r="F6" s="890" t="s">
        <v>323</v>
      </c>
      <c r="G6" s="891"/>
      <c r="H6" s="892"/>
    </row>
    <row r="7" spans="2:8" ht="60" customHeight="1">
      <c r="B7" s="564" t="s">
        <v>324</v>
      </c>
      <c r="C7" s="877" t="s">
        <v>318</v>
      </c>
      <c r="D7" s="877"/>
      <c r="E7" s="878"/>
      <c r="F7" s="893" t="s">
        <v>325</v>
      </c>
      <c r="G7" s="894"/>
      <c r="H7" s="895"/>
    </row>
    <row r="8" spans="2:8" ht="53.25" customHeight="1">
      <c r="B8" s="414" t="s">
        <v>326</v>
      </c>
      <c r="C8" s="883" t="s">
        <v>318</v>
      </c>
      <c r="D8" s="883"/>
      <c r="E8" s="884"/>
      <c r="F8" s="890" t="s">
        <v>327</v>
      </c>
      <c r="G8" s="883"/>
      <c r="H8" s="896"/>
    </row>
    <row r="9" spans="2:8" ht="51.75" customHeight="1">
      <c r="B9" s="564" t="s">
        <v>328</v>
      </c>
      <c r="C9" s="885" t="s">
        <v>329</v>
      </c>
      <c r="D9" s="886"/>
      <c r="E9" s="887"/>
      <c r="F9" s="893" t="s">
        <v>330</v>
      </c>
      <c r="G9" s="877"/>
      <c r="H9" s="897"/>
    </row>
    <row r="10" spans="2:8" ht="55.5" customHeight="1">
      <c r="B10" s="415" t="s">
        <v>331</v>
      </c>
      <c r="C10" s="888" t="s">
        <v>318</v>
      </c>
      <c r="D10" s="888"/>
      <c r="E10" s="889"/>
      <c r="F10" s="898" t="s">
        <v>332</v>
      </c>
      <c r="G10" s="899"/>
      <c r="H10" s="900"/>
    </row>
    <row r="11" spans="2:8">
      <c r="F11" s="852"/>
      <c r="G11" s="852"/>
      <c r="H11" s="852"/>
    </row>
  </sheetData>
  <mergeCells count="18">
    <mergeCell ref="C5:E5"/>
    <mergeCell ref="C6:E6"/>
    <mergeCell ref="C7:E7"/>
    <mergeCell ref="F11:H11"/>
    <mergeCell ref="B2:H2"/>
    <mergeCell ref="C8:E8"/>
    <mergeCell ref="C9:E9"/>
    <mergeCell ref="C10:E10"/>
    <mergeCell ref="F4:H4"/>
    <mergeCell ref="F5:H5"/>
    <mergeCell ref="F6:H6"/>
    <mergeCell ref="F7:H7"/>
    <mergeCell ref="F8:H8"/>
    <mergeCell ref="F9:H9"/>
    <mergeCell ref="F10:H10"/>
    <mergeCell ref="C3:E3"/>
    <mergeCell ref="F3:H3"/>
    <mergeCell ref="C4:E4"/>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tabColor rgb="FF003A70"/>
  </sheetPr>
  <dimension ref="A1:Q797"/>
  <sheetViews>
    <sheetView workbookViewId="0">
      <pane ySplit="1" topLeftCell="A2" activePane="bottomLeft" state="frozen"/>
      <selection pane="bottomLeft" activeCell="A2" sqref="A2"/>
    </sheetView>
  </sheetViews>
  <sheetFormatPr defaultRowHeight="15"/>
  <cols>
    <col min="1" max="1" width="22" customWidth="1"/>
    <col min="2" max="2" width="13" customWidth="1"/>
    <col min="3" max="3" width="12" customWidth="1"/>
    <col min="4" max="4" width="26" customWidth="1"/>
    <col min="5" max="5" width="30" customWidth="1"/>
    <col min="6" max="6" width="9" customWidth="1"/>
    <col min="7" max="7" width="11" customWidth="1"/>
    <col min="8" max="8" width="11" customWidth="1"/>
    <col min="9" max="9" width="11" customWidth="1"/>
    <col min="10" max="10" width="11" customWidth="1"/>
    <col min="11" max="11" width="11" customWidth="1"/>
    <col min="12" max="12" width="11" customWidth="1"/>
    <col min="13" max="13" width="14" customWidth="1"/>
    <col min="14" max="14" width="16" customWidth="1"/>
    <col min="15" max="15" width="7" customWidth="1"/>
    <col min="16" max="16" width="34" customWidth="1"/>
    <col min="17" max="17" width="34" customWidth="1"/>
  </cols>
  <sheetData>
    <row r="1">
      <c r="A1" s="913" t="s">
        <v>333</v>
      </c>
      <c r="B1" s="913" t="s">
        <v>334</v>
      </c>
      <c r="C1" s="913" t="s">
        <v>5</v>
      </c>
      <c r="D1" s="913" t="s">
        <v>216</v>
      </c>
      <c r="E1" s="913" t="s">
        <v>335</v>
      </c>
      <c r="F1" s="913" t="s">
        <v>336</v>
      </c>
      <c r="G1" s="913" t="s">
        <v>337</v>
      </c>
      <c r="H1" s="913" t="s">
        <v>338</v>
      </c>
      <c r="I1" s="913" t="s">
        <v>233</v>
      </c>
      <c r="J1" s="913" t="s">
        <v>339</v>
      </c>
      <c r="K1" s="913" t="s">
        <v>340</v>
      </c>
      <c r="L1" s="913" t="s">
        <v>341</v>
      </c>
      <c r="M1" s="913" t="s">
        <v>342</v>
      </c>
      <c r="N1" s="913" t="s">
        <v>51</v>
      </c>
      <c r="O1" s="913" t="s">
        <v>104</v>
      </c>
      <c r="P1" s="913" t="s">
        <v>151</v>
      </c>
      <c r="Q1" s="913" t="s">
        <v>343</v>
      </c>
    </row>
    <row r="2">
      <c r="A2" t="s">
        <v>344</v>
      </c>
      <c r="B2" t="s">
        <v>6</v>
      </c>
      <c r="C2" s="912">
        <f>IF(N('Tambor de Abrasão'!$A$6)&gt;0,'Tambor de Abrasão'!$A$6,"")</f>
        <v>46274</v>
      </c>
      <c r="D2" t="s">
        <v>345</v>
      </c>
      <c r="E2" t="s">
        <v>346</v>
      </c>
      <c r="F2" t="s">
        <v>347</v>
      </c>
      <c r="G2">
        <f>IF(ISNUMBER('Tambor de Abrasão'!$E$6),'Tambor de Abrasão'!$E$6,"")</f>
        <v>24.791208791208792</v>
      </c>
      <c r="H2">
        <f>BD_Limites!$E$2</f>
        <v>25</v>
      </c>
      <c r="I2">
        <f>IF(OR(G2="",H2=""),"",G2-H2)</f>
        <v>-0.20879120879120805</v>
      </c>
      <c r="J2">
        <f>BD_Limites!$F$2</f>
        <v>24</v>
      </c>
      <c r="K2">
        <f>BD_Limites!$G$2</f>
        <v>26</v>
      </c>
      <c r="M2" t="str">
        <f>IF(G2="","",IF(AND(G2&gt;=J2,G2&lt;=K2),"Conforme","Não conforme"))</f>
        <v>Conforme</v>
      </c>
      <c r="N2" t="str">
        <f>IF('Tambor de Abrasão'!$Q$6&amp;""="","",TRIM('Tambor de Abrasão'!$Q$6&amp;""))</f>
        <v>LEONARDO</v>
      </c>
      <c r="Q2" t="s">
        <v>348</v>
      </c>
    </row>
    <row r="3">
      <c r="A3" t="s">
        <v>344</v>
      </c>
      <c r="B3" t="s">
        <v>6</v>
      </c>
      <c r="C3" s="912">
        <f>IF(N('Tambor de Abrasão'!$A$7)&gt;0,'Tambor de Abrasão'!$A$7,"")</f>
        <v>46277</v>
      </c>
      <c r="D3" t="s">
        <v>345</v>
      </c>
      <c r="E3" t="s">
        <v>346</v>
      </c>
      <c r="F3" t="s">
        <v>347</v>
      </c>
      <c r="G3">
        <f>IF(ISNUMBER('Tambor de Abrasão'!$E$7),'Tambor de Abrasão'!$E$7,"")</f>
        <v>24.845814977973568</v>
      </c>
      <c r="H3">
        <f>BD_Limites!$E$2</f>
        <v>25</v>
      </c>
      <c r="I3">
        <f>IF(OR(G3="",H3=""),"",G3-H3)</f>
        <v>-0.15418502202643225</v>
      </c>
      <c r="J3">
        <f>BD_Limites!$F$2</f>
        <v>24</v>
      </c>
      <c r="K3">
        <f>BD_Limites!$G$2</f>
        <v>26</v>
      </c>
      <c r="M3" t="str">
        <f>IF(G3="","",IF(AND(G3&gt;=J3,G3&lt;=K3),"Conforme","Não conforme"))</f>
        <v>Conforme</v>
      </c>
      <c r="N3" t="str">
        <f>IF('Tambor de Abrasão'!$Q$7&amp;""="","",TRIM('Tambor de Abrasão'!$Q$7&amp;""))</f>
        <v>EBERT</v>
      </c>
      <c r="Q3" t="s">
        <v>349</v>
      </c>
    </row>
    <row r="4">
      <c r="A4" t="s">
        <v>344</v>
      </c>
      <c r="B4" t="s">
        <v>6</v>
      </c>
      <c r="C4" s="912">
        <f>IF(N('Tambor de Abrasão'!$A$8)&gt;0,'Tambor de Abrasão'!$A$8,"")</f>
        <v>46279</v>
      </c>
      <c r="D4" t="s">
        <v>345</v>
      </c>
      <c r="E4" t="s">
        <v>346</v>
      </c>
      <c r="F4" t="s">
        <v>347</v>
      </c>
      <c r="G4">
        <f>IF(ISNUMBER('Tambor de Abrasão'!$E$8),'Tambor de Abrasão'!$E$8,"")</f>
        <v>24.62882096069869</v>
      </c>
      <c r="H4">
        <f>BD_Limites!$E$2</f>
        <v>25</v>
      </c>
      <c r="I4">
        <f>IF(OR(G4="",H4=""),"",G4-H4)</f>
        <v>-0.37117903930131035</v>
      </c>
      <c r="J4">
        <f>BD_Limites!$F$2</f>
        <v>24</v>
      </c>
      <c r="K4">
        <f>BD_Limites!$G$2</f>
        <v>26</v>
      </c>
      <c r="M4" t="str">
        <f>IF(G4="","",IF(AND(G4&gt;=J4,G4&lt;=K4),"Conforme","Não conforme"))</f>
        <v>Conforme</v>
      </c>
      <c r="N4" t="str">
        <f>IF('Tambor de Abrasão'!$Q$8&amp;""="","",TRIM('Tambor de Abrasão'!$Q$8&amp;""))</f>
        <v>WESLEY</v>
      </c>
      <c r="Q4" t="s">
        <v>350</v>
      </c>
    </row>
    <row r="5">
      <c r="A5" t="s">
        <v>344</v>
      </c>
      <c r="B5" t="s">
        <v>6</v>
      </c>
      <c r="C5" s="912">
        <f>IF(N('Tambor de Abrasão'!$A$9)&gt;0,'Tambor de Abrasão'!$A$9,"")</f>
        <v>46281</v>
      </c>
      <c r="D5" t="s">
        <v>345</v>
      </c>
      <c r="E5" t="s">
        <v>346</v>
      </c>
      <c r="F5" t="s">
        <v>347</v>
      </c>
      <c r="G5">
        <f>IF(ISNUMBER('Tambor de Abrasão'!$E$9),'Tambor de Abrasão'!$E$9,"")</f>
        <v>24.310344827586206</v>
      </c>
      <c r="H5">
        <f>BD_Limites!$E$2</f>
        <v>25</v>
      </c>
      <c r="I5">
        <f>IF(OR(G5="",H5=""),"",G5-H5)</f>
        <v>-0.6896551724137936</v>
      </c>
      <c r="J5">
        <f>BD_Limites!$F$2</f>
        <v>24</v>
      </c>
      <c r="K5">
        <f>BD_Limites!$G$2</f>
        <v>26</v>
      </c>
      <c r="M5" t="str">
        <f>IF(G5="","",IF(AND(G5&gt;=J5,G5&lt;=K5),"Conforme","Não conforme"))</f>
        <v>Conforme</v>
      </c>
      <c r="N5" t="str">
        <f>IF('Tambor de Abrasão'!$Q$9&amp;""="","",TRIM('Tambor de Abrasão'!$Q$9&amp;""))</f>
        <v>LEONARDO</v>
      </c>
      <c r="Q5" t="s">
        <v>351</v>
      </c>
    </row>
    <row r="6">
      <c r="A6" t="s">
        <v>344</v>
      </c>
      <c r="B6" t="s">
        <v>6</v>
      </c>
      <c r="C6" s="912" t="str">
        <f>IF(N('Tambor de Abrasão'!$A$10)&gt;0,'Tambor de Abrasão'!$A$10,"")</f>
        <v/>
      </c>
      <c r="D6" t="s">
        <v>345</v>
      </c>
      <c r="E6" t="s">
        <v>346</v>
      </c>
      <c r="F6" t="s">
        <v>347</v>
      </c>
      <c r="G6" t="str">
        <f>IF(ISNUMBER('Tambor de Abrasão'!$E$10),'Tambor de Abrasão'!$E$10,"")</f>
        <v/>
      </c>
      <c r="H6">
        <f>BD_Limites!$E$2</f>
        <v>25</v>
      </c>
      <c r="I6" t="str">
        <f>IF(OR(G6="",H6=""),"",G6-H6)</f>
        <v/>
      </c>
      <c r="J6">
        <f>BD_Limites!$F$2</f>
        <v>24</v>
      </c>
      <c r="K6">
        <f>BD_Limites!$G$2</f>
        <v>26</v>
      </c>
      <c r="M6" t="str">
        <f>IF(G6="","",IF(AND(G6&gt;=J6,G6&lt;=K6),"Conforme","Não conforme"))</f>
        <v/>
      </c>
      <c r="N6" t="str">
        <f>IF('Tambor de Abrasão'!$Q$10&amp;""="","",TRIM('Tambor de Abrasão'!$Q$10&amp;""))</f>
        <v/>
      </c>
      <c r="Q6" t="s">
        <v>352</v>
      </c>
    </row>
    <row r="7">
      <c r="A7" t="s">
        <v>344</v>
      </c>
      <c r="B7" t="s">
        <v>6</v>
      </c>
      <c r="C7" s="912" t="str">
        <f>IF(N('Tambor de Abrasão'!$A$11)&gt;0,'Tambor de Abrasão'!$A$11,"")</f>
        <v/>
      </c>
      <c r="D7" t="s">
        <v>345</v>
      </c>
      <c r="E7" t="s">
        <v>346</v>
      </c>
      <c r="F7" t="s">
        <v>347</v>
      </c>
      <c r="G7" t="str">
        <f>IF(ISNUMBER('Tambor de Abrasão'!$E$11),'Tambor de Abrasão'!$E$11,"")</f>
        <v/>
      </c>
      <c r="H7">
        <f>BD_Limites!$E$2</f>
        <v>25</v>
      </c>
      <c r="I7" t="str">
        <f>IF(OR(G7="",H7=""),"",G7-H7)</f>
        <v/>
      </c>
      <c r="J7">
        <f>BD_Limites!$F$2</f>
        <v>24</v>
      </c>
      <c r="K7">
        <f>BD_Limites!$G$2</f>
        <v>26</v>
      </c>
      <c r="M7" t="str">
        <f>IF(G7="","",IF(AND(G7&gt;=J7,G7&lt;=K7),"Conforme","Não conforme"))</f>
        <v/>
      </c>
      <c r="N7" t="str">
        <f>IF('Tambor de Abrasão'!$Q$11&amp;""="","",TRIM('Tambor de Abrasão'!$Q$11&amp;""))</f>
        <v/>
      </c>
      <c r="Q7" t="s">
        <v>353</v>
      </c>
    </row>
    <row r="8">
      <c r="A8" t="s">
        <v>344</v>
      </c>
      <c r="B8" t="s">
        <v>6</v>
      </c>
      <c r="C8" s="912" t="str">
        <f>IF(N('Tambor de Abrasão'!$A$12)&gt;0,'Tambor de Abrasão'!$A$12,"")</f>
        <v/>
      </c>
      <c r="D8" t="s">
        <v>345</v>
      </c>
      <c r="E8" t="s">
        <v>346</v>
      </c>
      <c r="F8" t="s">
        <v>347</v>
      </c>
      <c r="G8" t="str">
        <f>IF(ISNUMBER('Tambor de Abrasão'!$E$12),'Tambor de Abrasão'!$E$12,"")</f>
        <v/>
      </c>
      <c r="H8">
        <f>BD_Limites!$E$2</f>
        <v>25</v>
      </c>
      <c r="I8" t="str">
        <f>IF(OR(G8="",H8=""),"",G8-H8)</f>
        <v/>
      </c>
      <c r="J8">
        <f>BD_Limites!$F$2</f>
        <v>24</v>
      </c>
      <c r="K8">
        <f>BD_Limites!$G$2</f>
        <v>26</v>
      </c>
      <c r="M8" t="str">
        <f>IF(G8="","",IF(AND(G8&gt;=J8,G8&lt;=K8),"Conforme","Não conforme"))</f>
        <v/>
      </c>
      <c r="N8" t="str">
        <f>IF('Tambor de Abrasão'!$Q$12&amp;""="","",TRIM('Tambor de Abrasão'!$Q$12&amp;""))</f>
        <v/>
      </c>
      <c r="Q8" t="s">
        <v>354</v>
      </c>
    </row>
    <row r="9">
      <c r="A9" t="s">
        <v>344</v>
      </c>
      <c r="B9" t="s">
        <v>6</v>
      </c>
      <c r="C9" s="912" t="str">
        <f>IF(N('Tambor de Abrasão'!$A$13)&gt;0,'Tambor de Abrasão'!$A$13,"")</f>
        <v/>
      </c>
      <c r="D9" t="s">
        <v>345</v>
      </c>
      <c r="E9" t="s">
        <v>346</v>
      </c>
      <c r="F9" t="s">
        <v>347</v>
      </c>
      <c r="G9" t="str">
        <f>IF(ISNUMBER('Tambor de Abrasão'!$E$13),'Tambor de Abrasão'!$E$13,"")</f>
        <v/>
      </c>
      <c r="H9">
        <f>BD_Limites!$E$2</f>
        <v>25</v>
      </c>
      <c r="I9" t="str">
        <f>IF(OR(G9="",H9=""),"",G9-H9)</f>
        <v/>
      </c>
      <c r="J9">
        <f>BD_Limites!$F$2</f>
        <v>24</v>
      </c>
      <c r="K9">
        <f>BD_Limites!$G$2</f>
        <v>26</v>
      </c>
      <c r="M9" t="str">
        <f>IF(G9="","",IF(AND(G9&gt;=J9,G9&lt;=K9),"Conforme","Não conforme"))</f>
        <v/>
      </c>
      <c r="N9" t="str">
        <f>IF('Tambor de Abrasão'!$Q$13&amp;""="","",TRIM('Tambor de Abrasão'!$Q$13&amp;""))</f>
        <v/>
      </c>
      <c r="Q9" t="s">
        <v>355</v>
      </c>
    </row>
    <row r="10">
      <c r="A10" t="s">
        <v>344</v>
      </c>
      <c r="B10" t="s">
        <v>6</v>
      </c>
      <c r="C10" s="912" t="str">
        <f>IF(N('Tambor de Abrasão'!$A$14)&gt;0,'Tambor de Abrasão'!$A$14,"")</f>
        <v/>
      </c>
      <c r="D10" t="s">
        <v>345</v>
      </c>
      <c r="E10" t="s">
        <v>346</v>
      </c>
      <c r="F10" t="s">
        <v>347</v>
      </c>
      <c r="G10" t="str">
        <f>IF(ISNUMBER('Tambor de Abrasão'!$E$14),'Tambor de Abrasão'!$E$14,"")</f>
        <v/>
      </c>
      <c r="H10">
        <f>BD_Limites!$E$2</f>
        <v>25</v>
      </c>
      <c r="I10" t="str">
        <f>IF(OR(G10="",H10=""),"",G10-H10)</f>
        <v/>
      </c>
      <c r="J10">
        <f>BD_Limites!$F$2</f>
        <v>24</v>
      </c>
      <c r="K10">
        <f>BD_Limites!$G$2</f>
        <v>26</v>
      </c>
      <c r="M10" t="str">
        <f>IF(G10="","",IF(AND(G10&gt;=J10,G10&lt;=K10),"Conforme","Não conforme"))</f>
        <v/>
      </c>
      <c r="N10" t="str">
        <f>IF('Tambor de Abrasão'!$Q$14&amp;""="","",TRIM('Tambor de Abrasão'!$Q$14&amp;""))</f>
        <v/>
      </c>
      <c r="Q10" t="s">
        <v>356</v>
      </c>
    </row>
    <row r="11">
      <c r="A11" t="s">
        <v>344</v>
      </c>
      <c r="B11" t="s">
        <v>6</v>
      </c>
      <c r="C11" s="912">
        <f>IF(N('Tambor de Abrasão'!$A$6)&gt;0,'Tambor de Abrasão'!$A$6,"")</f>
        <v>46274</v>
      </c>
      <c r="D11" t="s">
        <v>357</v>
      </c>
      <c r="E11" t="s">
        <v>346</v>
      </c>
      <c r="F11" t="s">
        <v>347</v>
      </c>
      <c r="G11">
        <f>IF(ISNUMBER('Tambor de Abrasão'!$J$6),'Tambor de Abrasão'!$J$6,"")</f>
        <v>25.01108647450111</v>
      </c>
      <c r="H11">
        <f>BD_Limites!$E$2</f>
        <v>25</v>
      </c>
      <c r="I11">
        <f>IF(OR(G11="",H11=""),"",G11-H11)</f>
        <v>0.011086474501109223</v>
      </c>
      <c r="J11">
        <f>BD_Limites!$F$2</f>
        <v>24</v>
      </c>
      <c r="K11">
        <f>BD_Limites!$G$2</f>
        <v>26</v>
      </c>
      <c r="M11" t="str">
        <f>IF(G11="","",IF(AND(G11&gt;=J11,G11&lt;=K11),"Conforme","Não conforme"))</f>
        <v>Conforme</v>
      </c>
      <c r="N11" t="str">
        <f>IF('Tambor de Abrasão'!$Q$6&amp;""="","",TRIM('Tambor de Abrasão'!$Q$6&amp;""))</f>
        <v>LEONARDO</v>
      </c>
      <c r="Q11" t="s">
        <v>358</v>
      </c>
    </row>
    <row r="12">
      <c r="A12" t="s">
        <v>344</v>
      </c>
      <c r="B12" t="s">
        <v>6</v>
      </c>
      <c r="C12" s="912">
        <f>IF(N('Tambor de Abrasão'!$A$7)&gt;0,'Tambor de Abrasão'!$A$7,"")</f>
        <v>46277</v>
      </c>
      <c r="D12" t="s">
        <v>357</v>
      </c>
      <c r="E12" t="s">
        <v>346</v>
      </c>
      <c r="F12" t="s">
        <v>347</v>
      </c>
      <c r="G12">
        <f>IF(ISNUMBER('Tambor de Abrasão'!$J$7),'Tambor de Abrasão'!$J$7,"")</f>
        <v>24.95575221238938</v>
      </c>
      <c r="H12">
        <f>BD_Limites!$E$2</f>
        <v>25</v>
      </c>
      <c r="I12">
        <f>IF(OR(G12="",H12=""),"",G12-H12)</f>
        <v>-0.04424778761061887</v>
      </c>
      <c r="J12">
        <f>BD_Limites!$F$2</f>
        <v>24</v>
      </c>
      <c r="K12">
        <f>BD_Limites!$G$2</f>
        <v>26</v>
      </c>
      <c r="M12" t="str">
        <f>IF(G12="","",IF(AND(G12&gt;=J12,G12&lt;=K12),"Conforme","Não conforme"))</f>
        <v>Conforme</v>
      </c>
      <c r="N12" t="str">
        <f>IF('Tambor de Abrasão'!$Q$7&amp;""="","",TRIM('Tambor de Abrasão'!$Q$7&amp;""))</f>
        <v>EBERT</v>
      </c>
      <c r="Q12" t="s">
        <v>359</v>
      </c>
    </row>
    <row r="13">
      <c r="A13" t="s">
        <v>344</v>
      </c>
      <c r="B13" t="s">
        <v>6</v>
      </c>
      <c r="C13" s="912">
        <f>IF(N('Tambor de Abrasão'!$A$8)&gt;0,'Tambor de Abrasão'!$A$8,"")</f>
        <v>46279</v>
      </c>
      <c r="D13" t="s">
        <v>357</v>
      </c>
      <c r="E13" t="s">
        <v>346</v>
      </c>
      <c r="F13" t="s">
        <v>347</v>
      </c>
      <c r="G13">
        <f>IF(ISNUMBER('Tambor de Abrasão'!$J$8),'Tambor de Abrasão'!$J$8,"")</f>
        <v>24.415584415584416</v>
      </c>
      <c r="H13">
        <f>BD_Limites!$E$2</f>
        <v>25</v>
      </c>
      <c r="I13">
        <f>IF(OR(G13="",H13=""),"",G13-H13)</f>
        <v>-0.5844155844155843</v>
      </c>
      <c r="J13">
        <f>BD_Limites!$F$2</f>
        <v>24</v>
      </c>
      <c r="K13">
        <f>BD_Limites!$G$2</f>
        <v>26</v>
      </c>
      <c r="M13" t="str">
        <f>IF(G13="","",IF(AND(G13&gt;=J13,G13&lt;=K13),"Conforme","Não conforme"))</f>
        <v>Conforme</v>
      </c>
      <c r="N13" t="str">
        <f>IF('Tambor de Abrasão'!$Q$8&amp;""="","",TRIM('Tambor de Abrasão'!$Q$8&amp;""))</f>
        <v>WESLEY</v>
      </c>
      <c r="Q13" t="s">
        <v>360</v>
      </c>
    </row>
    <row r="14">
      <c r="A14" t="s">
        <v>344</v>
      </c>
      <c r="B14" t="s">
        <v>6</v>
      </c>
      <c r="C14" s="912">
        <f>IF(N('Tambor de Abrasão'!$A$9)&gt;0,'Tambor de Abrasão'!$A$9,"")</f>
        <v>46281</v>
      </c>
      <c r="D14" t="s">
        <v>357</v>
      </c>
      <c r="E14" t="s">
        <v>346</v>
      </c>
      <c r="F14" t="s">
        <v>347</v>
      </c>
      <c r="G14">
        <f>IF(ISNUMBER('Tambor de Abrasão'!$J$9),'Tambor de Abrasão'!$J$9,"")</f>
        <v>24.258064516129032</v>
      </c>
      <c r="H14">
        <f>BD_Limites!$E$2</f>
        <v>25</v>
      </c>
      <c r="I14">
        <f>IF(OR(G14="",H14=""),"",G14-H14)</f>
        <v>-0.741935483870968</v>
      </c>
      <c r="J14">
        <f>BD_Limites!$F$2</f>
        <v>24</v>
      </c>
      <c r="K14">
        <f>BD_Limites!$G$2</f>
        <v>26</v>
      </c>
      <c r="M14" t="str">
        <f>IF(G14="","",IF(AND(G14&gt;=J14,G14&lt;=K14),"Conforme","Não conforme"))</f>
        <v>Conforme</v>
      </c>
      <c r="N14" t="str">
        <f>IF('Tambor de Abrasão'!$Q$9&amp;""="","",TRIM('Tambor de Abrasão'!$Q$9&amp;""))</f>
        <v>LEONARDO</v>
      </c>
      <c r="Q14" t="s">
        <v>361</v>
      </c>
    </row>
    <row r="15">
      <c r="A15" t="s">
        <v>344</v>
      </c>
      <c r="B15" t="s">
        <v>6</v>
      </c>
      <c r="C15" s="912" t="str">
        <f>IF(N('Tambor de Abrasão'!$A$10)&gt;0,'Tambor de Abrasão'!$A$10,"")</f>
        <v/>
      </c>
      <c r="D15" t="s">
        <v>357</v>
      </c>
      <c r="E15" t="s">
        <v>346</v>
      </c>
      <c r="F15" t="s">
        <v>347</v>
      </c>
      <c r="G15" t="str">
        <f>IF(ISNUMBER('Tambor de Abrasão'!$J$10),'Tambor de Abrasão'!$J$10,"")</f>
        <v/>
      </c>
      <c r="H15">
        <f>BD_Limites!$E$2</f>
        <v>25</v>
      </c>
      <c r="I15" t="str">
        <f>IF(OR(G15="",H15=""),"",G15-H15)</f>
        <v/>
      </c>
      <c r="J15">
        <f>BD_Limites!$F$2</f>
        <v>24</v>
      </c>
      <c r="K15">
        <f>BD_Limites!$G$2</f>
        <v>26</v>
      </c>
      <c r="M15" t="str">
        <f>IF(G15="","",IF(AND(G15&gt;=J15,G15&lt;=K15),"Conforme","Não conforme"))</f>
        <v/>
      </c>
      <c r="N15" t="str">
        <f>IF('Tambor de Abrasão'!$Q$10&amp;""="","",TRIM('Tambor de Abrasão'!$Q$10&amp;""))</f>
        <v/>
      </c>
      <c r="Q15" t="s">
        <v>362</v>
      </c>
    </row>
    <row r="16">
      <c r="A16" t="s">
        <v>344</v>
      </c>
      <c r="B16" t="s">
        <v>6</v>
      </c>
      <c r="C16" s="912" t="str">
        <f>IF(N('Tambor de Abrasão'!$A$11)&gt;0,'Tambor de Abrasão'!$A$11,"")</f>
        <v/>
      </c>
      <c r="D16" t="s">
        <v>357</v>
      </c>
      <c r="E16" t="s">
        <v>346</v>
      </c>
      <c r="F16" t="s">
        <v>347</v>
      </c>
      <c r="G16" t="str">
        <f>IF(ISNUMBER('Tambor de Abrasão'!$J$11),'Tambor de Abrasão'!$J$11,"")</f>
        <v/>
      </c>
      <c r="H16">
        <f>BD_Limites!$E$2</f>
        <v>25</v>
      </c>
      <c r="I16" t="str">
        <f>IF(OR(G16="",H16=""),"",G16-H16)</f>
        <v/>
      </c>
      <c r="J16">
        <f>BD_Limites!$F$2</f>
        <v>24</v>
      </c>
      <c r="K16">
        <f>BD_Limites!$G$2</f>
        <v>26</v>
      </c>
      <c r="M16" t="str">
        <f>IF(G16="","",IF(AND(G16&gt;=J16,G16&lt;=K16),"Conforme","Não conforme"))</f>
        <v/>
      </c>
      <c r="N16" t="str">
        <f>IF('Tambor de Abrasão'!$Q$11&amp;""="","",TRIM('Tambor de Abrasão'!$Q$11&amp;""))</f>
        <v/>
      </c>
      <c r="Q16" t="s">
        <v>363</v>
      </c>
    </row>
    <row r="17">
      <c r="A17" t="s">
        <v>344</v>
      </c>
      <c r="B17" t="s">
        <v>6</v>
      </c>
      <c r="C17" s="912" t="str">
        <f>IF(N('Tambor de Abrasão'!$A$12)&gt;0,'Tambor de Abrasão'!$A$12,"")</f>
        <v/>
      </c>
      <c r="D17" t="s">
        <v>357</v>
      </c>
      <c r="E17" t="s">
        <v>346</v>
      </c>
      <c r="F17" t="s">
        <v>347</v>
      </c>
      <c r="G17" t="str">
        <f>IF(ISNUMBER('Tambor de Abrasão'!$J$12),'Tambor de Abrasão'!$J$12,"")</f>
        <v/>
      </c>
      <c r="H17">
        <f>BD_Limites!$E$2</f>
        <v>25</v>
      </c>
      <c r="I17" t="str">
        <f>IF(OR(G17="",H17=""),"",G17-H17)</f>
        <v/>
      </c>
      <c r="J17">
        <f>BD_Limites!$F$2</f>
        <v>24</v>
      </c>
      <c r="K17">
        <f>BD_Limites!$G$2</f>
        <v>26</v>
      </c>
      <c r="M17" t="str">
        <f>IF(G17="","",IF(AND(G17&gt;=J17,G17&lt;=K17),"Conforme","Não conforme"))</f>
        <v/>
      </c>
      <c r="N17" t="str">
        <f>IF('Tambor de Abrasão'!$Q$12&amp;""="","",TRIM('Tambor de Abrasão'!$Q$12&amp;""))</f>
        <v/>
      </c>
      <c r="Q17" t="s">
        <v>364</v>
      </c>
    </row>
    <row r="18">
      <c r="A18" t="s">
        <v>344</v>
      </c>
      <c r="B18" t="s">
        <v>6</v>
      </c>
      <c r="C18" s="912" t="str">
        <f>IF(N('Tambor de Abrasão'!$A$13)&gt;0,'Tambor de Abrasão'!$A$13,"")</f>
        <v/>
      </c>
      <c r="D18" t="s">
        <v>357</v>
      </c>
      <c r="E18" t="s">
        <v>346</v>
      </c>
      <c r="F18" t="s">
        <v>347</v>
      </c>
      <c r="G18" t="str">
        <f>IF(ISNUMBER('Tambor de Abrasão'!$J$13),'Tambor de Abrasão'!$J$13,"")</f>
        <v/>
      </c>
      <c r="H18">
        <f>BD_Limites!$E$2</f>
        <v>25</v>
      </c>
      <c r="I18" t="str">
        <f>IF(OR(G18="",H18=""),"",G18-H18)</f>
        <v/>
      </c>
      <c r="J18">
        <f>BD_Limites!$F$2</f>
        <v>24</v>
      </c>
      <c r="K18">
        <f>BD_Limites!$G$2</f>
        <v>26</v>
      </c>
      <c r="M18" t="str">
        <f>IF(G18="","",IF(AND(G18&gt;=J18,G18&lt;=K18),"Conforme","Não conforme"))</f>
        <v/>
      </c>
      <c r="N18" t="str">
        <f>IF('Tambor de Abrasão'!$Q$13&amp;""="","",TRIM('Tambor de Abrasão'!$Q$13&amp;""))</f>
        <v/>
      </c>
      <c r="Q18" t="s">
        <v>365</v>
      </c>
    </row>
    <row r="19">
      <c r="A19" t="s">
        <v>344</v>
      </c>
      <c r="B19" t="s">
        <v>6</v>
      </c>
      <c r="C19" s="912" t="str">
        <f>IF(N('Tambor de Abrasão'!$A$14)&gt;0,'Tambor de Abrasão'!$A$14,"")</f>
        <v/>
      </c>
      <c r="D19" t="s">
        <v>357</v>
      </c>
      <c r="E19" t="s">
        <v>346</v>
      </c>
      <c r="F19" t="s">
        <v>347</v>
      </c>
      <c r="G19" t="str">
        <f>IF(ISNUMBER('Tambor de Abrasão'!$J$14),'Tambor de Abrasão'!$J$14,"")</f>
        <v/>
      </c>
      <c r="H19">
        <f>BD_Limites!$E$2</f>
        <v>25</v>
      </c>
      <c r="I19" t="str">
        <f>IF(OR(G19="",H19=""),"",G19-H19)</f>
        <v/>
      </c>
      <c r="J19">
        <f>BD_Limites!$F$2</f>
        <v>24</v>
      </c>
      <c r="K19">
        <f>BD_Limites!$G$2</f>
        <v>26</v>
      </c>
      <c r="M19" t="str">
        <f>IF(G19="","",IF(AND(G19&gt;=J19,G19&lt;=K19),"Conforme","Não conforme"))</f>
        <v/>
      </c>
      <c r="N19" t="str">
        <f>IF('Tambor de Abrasão'!$Q$14&amp;""="","",TRIM('Tambor de Abrasão'!$Q$14&amp;""))</f>
        <v/>
      </c>
      <c r="Q19" t="s">
        <v>366</v>
      </c>
    </row>
    <row r="20">
      <c r="A20" t="s">
        <v>344</v>
      </c>
      <c r="B20" t="s">
        <v>6</v>
      </c>
      <c r="C20" s="912">
        <f>IF(N('Tambor de Abrasão'!$A$6)&gt;0,'Tambor de Abrasão'!$A$6,"")</f>
        <v>46274</v>
      </c>
      <c r="D20" t="s">
        <v>367</v>
      </c>
      <c r="E20" t="s">
        <v>346</v>
      </c>
      <c r="F20" t="s">
        <v>347</v>
      </c>
      <c r="G20" t="str">
        <f>IF(ISNUMBER('Tambor de Abrasão'!$O$6),'Tambor de Abrasão'!$O$6,"")</f>
        <v/>
      </c>
      <c r="H20">
        <f>BD_Limites!$E$2</f>
        <v>25</v>
      </c>
      <c r="I20" t="str">
        <f>IF(OR(G20="",H20=""),"",G20-H20)</f>
        <v/>
      </c>
      <c r="J20">
        <f>BD_Limites!$F$2</f>
        <v>24</v>
      </c>
      <c r="K20">
        <f>BD_Limites!$G$2</f>
        <v>26</v>
      </c>
      <c r="M20" t="str">
        <f>IF(G20="","",IF(AND(G20&gt;=J20,G20&lt;=K20),"Conforme","Não conforme"))</f>
        <v/>
      </c>
      <c r="N20" t="str">
        <f>IF('Tambor de Abrasão'!$Q$6&amp;""="","",TRIM('Tambor de Abrasão'!$Q$6&amp;""))</f>
        <v>LEONARDO</v>
      </c>
      <c r="Q20" t="s">
        <v>368</v>
      </c>
    </row>
    <row r="21">
      <c r="A21" t="s">
        <v>344</v>
      </c>
      <c r="B21" t="s">
        <v>6</v>
      </c>
      <c r="C21" s="912">
        <f>IF(N('Tambor de Abrasão'!$A$7)&gt;0,'Tambor de Abrasão'!$A$7,"")</f>
        <v>46277</v>
      </c>
      <c r="D21" t="s">
        <v>367</v>
      </c>
      <c r="E21" t="s">
        <v>346</v>
      </c>
      <c r="F21" t="s">
        <v>347</v>
      </c>
      <c r="G21" t="str">
        <f>IF(ISNUMBER('Tambor de Abrasão'!$O$7),'Tambor de Abrasão'!$O$7,"")</f>
        <v/>
      </c>
      <c r="H21">
        <f>BD_Limites!$E$2</f>
        <v>25</v>
      </c>
      <c r="I21" t="str">
        <f>IF(OR(G21="",H21=""),"",G21-H21)</f>
        <v/>
      </c>
      <c r="J21">
        <f>BD_Limites!$F$2</f>
        <v>24</v>
      </c>
      <c r="K21">
        <f>BD_Limites!$G$2</f>
        <v>26</v>
      </c>
      <c r="M21" t="str">
        <f>IF(G21="","",IF(AND(G21&gt;=J21,G21&lt;=K21),"Conforme","Não conforme"))</f>
        <v/>
      </c>
      <c r="N21" t="str">
        <f>IF('Tambor de Abrasão'!$Q$7&amp;""="","",TRIM('Tambor de Abrasão'!$Q$7&amp;""))</f>
        <v>EBERT</v>
      </c>
      <c r="Q21" t="s">
        <v>369</v>
      </c>
    </row>
    <row r="22">
      <c r="A22" t="s">
        <v>344</v>
      </c>
      <c r="B22" t="s">
        <v>6</v>
      </c>
      <c r="C22" s="912">
        <f>IF(N('Tambor de Abrasão'!$A$8)&gt;0,'Tambor de Abrasão'!$A$8,"")</f>
        <v>46279</v>
      </c>
      <c r="D22" t="s">
        <v>367</v>
      </c>
      <c r="E22" t="s">
        <v>346</v>
      </c>
      <c r="F22" t="s">
        <v>347</v>
      </c>
      <c r="G22" t="str">
        <f>IF(ISNUMBER('Tambor de Abrasão'!$O$8),'Tambor de Abrasão'!$O$8,"")</f>
        <v/>
      </c>
      <c r="H22">
        <f>BD_Limites!$E$2</f>
        <v>25</v>
      </c>
      <c r="I22" t="str">
        <f>IF(OR(G22="",H22=""),"",G22-H22)</f>
        <v/>
      </c>
      <c r="J22">
        <f>BD_Limites!$F$2</f>
        <v>24</v>
      </c>
      <c r="K22">
        <f>BD_Limites!$G$2</f>
        <v>26</v>
      </c>
      <c r="M22" t="str">
        <f>IF(G22="","",IF(AND(G22&gt;=J22,G22&lt;=K22),"Conforme","Não conforme"))</f>
        <v/>
      </c>
      <c r="N22" t="str">
        <f>IF('Tambor de Abrasão'!$Q$8&amp;""="","",TRIM('Tambor de Abrasão'!$Q$8&amp;""))</f>
        <v>WESLEY</v>
      </c>
      <c r="Q22" t="s">
        <v>370</v>
      </c>
    </row>
    <row r="23">
      <c r="A23" t="s">
        <v>344</v>
      </c>
      <c r="B23" t="s">
        <v>6</v>
      </c>
      <c r="C23" s="912">
        <f>IF(N('Tambor de Abrasão'!$A$9)&gt;0,'Tambor de Abrasão'!$A$9,"")</f>
        <v>46281</v>
      </c>
      <c r="D23" t="s">
        <v>367</v>
      </c>
      <c r="E23" t="s">
        <v>346</v>
      </c>
      <c r="F23" t="s">
        <v>347</v>
      </c>
      <c r="G23" t="str">
        <f>IF(ISNUMBER('Tambor de Abrasão'!$O$9),'Tambor de Abrasão'!$O$9,"")</f>
        <v/>
      </c>
      <c r="H23">
        <f>BD_Limites!$E$2</f>
        <v>25</v>
      </c>
      <c r="I23" t="str">
        <f>IF(OR(G23="",H23=""),"",G23-H23)</f>
        <v/>
      </c>
      <c r="J23">
        <f>BD_Limites!$F$2</f>
        <v>24</v>
      </c>
      <c r="K23">
        <f>BD_Limites!$G$2</f>
        <v>26</v>
      </c>
      <c r="M23" t="str">
        <f>IF(G23="","",IF(AND(G23&gt;=J23,G23&lt;=K23),"Conforme","Não conforme"))</f>
        <v/>
      </c>
      <c r="N23" t="str">
        <f>IF('Tambor de Abrasão'!$Q$9&amp;""="","",TRIM('Tambor de Abrasão'!$Q$9&amp;""))</f>
        <v>LEONARDO</v>
      </c>
      <c r="Q23" t="s">
        <v>371</v>
      </c>
    </row>
    <row r="24">
      <c r="A24" t="s">
        <v>344</v>
      </c>
      <c r="B24" t="s">
        <v>6</v>
      </c>
      <c r="C24" s="912" t="str">
        <f>IF(N('Tambor de Abrasão'!$A$10)&gt;0,'Tambor de Abrasão'!$A$10,"")</f>
        <v/>
      </c>
      <c r="D24" t="s">
        <v>367</v>
      </c>
      <c r="E24" t="s">
        <v>346</v>
      </c>
      <c r="F24" t="s">
        <v>347</v>
      </c>
      <c r="G24" t="str">
        <f>IF(ISNUMBER('Tambor de Abrasão'!$O$10),'Tambor de Abrasão'!$O$10,"")</f>
        <v/>
      </c>
      <c r="H24">
        <f>BD_Limites!$E$2</f>
        <v>25</v>
      </c>
      <c r="I24" t="str">
        <f>IF(OR(G24="",H24=""),"",G24-H24)</f>
        <v/>
      </c>
      <c r="J24">
        <f>BD_Limites!$F$2</f>
        <v>24</v>
      </c>
      <c r="K24">
        <f>BD_Limites!$G$2</f>
        <v>26</v>
      </c>
      <c r="M24" t="str">
        <f>IF(G24="","",IF(AND(G24&gt;=J24,G24&lt;=K24),"Conforme","Não conforme"))</f>
        <v/>
      </c>
      <c r="N24" t="str">
        <f>IF('Tambor de Abrasão'!$Q$10&amp;""="","",TRIM('Tambor de Abrasão'!$Q$10&amp;""))</f>
        <v/>
      </c>
      <c r="Q24" t="s">
        <v>372</v>
      </c>
    </row>
    <row r="25">
      <c r="A25" t="s">
        <v>344</v>
      </c>
      <c r="B25" t="s">
        <v>6</v>
      </c>
      <c r="C25" s="912" t="str">
        <f>IF(N('Tambor de Abrasão'!$A$11)&gt;0,'Tambor de Abrasão'!$A$11,"")</f>
        <v/>
      </c>
      <c r="D25" t="s">
        <v>367</v>
      </c>
      <c r="E25" t="s">
        <v>346</v>
      </c>
      <c r="F25" t="s">
        <v>347</v>
      </c>
      <c r="G25" t="str">
        <f>IF(ISNUMBER('Tambor de Abrasão'!$O$11),'Tambor de Abrasão'!$O$11,"")</f>
        <v/>
      </c>
      <c r="H25">
        <f>BD_Limites!$E$2</f>
        <v>25</v>
      </c>
      <c r="I25" t="str">
        <f>IF(OR(G25="",H25=""),"",G25-H25)</f>
        <v/>
      </c>
      <c r="J25">
        <f>BD_Limites!$F$2</f>
        <v>24</v>
      </c>
      <c r="K25">
        <f>BD_Limites!$G$2</f>
        <v>26</v>
      </c>
      <c r="M25" t="str">
        <f>IF(G25="","",IF(AND(G25&gt;=J25,G25&lt;=K25),"Conforme","Não conforme"))</f>
        <v/>
      </c>
      <c r="N25" t="str">
        <f>IF('Tambor de Abrasão'!$Q$11&amp;""="","",TRIM('Tambor de Abrasão'!$Q$11&amp;""))</f>
        <v/>
      </c>
      <c r="Q25" t="s">
        <v>373</v>
      </c>
    </row>
    <row r="26">
      <c r="A26" t="s">
        <v>344</v>
      </c>
      <c r="B26" t="s">
        <v>6</v>
      </c>
      <c r="C26" s="912" t="str">
        <f>IF(N('Tambor de Abrasão'!$A$12)&gt;0,'Tambor de Abrasão'!$A$12,"")</f>
        <v/>
      </c>
      <c r="D26" t="s">
        <v>367</v>
      </c>
      <c r="E26" t="s">
        <v>346</v>
      </c>
      <c r="F26" t="s">
        <v>347</v>
      </c>
      <c r="G26" t="str">
        <f>IF(ISNUMBER('Tambor de Abrasão'!$O$12),'Tambor de Abrasão'!$O$12,"")</f>
        <v/>
      </c>
      <c r="H26">
        <f>BD_Limites!$E$2</f>
        <v>25</v>
      </c>
      <c r="I26" t="str">
        <f>IF(OR(G26="",H26=""),"",G26-H26)</f>
        <v/>
      </c>
      <c r="J26">
        <f>BD_Limites!$F$2</f>
        <v>24</v>
      </c>
      <c r="K26">
        <f>BD_Limites!$G$2</f>
        <v>26</v>
      </c>
      <c r="M26" t="str">
        <f>IF(G26="","",IF(AND(G26&gt;=J26,G26&lt;=K26),"Conforme","Não conforme"))</f>
        <v/>
      </c>
      <c r="N26" t="str">
        <f>IF('Tambor de Abrasão'!$Q$12&amp;""="","",TRIM('Tambor de Abrasão'!$Q$12&amp;""))</f>
        <v/>
      </c>
      <c r="Q26" t="s">
        <v>374</v>
      </c>
    </row>
    <row r="27">
      <c r="A27" t="s">
        <v>344</v>
      </c>
      <c r="B27" t="s">
        <v>6</v>
      </c>
      <c r="C27" s="912" t="str">
        <f>IF(N('Tambor de Abrasão'!$A$13)&gt;0,'Tambor de Abrasão'!$A$13,"")</f>
        <v/>
      </c>
      <c r="D27" t="s">
        <v>367</v>
      </c>
      <c r="E27" t="s">
        <v>346</v>
      </c>
      <c r="F27" t="s">
        <v>347</v>
      </c>
      <c r="G27" t="str">
        <f>IF(ISNUMBER('Tambor de Abrasão'!$O$13),'Tambor de Abrasão'!$O$13,"")</f>
        <v/>
      </c>
      <c r="H27">
        <f>BD_Limites!$E$2</f>
        <v>25</v>
      </c>
      <c r="I27" t="str">
        <f>IF(OR(G27="",H27=""),"",G27-H27)</f>
        <v/>
      </c>
      <c r="J27">
        <f>BD_Limites!$F$2</f>
        <v>24</v>
      </c>
      <c r="K27">
        <f>BD_Limites!$G$2</f>
        <v>26</v>
      </c>
      <c r="M27" t="str">
        <f>IF(G27="","",IF(AND(G27&gt;=J27,G27&lt;=K27),"Conforme","Não conforme"))</f>
        <v/>
      </c>
      <c r="N27" t="str">
        <f>IF('Tambor de Abrasão'!$Q$13&amp;""="","",TRIM('Tambor de Abrasão'!$Q$13&amp;""))</f>
        <v/>
      </c>
      <c r="Q27" t="s">
        <v>375</v>
      </c>
    </row>
    <row r="28">
      <c r="A28" t="s">
        <v>344</v>
      </c>
      <c r="B28" t="s">
        <v>6</v>
      </c>
      <c r="C28" s="912" t="str">
        <f>IF(N('Tambor de Abrasão'!$A$14)&gt;0,'Tambor de Abrasão'!$A$14,"")</f>
        <v/>
      </c>
      <c r="D28" t="s">
        <v>367</v>
      </c>
      <c r="E28" t="s">
        <v>346</v>
      </c>
      <c r="F28" t="s">
        <v>347</v>
      </c>
      <c r="G28" t="str">
        <f>IF(ISNUMBER('Tambor de Abrasão'!$O$14),'Tambor de Abrasão'!$O$14,"")</f>
        <v/>
      </c>
      <c r="H28">
        <f>BD_Limites!$E$2</f>
        <v>25</v>
      </c>
      <c r="I28" t="str">
        <f>IF(OR(G28="",H28=""),"",G28-H28)</f>
        <v/>
      </c>
      <c r="J28">
        <f>BD_Limites!$F$2</f>
        <v>24</v>
      </c>
      <c r="K28">
        <f>BD_Limites!$G$2</f>
        <v>26</v>
      </c>
      <c r="M28" t="str">
        <f>IF(G28="","",IF(AND(G28&gt;=J28,G28&lt;=K28),"Conforme","Não conforme"))</f>
        <v/>
      </c>
      <c r="N28" t="str">
        <f>IF('Tambor de Abrasão'!$Q$14&amp;""="","",TRIM('Tambor de Abrasão'!$Q$14&amp;""))</f>
        <v/>
      </c>
      <c r="Q28" t="s">
        <v>376</v>
      </c>
    </row>
    <row r="29">
      <c r="A29" t="s">
        <v>344</v>
      </c>
      <c r="B29" t="s">
        <v>6</v>
      </c>
      <c r="C29" s="912">
        <f>IF(N('Tambor de Abrasão'!$A$25)&gt;0,'Tambor de Abrasão'!$A$25,"")</f>
        <v>46274</v>
      </c>
      <c r="D29" t="s">
        <v>377</v>
      </c>
      <c r="E29" t="s">
        <v>346</v>
      </c>
      <c r="F29" t="s">
        <v>347</v>
      </c>
      <c r="G29">
        <f>IF(ISNUMBER('Tambor de Abrasão'!$E$25),'Tambor de Abrasão'!$E$25,"")</f>
        <v>24.736842105263158</v>
      </c>
      <c r="H29">
        <f>BD_Limites!$E$2</f>
        <v>25</v>
      </c>
      <c r="I29">
        <f>IF(OR(G29="",H29=""),"",G29-H29)</f>
        <v>-0.2631578947368425</v>
      </c>
      <c r="J29">
        <f>BD_Limites!$F$2</f>
        <v>24</v>
      </c>
      <c r="K29">
        <f>BD_Limites!$G$2</f>
        <v>26</v>
      </c>
      <c r="M29" t="str">
        <f>IF(G29="","",IF(AND(G29&gt;=J29,G29&lt;=K29),"Conforme","Não conforme"))</f>
        <v>Conforme</v>
      </c>
      <c r="N29" t="str">
        <f>IF('Tambor de Abrasão'!$L$25&amp;""="","",TRIM('Tambor de Abrasão'!$L$25&amp;""))</f>
        <v>LEONARDO</v>
      </c>
      <c r="Q29" t="s">
        <v>378</v>
      </c>
    </row>
    <row r="30">
      <c r="A30" t="s">
        <v>344</v>
      </c>
      <c r="B30" t="s">
        <v>6</v>
      </c>
      <c r="C30" s="912">
        <f>IF(N('Tambor de Abrasão'!$A$26)&gt;0,'Tambor de Abrasão'!$A$26,"")</f>
        <v>46277</v>
      </c>
      <c r="D30" t="s">
        <v>377</v>
      </c>
      <c r="E30" t="s">
        <v>346</v>
      </c>
      <c r="F30" t="s">
        <v>347</v>
      </c>
      <c r="G30">
        <f>IF(ISNUMBER('Tambor de Abrasão'!$E$26),'Tambor de Abrasão'!$E$26,"")</f>
        <v>24.791208791208792</v>
      </c>
      <c r="H30">
        <f>BD_Limites!$E$2</f>
        <v>25</v>
      </c>
      <c r="I30">
        <f>IF(OR(G30="",H30=""),"",G30-H30)</f>
        <v>-0.20879120879120805</v>
      </c>
      <c r="J30">
        <f>BD_Limites!$F$2</f>
        <v>24</v>
      </c>
      <c r="K30">
        <f>BD_Limites!$G$2</f>
        <v>26</v>
      </c>
      <c r="M30" t="str">
        <f>IF(G30="","",IF(AND(G30&gt;=J30,G30&lt;=K30),"Conforme","Não conforme"))</f>
        <v>Conforme</v>
      </c>
      <c r="N30" t="str">
        <f>IF('Tambor de Abrasão'!$L$26&amp;""="","",TRIM('Tambor de Abrasão'!$L$26&amp;""))</f>
        <v>EBERT</v>
      </c>
      <c r="Q30" t="s">
        <v>379</v>
      </c>
    </row>
    <row r="31">
      <c r="A31" t="s">
        <v>344</v>
      </c>
      <c r="B31" t="s">
        <v>6</v>
      </c>
      <c r="C31" s="912">
        <f>IF(N('Tambor de Abrasão'!$A$27)&gt;0,'Tambor de Abrasão'!$A$27,"")</f>
        <v>46279</v>
      </c>
      <c r="D31" t="s">
        <v>377</v>
      </c>
      <c r="E31" t="s">
        <v>346</v>
      </c>
      <c r="F31" t="s">
        <v>347</v>
      </c>
      <c r="G31">
        <f>IF(ISNUMBER('Tambor de Abrasão'!$E$27),'Tambor de Abrasão'!$E$27,"")</f>
        <v>25.01108647450111</v>
      </c>
      <c r="H31">
        <f>BD_Limites!$E$2</f>
        <v>25</v>
      </c>
      <c r="I31">
        <f>IF(OR(G31="",H31=""),"",G31-H31)</f>
        <v>0.011086474501109223</v>
      </c>
      <c r="J31">
        <f>BD_Limites!$F$2</f>
        <v>24</v>
      </c>
      <c r="K31">
        <f>BD_Limites!$G$2</f>
        <v>26</v>
      </c>
      <c r="M31" t="str">
        <f>IF(G31="","",IF(AND(G31&gt;=J31,G31&lt;=K31),"Conforme","Não conforme"))</f>
        <v>Conforme</v>
      </c>
      <c r="N31" t="str">
        <f>IF('Tambor de Abrasão'!$L$27&amp;""="","",TRIM('Tambor de Abrasão'!$L$27&amp;""))</f>
        <v>WESLEY</v>
      </c>
      <c r="Q31" t="s">
        <v>380</v>
      </c>
    </row>
    <row r="32">
      <c r="A32" t="s">
        <v>344</v>
      </c>
      <c r="B32" t="s">
        <v>6</v>
      </c>
      <c r="C32" s="912">
        <f>IF(N('Tambor de Abrasão'!$A$28)&gt;0,'Tambor de Abrasão'!$A$28,"")</f>
        <v>46281</v>
      </c>
      <c r="D32" t="s">
        <v>377</v>
      </c>
      <c r="E32" t="s">
        <v>346</v>
      </c>
      <c r="F32" t="s">
        <v>347</v>
      </c>
      <c r="G32">
        <f>IF(ISNUMBER('Tambor de Abrasão'!$E$28),'Tambor de Abrasão'!$E$28,"")</f>
        <v>24.415584415584416</v>
      </c>
      <c r="H32">
        <f>BD_Limites!$E$2</f>
        <v>25</v>
      </c>
      <c r="I32">
        <f>IF(OR(G32="",H32=""),"",G32-H32)</f>
        <v>-0.5844155844155843</v>
      </c>
      <c r="J32">
        <f>BD_Limites!$F$2</f>
        <v>24</v>
      </c>
      <c r="K32">
        <f>BD_Limites!$G$2</f>
        <v>26</v>
      </c>
      <c r="M32" t="str">
        <f>IF(G32="","",IF(AND(G32&gt;=J32,G32&lt;=K32),"Conforme","Não conforme"))</f>
        <v>Conforme</v>
      </c>
      <c r="N32" t="str">
        <f>IF('Tambor de Abrasão'!$L$28&amp;""="","",TRIM('Tambor de Abrasão'!$L$28&amp;""))</f>
        <v>LEONARDO</v>
      </c>
      <c r="Q32" t="s">
        <v>381</v>
      </c>
    </row>
    <row r="33">
      <c r="A33" t="s">
        <v>344</v>
      </c>
      <c r="B33" t="s">
        <v>6</v>
      </c>
      <c r="C33" s="912" t="str">
        <f>IF(N('Tambor de Abrasão'!$A$29)&gt;0,'Tambor de Abrasão'!$A$29,"")</f>
        <v/>
      </c>
      <c r="D33" t="s">
        <v>377</v>
      </c>
      <c r="E33" t="s">
        <v>346</v>
      </c>
      <c r="F33" t="s">
        <v>347</v>
      </c>
      <c r="G33" t="str">
        <f>IF(ISNUMBER('Tambor de Abrasão'!$E$29),'Tambor de Abrasão'!$E$29,"")</f>
        <v/>
      </c>
      <c r="H33">
        <f>BD_Limites!$E$2</f>
        <v>25</v>
      </c>
      <c r="I33" t="str">
        <f>IF(OR(G33="",H33=""),"",G33-H33)</f>
        <v/>
      </c>
      <c r="J33">
        <f>BD_Limites!$F$2</f>
        <v>24</v>
      </c>
      <c r="K33">
        <f>BD_Limites!$G$2</f>
        <v>26</v>
      </c>
      <c r="M33" t="str">
        <f>IF(G33="","",IF(AND(G33&gt;=J33,G33&lt;=K33),"Conforme","Não conforme"))</f>
        <v/>
      </c>
      <c r="N33" t="str">
        <f>IF('Tambor de Abrasão'!$L$29&amp;""="","",TRIM('Tambor de Abrasão'!$L$29&amp;""))</f>
        <v/>
      </c>
      <c r="Q33" t="s">
        <v>382</v>
      </c>
    </row>
    <row r="34">
      <c r="A34" t="s">
        <v>344</v>
      </c>
      <c r="B34" t="s">
        <v>6</v>
      </c>
      <c r="C34" s="912" t="str">
        <f>IF(N('Tambor de Abrasão'!$A$30)&gt;0,'Tambor de Abrasão'!$A$30,"")</f>
        <v/>
      </c>
      <c r="D34" t="s">
        <v>377</v>
      </c>
      <c r="E34" t="s">
        <v>346</v>
      </c>
      <c r="F34" t="s">
        <v>347</v>
      </c>
      <c r="G34" t="str">
        <f>IF(ISNUMBER('Tambor de Abrasão'!$E$30),'Tambor de Abrasão'!$E$30,"")</f>
        <v/>
      </c>
      <c r="H34">
        <f>BD_Limites!$E$2</f>
        <v>25</v>
      </c>
      <c r="I34" t="str">
        <f>IF(OR(G34="",H34=""),"",G34-H34)</f>
        <v/>
      </c>
      <c r="J34">
        <f>BD_Limites!$F$2</f>
        <v>24</v>
      </c>
      <c r="K34">
        <f>BD_Limites!$G$2</f>
        <v>26</v>
      </c>
      <c r="M34" t="str">
        <f>IF(G34="","",IF(AND(G34&gt;=J34,G34&lt;=K34),"Conforme","Não conforme"))</f>
        <v/>
      </c>
      <c r="N34" t="str">
        <f>IF('Tambor de Abrasão'!$L$30&amp;""="","",TRIM('Tambor de Abrasão'!$L$30&amp;""))</f>
        <v/>
      </c>
      <c r="Q34" t="s">
        <v>383</v>
      </c>
    </row>
    <row r="35">
      <c r="A35" t="s">
        <v>344</v>
      </c>
      <c r="B35" t="s">
        <v>6</v>
      </c>
      <c r="C35" s="912" t="str">
        <f>IF(N('Tambor de Abrasão'!$A$31)&gt;0,'Tambor de Abrasão'!$A$31,"")</f>
        <v/>
      </c>
      <c r="D35" t="s">
        <v>377</v>
      </c>
      <c r="E35" t="s">
        <v>346</v>
      </c>
      <c r="F35" t="s">
        <v>347</v>
      </c>
      <c r="G35" t="str">
        <f>IF(ISNUMBER('Tambor de Abrasão'!$E$31),'Tambor de Abrasão'!$E$31,"")</f>
        <v/>
      </c>
      <c r="H35">
        <f>BD_Limites!$E$2</f>
        <v>25</v>
      </c>
      <c r="I35" t="str">
        <f>IF(OR(G35="",H35=""),"",G35-H35)</f>
        <v/>
      </c>
      <c r="J35">
        <f>BD_Limites!$F$2</f>
        <v>24</v>
      </c>
      <c r="K35">
        <f>BD_Limites!$G$2</f>
        <v>26</v>
      </c>
      <c r="M35" t="str">
        <f>IF(G35="","",IF(AND(G35&gt;=J35,G35&lt;=K35),"Conforme","Não conforme"))</f>
        <v/>
      </c>
      <c r="N35" t="str">
        <f>IF('Tambor de Abrasão'!$L$31&amp;""="","",TRIM('Tambor de Abrasão'!$L$31&amp;""))</f>
        <v/>
      </c>
      <c r="Q35" t="s">
        <v>384</v>
      </c>
    </row>
    <row r="36">
      <c r="A36" t="s">
        <v>344</v>
      </c>
      <c r="B36" t="s">
        <v>6</v>
      </c>
      <c r="C36" s="912" t="str">
        <f>IF(N('Tambor de Abrasão'!$A$32)&gt;0,'Tambor de Abrasão'!$A$32,"")</f>
        <v/>
      </c>
      <c r="D36" t="s">
        <v>377</v>
      </c>
      <c r="E36" t="s">
        <v>346</v>
      </c>
      <c r="F36" t="s">
        <v>347</v>
      </c>
      <c r="G36" t="str">
        <f>IF(ISNUMBER('Tambor de Abrasão'!$E$32),'Tambor de Abrasão'!$E$32,"")</f>
        <v/>
      </c>
      <c r="H36">
        <f>BD_Limites!$E$2</f>
        <v>25</v>
      </c>
      <c r="I36" t="str">
        <f>IF(OR(G36="",H36=""),"",G36-H36)</f>
        <v/>
      </c>
      <c r="J36">
        <f>BD_Limites!$F$2</f>
        <v>24</v>
      </c>
      <c r="K36">
        <f>BD_Limites!$G$2</f>
        <v>26</v>
      </c>
      <c r="M36" t="str">
        <f>IF(G36="","",IF(AND(G36&gt;=J36,G36&lt;=K36),"Conforme","Não conforme"))</f>
        <v/>
      </c>
      <c r="N36" t="str">
        <f>IF('Tambor de Abrasão'!$L$32&amp;""="","",TRIM('Tambor de Abrasão'!$L$32&amp;""))</f>
        <v/>
      </c>
      <c r="Q36" t="s">
        <v>385</v>
      </c>
    </row>
    <row r="37">
      <c r="A37" t="s">
        <v>344</v>
      </c>
      <c r="B37" t="s">
        <v>6</v>
      </c>
      <c r="C37" s="912" t="str">
        <f>IF(N('Tambor de Abrasão'!$A$33)&gt;0,'Tambor de Abrasão'!$A$33,"")</f>
        <v/>
      </c>
      <c r="D37" t="s">
        <v>377</v>
      </c>
      <c r="E37" t="s">
        <v>346</v>
      </c>
      <c r="F37" t="s">
        <v>347</v>
      </c>
      <c r="G37" t="str">
        <f>IF(ISNUMBER('Tambor de Abrasão'!$E$33),'Tambor de Abrasão'!$E$33,"")</f>
        <v/>
      </c>
      <c r="H37">
        <f>BD_Limites!$E$2</f>
        <v>25</v>
      </c>
      <c r="I37" t="str">
        <f>IF(OR(G37="",H37=""),"",G37-H37)</f>
        <v/>
      </c>
      <c r="J37">
        <f>BD_Limites!$F$2</f>
        <v>24</v>
      </c>
      <c r="K37">
        <f>BD_Limites!$G$2</f>
        <v>26</v>
      </c>
      <c r="M37" t="str">
        <f>IF(G37="","",IF(AND(G37&gt;=J37,G37&lt;=K37),"Conforme","Não conforme"))</f>
        <v/>
      </c>
      <c r="N37" t="str">
        <f>IF('Tambor de Abrasão'!$L$33&amp;""="","",TRIM('Tambor de Abrasão'!$L$33&amp;""))</f>
        <v/>
      </c>
      <c r="Q37" t="s">
        <v>386</v>
      </c>
    </row>
    <row r="38">
      <c r="A38" t="s">
        <v>344</v>
      </c>
      <c r="B38" t="s">
        <v>6</v>
      </c>
      <c r="C38" s="912" t="str">
        <f>IF(N('Tambor de Abrasão'!$A$34)&gt;0,'Tambor de Abrasão'!$A$34,"")</f>
        <v/>
      </c>
      <c r="D38" t="s">
        <v>377</v>
      </c>
      <c r="E38" t="s">
        <v>346</v>
      </c>
      <c r="F38" t="s">
        <v>347</v>
      </c>
      <c r="G38" t="str">
        <f>IF(ISNUMBER('Tambor de Abrasão'!$E$34),'Tambor de Abrasão'!$E$34,"")</f>
        <v/>
      </c>
      <c r="H38">
        <f>BD_Limites!$E$2</f>
        <v>25</v>
      </c>
      <c r="I38" t="str">
        <f>IF(OR(G38="",H38=""),"",G38-H38)</f>
        <v/>
      </c>
      <c r="J38">
        <f>BD_Limites!$F$2</f>
        <v>24</v>
      </c>
      <c r="K38">
        <f>BD_Limites!$G$2</f>
        <v>26</v>
      </c>
      <c r="M38" t="str">
        <f>IF(G38="","",IF(AND(G38&gt;=J38,G38&lt;=K38),"Conforme","Não conforme"))</f>
        <v/>
      </c>
      <c r="N38" t="str">
        <f>IF('Tambor de Abrasão'!$L$34&amp;""="","",TRIM('Tambor de Abrasão'!$L$34&amp;""))</f>
        <v/>
      </c>
      <c r="Q38" t="s">
        <v>387</v>
      </c>
    </row>
    <row r="39">
      <c r="A39" t="s">
        <v>344</v>
      </c>
      <c r="B39" t="s">
        <v>6</v>
      </c>
      <c r="C39" s="912">
        <f>IF(N('Tambor de Abrasão'!$A$25)&gt;0,'Tambor de Abrasão'!$A$25,"")</f>
        <v>46274</v>
      </c>
      <c r="D39" t="s">
        <v>388</v>
      </c>
      <c r="E39" t="s">
        <v>346</v>
      </c>
      <c r="F39" t="s">
        <v>347</v>
      </c>
      <c r="G39">
        <f>IF(ISNUMBER('Tambor de Abrasão'!$J$25),'Tambor de Abrasão'!$J$25,"")</f>
        <v>24.742268041237114</v>
      </c>
      <c r="H39">
        <f>BD_Limites!$E$2</f>
        <v>25</v>
      </c>
      <c r="I39">
        <f>IF(OR(G39="",H39=""),"",G39-H39)</f>
        <v>-0.2577319587628857</v>
      </c>
      <c r="J39">
        <f>BD_Limites!$F$2</f>
        <v>24</v>
      </c>
      <c r="K39">
        <f>BD_Limites!$G$2</f>
        <v>26</v>
      </c>
      <c r="M39" t="str">
        <f>IF(G39="","",IF(AND(G39&gt;=J39,G39&lt;=K39),"Conforme","Não conforme"))</f>
        <v>Conforme</v>
      </c>
      <c r="N39" t="str">
        <f>IF('Tambor de Abrasão'!$L$25&amp;""="","",TRIM('Tambor de Abrasão'!$L$25&amp;""))</f>
        <v>LEONARDO</v>
      </c>
      <c r="Q39" t="s">
        <v>389</v>
      </c>
    </row>
    <row r="40">
      <c r="A40" t="s">
        <v>344</v>
      </c>
      <c r="B40" t="s">
        <v>6</v>
      </c>
      <c r="C40" s="912">
        <f>IF(N('Tambor de Abrasão'!$A$26)&gt;0,'Tambor de Abrasão'!$A$26,"")</f>
        <v>46277</v>
      </c>
      <c r="D40" t="s">
        <v>388</v>
      </c>
      <c r="E40" t="s">
        <v>346</v>
      </c>
      <c r="F40" t="s">
        <v>347</v>
      </c>
      <c r="G40">
        <f>IF(ISNUMBER('Tambor de Abrasão'!$J$26),'Tambor de Abrasão'!$J$26,"")</f>
        <v>24.896265560165975</v>
      </c>
      <c r="H40">
        <f>BD_Limites!$E$2</f>
        <v>25</v>
      </c>
      <c r="I40">
        <f>IF(OR(G40="",H40=""),"",G40-H40)</f>
        <v>-0.10373443983402453</v>
      </c>
      <c r="J40">
        <f>BD_Limites!$F$2</f>
        <v>24</v>
      </c>
      <c r="K40">
        <f>BD_Limites!$G$2</f>
        <v>26</v>
      </c>
      <c r="M40" t="str">
        <f>IF(G40="","",IF(AND(G40&gt;=J40,G40&lt;=K40),"Conforme","Não conforme"))</f>
        <v>Conforme</v>
      </c>
      <c r="N40" t="str">
        <f>IF('Tambor de Abrasão'!$L$26&amp;""="","",TRIM('Tambor de Abrasão'!$L$26&amp;""))</f>
        <v>EBERT</v>
      </c>
      <c r="Q40" t="s">
        <v>390</v>
      </c>
    </row>
    <row r="41">
      <c r="A41" t="s">
        <v>344</v>
      </c>
      <c r="B41" t="s">
        <v>6</v>
      </c>
      <c r="C41" s="912">
        <f>IF(N('Tambor de Abrasão'!$A$27)&gt;0,'Tambor de Abrasão'!$A$27,"")</f>
        <v>46279</v>
      </c>
      <c r="D41" t="s">
        <v>388</v>
      </c>
      <c r="E41" t="s">
        <v>346</v>
      </c>
      <c r="F41" t="s">
        <v>347</v>
      </c>
      <c r="G41">
        <f>IF(ISNUMBER('Tambor de Abrasão'!$J$27),'Tambor de Abrasão'!$J$27,"")</f>
        <v>24.948024948024948</v>
      </c>
      <c r="H41">
        <f>BD_Limites!$E$2</f>
        <v>25</v>
      </c>
      <c r="I41">
        <f>IF(OR(G41="",H41=""),"",G41-H41)</f>
        <v>-0.051975051975052367</v>
      </c>
      <c r="J41">
        <f>BD_Limites!$F$2</f>
        <v>24</v>
      </c>
      <c r="K41">
        <f>BD_Limites!$G$2</f>
        <v>26</v>
      </c>
      <c r="M41" t="str">
        <f>IF(G41="","",IF(AND(G41&gt;=J41,G41&lt;=K41),"Conforme","Não conforme"))</f>
        <v>Conforme</v>
      </c>
      <c r="N41" t="str">
        <f>IF('Tambor de Abrasão'!$L$27&amp;""="","",TRIM('Tambor de Abrasão'!$L$27&amp;""))</f>
        <v>WESLEY</v>
      </c>
      <c r="Q41" t="s">
        <v>391</v>
      </c>
    </row>
    <row r="42">
      <c r="A42" t="s">
        <v>344</v>
      </c>
      <c r="B42" t="s">
        <v>6</v>
      </c>
      <c r="C42" s="912">
        <f>IF(N('Tambor de Abrasão'!$A$28)&gt;0,'Tambor de Abrasão'!$A$28,"")</f>
        <v>46281</v>
      </c>
      <c r="D42" t="s">
        <v>388</v>
      </c>
      <c r="E42" t="s">
        <v>346</v>
      </c>
      <c r="F42" t="s">
        <v>347</v>
      </c>
      <c r="G42">
        <f>IF(ISNUMBER('Tambor de Abrasão'!$J$28),'Tambor de Abrasão'!$J$28,"")</f>
        <v>24.793388429752067</v>
      </c>
      <c r="H42">
        <f>BD_Limites!$E$2</f>
        <v>25</v>
      </c>
      <c r="I42">
        <f>IF(OR(G42="",H42=""),"",G42-H42)</f>
        <v>-0.20661157024793297</v>
      </c>
      <c r="J42">
        <f>BD_Limites!$F$2</f>
        <v>24</v>
      </c>
      <c r="K42">
        <f>BD_Limites!$G$2</f>
        <v>26</v>
      </c>
      <c r="M42" t="str">
        <f>IF(G42="","",IF(AND(G42&gt;=J42,G42&lt;=K42),"Conforme","Não conforme"))</f>
        <v>Conforme</v>
      </c>
      <c r="N42" t="str">
        <f>IF('Tambor de Abrasão'!$L$28&amp;""="","",TRIM('Tambor de Abrasão'!$L$28&amp;""))</f>
        <v>LEONARDO</v>
      </c>
      <c r="Q42" t="s">
        <v>392</v>
      </c>
    </row>
    <row r="43">
      <c r="A43" t="s">
        <v>344</v>
      </c>
      <c r="B43" t="s">
        <v>6</v>
      </c>
      <c r="C43" s="912" t="str">
        <f>IF(N('Tambor de Abrasão'!$A$29)&gt;0,'Tambor de Abrasão'!$A$29,"")</f>
        <v/>
      </c>
      <c r="D43" t="s">
        <v>388</v>
      </c>
      <c r="E43" t="s">
        <v>346</v>
      </c>
      <c r="F43" t="s">
        <v>347</v>
      </c>
      <c r="G43" t="str">
        <f>IF(ISNUMBER('Tambor de Abrasão'!$J$29),'Tambor de Abrasão'!$J$29,"")</f>
        <v/>
      </c>
      <c r="H43">
        <f>BD_Limites!$E$2</f>
        <v>25</v>
      </c>
      <c r="I43" t="str">
        <f>IF(OR(G43="",H43=""),"",G43-H43)</f>
        <v/>
      </c>
      <c r="J43">
        <f>BD_Limites!$F$2</f>
        <v>24</v>
      </c>
      <c r="K43">
        <f>BD_Limites!$G$2</f>
        <v>26</v>
      </c>
      <c r="M43" t="str">
        <f>IF(G43="","",IF(AND(G43&gt;=J43,G43&lt;=K43),"Conforme","Não conforme"))</f>
        <v/>
      </c>
      <c r="N43" t="str">
        <f>IF('Tambor de Abrasão'!$L$29&amp;""="","",TRIM('Tambor de Abrasão'!$L$29&amp;""))</f>
        <v/>
      </c>
      <c r="Q43" t="s">
        <v>393</v>
      </c>
    </row>
    <row r="44">
      <c r="A44" t="s">
        <v>344</v>
      </c>
      <c r="B44" t="s">
        <v>6</v>
      </c>
      <c r="C44" s="912" t="str">
        <f>IF(N('Tambor de Abrasão'!$A$30)&gt;0,'Tambor de Abrasão'!$A$30,"")</f>
        <v/>
      </c>
      <c r="D44" t="s">
        <v>388</v>
      </c>
      <c r="E44" t="s">
        <v>346</v>
      </c>
      <c r="F44" t="s">
        <v>347</v>
      </c>
      <c r="G44" t="str">
        <f>IF(ISNUMBER('Tambor de Abrasão'!$J$30),'Tambor de Abrasão'!$J$30,"")</f>
        <v/>
      </c>
      <c r="H44">
        <f>BD_Limites!$E$2</f>
        <v>25</v>
      </c>
      <c r="I44" t="str">
        <f>IF(OR(G44="",H44=""),"",G44-H44)</f>
        <v/>
      </c>
      <c r="J44">
        <f>BD_Limites!$F$2</f>
        <v>24</v>
      </c>
      <c r="K44">
        <f>BD_Limites!$G$2</f>
        <v>26</v>
      </c>
      <c r="M44" t="str">
        <f>IF(G44="","",IF(AND(G44&gt;=J44,G44&lt;=K44),"Conforme","Não conforme"))</f>
        <v/>
      </c>
      <c r="N44" t="str">
        <f>IF('Tambor de Abrasão'!$L$30&amp;""="","",TRIM('Tambor de Abrasão'!$L$30&amp;""))</f>
        <v/>
      </c>
      <c r="Q44" t="s">
        <v>394</v>
      </c>
    </row>
    <row r="45">
      <c r="A45" t="s">
        <v>344</v>
      </c>
      <c r="B45" t="s">
        <v>6</v>
      </c>
      <c r="C45" s="912" t="str">
        <f>IF(N('Tambor de Abrasão'!$A$31)&gt;0,'Tambor de Abrasão'!$A$31,"")</f>
        <v/>
      </c>
      <c r="D45" t="s">
        <v>388</v>
      </c>
      <c r="E45" t="s">
        <v>346</v>
      </c>
      <c r="F45" t="s">
        <v>347</v>
      </c>
      <c r="G45" t="str">
        <f>IF(ISNUMBER('Tambor de Abrasão'!$J$31),'Tambor de Abrasão'!$J$31,"")</f>
        <v/>
      </c>
      <c r="H45">
        <f>BD_Limites!$E$2</f>
        <v>25</v>
      </c>
      <c r="I45" t="str">
        <f>IF(OR(G45="",H45=""),"",G45-H45)</f>
        <v/>
      </c>
      <c r="J45">
        <f>BD_Limites!$F$2</f>
        <v>24</v>
      </c>
      <c r="K45">
        <f>BD_Limites!$G$2</f>
        <v>26</v>
      </c>
      <c r="M45" t="str">
        <f>IF(G45="","",IF(AND(G45&gt;=J45,G45&lt;=K45),"Conforme","Não conforme"))</f>
        <v/>
      </c>
      <c r="N45" t="str">
        <f>IF('Tambor de Abrasão'!$L$31&amp;""="","",TRIM('Tambor de Abrasão'!$L$31&amp;""))</f>
        <v/>
      </c>
      <c r="Q45" t="s">
        <v>395</v>
      </c>
    </row>
    <row r="46">
      <c r="A46" t="s">
        <v>344</v>
      </c>
      <c r="B46" t="s">
        <v>6</v>
      </c>
      <c r="C46" s="912" t="str">
        <f>IF(N('Tambor de Abrasão'!$A$32)&gt;0,'Tambor de Abrasão'!$A$32,"")</f>
        <v/>
      </c>
      <c r="D46" t="s">
        <v>388</v>
      </c>
      <c r="E46" t="s">
        <v>346</v>
      </c>
      <c r="F46" t="s">
        <v>347</v>
      </c>
      <c r="G46" t="str">
        <f>IF(ISNUMBER('Tambor de Abrasão'!$J$32),'Tambor de Abrasão'!$J$32,"")</f>
        <v/>
      </c>
      <c r="H46">
        <f>BD_Limites!$E$2</f>
        <v>25</v>
      </c>
      <c r="I46" t="str">
        <f>IF(OR(G46="",H46=""),"",G46-H46)</f>
        <v/>
      </c>
      <c r="J46">
        <f>BD_Limites!$F$2</f>
        <v>24</v>
      </c>
      <c r="K46">
        <f>BD_Limites!$G$2</f>
        <v>26</v>
      </c>
      <c r="M46" t="str">
        <f>IF(G46="","",IF(AND(G46&gt;=J46,G46&lt;=K46),"Conforme","Não conforme"))</f>
        <v/>
      </c>
      <c r="N46" t="str">
        <f>IF('Tambor de Abrasão'!$L$32&amp;""="","",TRIM('Tambor de Abrasão'!$L$32&amp;""))</f>
        <v/>
      </c>
      <c r="Q46" t="s">
        <v>396</v>
      </c>
    </row>
    <row r="47">
      <c r="A47" t="s">
        <v>344</v>
      </c>
      <c r="B47" t="s">
        <v>6</v>
      </c>
      <c r="C47" s="912" t="str">
        <f>IF(N('Tambor de Abrasão'!$A$33)&gt;0,'Tambor de Abrasão'!$A$33,"")</f>
        <v/>
      </c>
      <c r="D47" t="s">
        <v>388</v>
      </c>
      <c r="E47" t="s">
        <v>346</v>
      </c>
      <c r="F47" t="s">
        <v>347</v>
      </c>
      <c r="G47" t="str">
        <f>IF(ISNUMBER('Tambor de Abrasão'!$J$33),'Tambor de Abrasão'!$J$33,"")</f>
        <v/>
      </c>
      <c r="H47">
        <f>BD_Limites!$E$2</f>
        <v>25</v>
      </c>
      <c r="I47" t="str">
        <f>IF(OR(G47="",H47=""),"",G47-H47)</f>
        <v/>
      </c>
      <c r="J47">
        <f>BD_Limites!$F$2</f>
        <v>24</v>
      </c>
      <c r="K47">
        <f>BD_Limites!$G$2</f>
        <v>26</v>
      </c>
      <c r="M47" t="str">
        <f>IF(G47="","",IF(AND(G47&gt;=J47,G47&lt;=K47),"Conforme","Não conforme"))</f>
        <v/>
      </c>
      <c r="N47" t="str">
        <f>IF('Tambor de Abrasão'!$L$33&amp;""="","",TRIM('Tambor de Abrasão'!$L$33&amp;""))</f>
        <v/>
      </c>
      <c r="Q47" t="s">
        <v>397</v>
      </c>
    </row>
    <row r="48">
      <c r="A48" t="s">
        <v>344</v>
      </c>
      <c r="B48" t="s">
        <v>6</v>
      </c>
      <c r="C48" s="912" t="str">
        <f>IF(N('Tambor de Abrasão'!$A$34)&gt;0,'Tambor de Abrasão'!$A$34,"")</f>
        <v/>
      </c>
      <c r="D48" t="s">
        <v>388</v>
      </c>
      <c r="E48" t="s">
        <v>346</v>
      </c>
      <c r="F48" t="s">
        <v>347</v>
      </c>
      <c r="G48" t="str">
        <f>IF(ISNUMBER('Tambor de Abrasão'!$J$34),'Tambor de Abrasão'!$J$34,"")</f>
        <v/>
      </c>
      <c r="H48">
        <f>BD_Limites!$E$2</f>
        <v>25</v>
      </c>
      <c r="I48" t="str">
        <f>IF(OR(G48="",H48=""),"",G48-H48)</f>
        <v/>
      </c>
      <c r="J48">
        <f>BD_Limites!$F$2</f>
        <v>24</v>
      </c>
      <c r="K48">
        <f>BD_Limites!$G$2</f>
        <v>26</v>
      </c>
      <c r="M48" t="str">
        <f>IF(G48="","",IF(AND(G48&gt;=J48,G48&lt;=K48),"Conforme","Não conforme"))</f>
        <v/>
      </c>
      <c r="N48" t="str">
        <f>IF('Tambor de Abrasão'!$L$34&amp;""="","",TRIM('Tambor de Abrasão'!$L$34&amp;""))</f>
        <v/>
      </c>
      <c r="Q48" t="s">
        <v>398</v>
      </c>
    </row>
    <row r="49">
      <c r="A49" t="s">
        <v>399</v>
      </c>
      <c r="B49" t="s">
        <v>6</v>
      </c>
      <c r="C49" s="912">
        <f>IF(N('Gran. Fina Alpine'!$A$7)&gt;0,'Gran. Fina Alpine'!$A$7,"")</f>
        <v>46268</v>
      </c>
      <c r="D49" t="s">
        <v>400</v>
      </c>
      <c r="E49" t="s">
        <v>401</v>
      </c>
      <c r="F49" t="s">
        <v>402</v>
      </c>
      <c r="G49">
        <f>IF(ISNUMBER('Gran. Fina Alpine'!$B$7),'Gran. Fina Alpine'!$B$7,"")</f>
        <v>89.2</v>
      </c>
      <c r="H49">
        <f>BD_Limites!$E$3</f>
        <v>88.4</v>
      </c>
      <c r="I49">
        <f>IF(OR(G49="",H49=""),"",G49-H49)</f>
        <v>0.7999999999999972</v>
      </c>
      <c r="J49">
        <f>BD_Limites!$F$3</f>
        <v>87.4</v>
      </c>
      <c r="K49">
        <f>BD_Limites!$G$3</f>
        <v>89.4</v>
      </c>
      <c r="M49" t="str">
        <f>IF(G49="","",IF(AND(G49&gt;=J49,G49&lt;=K49),"Conforme","Não conforme"))</f>
        <v>Conforme</v>
      </c>
      <c r="N49" t="str">
        <f>IF('Gran. Fina Alpine'!$H$7&amp;""="","",TRIM('Gran. Fina Alpine'!$H$7&amp;""))</f>
        <v>Taís</v>
      </c>
      <c r="Q49" t="s">
        <v>403</v>
      </c>
    </row>
    <row r="50">
      <c r="A50" t="s">
        <v>399</v>
      </c>
      <c r="B50" t="s">
        <v>6</v>
      </c>
      <c r="C50" s="912">
        <f>IF(N('Gran. Fina Alpine'!$A$8)&gt;0,'Gran. Fina Alpine'!$A$8,"")</f>
        <v>46269</v>
      </c>
      <c r="D50" t="s">
        <v>400</v>
      </c>
      <c r="E50" t="s">
        <v>401</v>
      </c>
      <c r="F50" t="s">
        <v>402</v>
      </c>
      <c r="G50">
        <f>IF(ISNUMBER('Gran. Fina Alpine'!$B$8),'Gran. Fina Alpine'!$B$8,"")</f>
        <v>88.6</v>
      </c>
      <c r="H50">
        <f>BD_Limites!$E$3</f>
        <v>88.4</v>
      </c>
      <c r="I50">
        <f>IF(OR(G50="",H50=""),"",G50-H50)</f>
        <v>0.19999999999998863</v>
      </c>
      <c r="J50">
        <f>BD_Limites!$F$3</f>
        <v>87.4</v>
      </c>
      <c r="K50">
        <f>BD_Limites!$G$3</f>
        <v>89.4</v>
      </c>
      <c r="M50" t="str">
        <f>IF(G50="","",IF(AND(G50&gt;=J50,G50&lt;=K50),"Conforme","Não conforme"))</f>
        <v>Conforme</v>
      </c>
      <c r="N50" t="str">
        <f>IF('Gran. Fina Alpine'!$H$8&amp;""="","",TRIM('Gran. Fina Alpine'!$H$8&amp;""))</f>
        <v>schunck</v>
      </c>
      <c r="Q50" t="s">
        <v>404</v>
      </c>
    </row>
    <row r="51">
      <c r="A51" t="s">
        <v>399</v>
      </c>
      <c r="B51" t="s">
        <v>6</v>
      </c>
      <c r="C51" s="912">
        <f>IF(N('Gran. Fina Alpine'!$A$9)&gt;0,'Gran. Fina Alpine'!$A$9,"")</f>
        <v>46269</v>
      </c>
      <c r="D51" t="s">
        <v>400</v>
      </c>
      <c r="E51" t="s">
        <v>401</v>
      </c>
      <c r="F51" t="s">
        <v>402</v>
      </c>
      <c r="G51">
        <f>IF(ISNUMBER('Gran. Fina Alpine'!$B$9),'Gran. Fina Alpine'!$B$9,"")</f>
        <v>88.8</v>
      </c>
      <c r="H51">
        <f>BD_Limites!$E$3</f>
        <v>88.4</v>
      </c>
      <c r="I51">
        <f>IF(OR(G51="",H51=""),"",G51-H51)</f>
        <v>0.3999999999999915</v>
      </c>
      <c r="J51">
        <f>BD_Limites!$F$3</f>
        <v>87.4</v>
      </c>
      <c r="K51">
        <f>BD_Limites!$G$3</f>
        <v>89.4</v>
      </c>
      <c r="M51" t="str">
        <f>IF(G51="","",IF(AND(G51&gt;=J51,G51&lt;=K51),"Conforme","Não conforme"))</f>
        <v>Conforme</v>
      </c>
      <c r="N51" t="str">
        <f>IF('Gran. Fina Alpine'!$H$9&amp;""="","",TRIM('Gran. Fina Alpine'!$H$9&amp;""))</f>
        <v>schunck</v>
      </c>
      <c r="Q51" t="s">
        <v>405</v>
      </c>
    </row>
    <row r="52">
      <c r="A52" t="s">
        <v>399</v>
      </c>
      <c r="B52" t="s">
        <v>6</v>
      </c>
      <c r="C52" s="912">
        <f>IF(N('Gran. Fina Alpine'!$A$10)&gt;0,'Gran. Fina Alpine'!$A$10,"")</f>
        <v>46274</v>
      </c>
      <c r="D52" t="s">
        <v>400</v>
      </c>
      <c r="E52" t="s">
        <v>401</v>
      </c>
      <c r="F52" t="s">
        <v>402</v>
      </c>
      <c r="G52">
        <f>IF(ISNUMBER('Gran. Fina Alpine'!$B$10),'Gran. Fina Alpine'!$B$10,"")</f>
        <v>88.5</v>
      </c>
      <c r="H52">
        <f>BD_Limites!$E$3</f>
        <v>88.4</v>
      </c>
      <c r="I52">
        <f>IF(OR(G52="",H52=""),"",G52-H52)</f>
        <v>0.09999999999999432</v>
      </c>
      <c r="J52">
        <f>BD_Limites!$F$3</f>
        <v>87.4</v>
      </c>
      <c r="K52">
        <f>BD_Limites!$G$3</f>
        <v>89.4</v>
      </c>
      <c r="M52" t="str">
        <f>IF(G52="","",IF(AND(G52&gt;=J52,G52&lt;=K52),"Conforme","Não conforme"))</f>
        <v>Conforme</v>
      </c>
      <c r="N52" t="str">
        <f>IF('Gran. Fina Alpine'!$H$10&amp;""="","",TRIM('Gran. Fina Alpine'!$H$10&amp;""))</f>
        <v>ALESANDRO</v>
      </c>
      <c r="Q52" t="s">
        <v>406</v>
      </c>
    </row>
    <row r="53">
      <c r="A53" t="s">
        <v>399</v>
      </c>
      <c r="B53" t="s">
        <v>6</v>
      </c>
      <c r="C53" s="912">
        <f>IF(N('Gran. Fina Alpine'!$A$11)&gt;0,'Gran. Fina Alpine'!$A$11,"")</f>
        <v>46277</v>
      </c>
      <c r="D53" t="s">
        <v>400</v>
      </c>
      <c r="E53" t="s">
        <v>401</v>
      </c>
      <c r="F53" t="s">
        <v>402</v>
      </c>
      <c r="G53">
        <f>IF(ISNUMBER('Gran. Fina Alpine'!$B$11),'Gran. Fina Alpine'!$B$11,"")</f>
        <v>88.4</v>
      </c>
      <c r="H53">
        <f>BD_Limites!$E$3</f>
        <v>88.4</v>
      </c>
      <c r="I53">
        <f>IF(OR(G53="",H53=""),"",G53-H53)</f>
        <v>0</v>
      </c>
      <c r="J53">
        <f>BD_Limites!$F$3</f>
        <v>87.4</v>
      </c>
      <c r="K53">
        <f>BD_Limites!$G$3</f>
        <v>89.4</v>
      </c>
      <c r="M53" t="str">
        <f>IF(G53="","",IF(AND(G53&gt;=J53,G53&lt;=K53),"Conforme","Não conforme"))</f>
        <v>Conforme</v>
      </c>
      <c r="N53" t="str">
        <f>IF('Gran. Fina Alpine'!$H$11&amp;""="","",TRIM('Gran. Fina Alpine'!$H$11&amp;""))</f>
        <v>GABRYELL</v>
      </c>
      <c r="Q53" t="s">
        <v>407</v>
      </c>
    </row>
    <row r="54">
      <c r="A54" t="s">
        <v>399</v>
      </c>
      <c r="B54" t="s">
        <v>6</v>
      </c>
      <c r="C54" s="912">
        <f>IF(N('Gran. Fina Alpine'!$A$12)&gt;0,'Gran. Fina Alpine'!$A$12,"")</f>
        <v>46279</v>
      </c>
      <c r="D54" t="s">
        <v>400</v>
      </c>
      <c r="E54" t="s">
        <v>401</v>
      </c>
      <c r="F54" t="s">
        <v>402</v>
      </c>
      <c r="G54">
        <f>IF(ISNUMBER('Gran. Fina Alpine'!$B$12),'Gran. Fina Alpine'!$B$12,"")</f>
        <v>88.8</v>
      </c>
      <c r="H54">
        <f>BD_Limites!$E$3</f>
        <v>88.4</v>
      </c>
      <c r="I54">
        <f>IF(OR(G54="",H54=""),"",G54-H54)</f>
        <v>0.3999999999999915</v>
      </c>
      <c r="J54">
        <f>BD_Limites!$F$3</f>
        <v>87.4</v>
      </c>
      <c r="K54">
        <f>BD_Limites!$G$3</f>
        <v>89.4</v>
      </c>
      <c r="M54" t="str">
        <f>IF(G54="","",IF(AND(G54&gt;=J54,G54&lt;=K54),"Conforme","Não conforme"))</f>
        <v>Conforme</v>
      </c>
      <c r="N54" t="str">
        <f>IF('Gran. Fina Alpine'!$H$12&amp;""="","",TRIM('Gran. Fina Alpine'!$H$12&amp;""))</f>
        <v>felipe</v>
      </c>
      <c r="Q54" t="s">
        <v>408</v>
      </c>
    </row>
    <row r="55">
      <c r="A55" t="s">
        <v>399</v>
      </c>
      <c r="B55" t="s">
        <v>6</v>
      </c>
      <c r="C55" s="912">
        <f>IF(N('Gran. Fina Alpine'!$A$13)&gt;0,'Gran. Fina Alpine'!$A$13,"")</f>
        <v>46281</v>
      </c>
      <c r="D55" t="s">
        <v>400</v>
      </c>
      <c r="E55" t="s">
        <v>401</v>
      </c>
      <c r="F55" t="s">
        <v>402</v>
      </c>
      <c r="G55">
        <f>IF(ISNUMBER('Gran. Fina Alpine'!$B$13),'Gran. Fina Alpine'!$B$13,"")</f>
        <v>87.9</v>
      </c>
      <c r="H55">
        <f>BD_Limites!$E$3</f>
        <v>88.4</v>
      </c>
      <c r="I55">
        <f>IF(OR(G55="",H55=""),"",G55-H55)</f>
        <v>-0.5</v>
      </c>
      <c r="J55">
        <f>BD_Limites!$F$3</f>
        <v>87.4</v>
      </c>
      <c r="K55">
        <f>BD_Limites!$G$3</f>
        <v>89.4</v>
      </c>
      <c r="M55" t="str">
        <f>IF(G55="","",IF(AND(G55&gt;=J55,G55&lt;=K55),"Conforme","Não conforme"))</f>
        <v>Conforme</v>
      </c>
      <c r="N55" t="str">
        <f>IF('Gran. Fina Alpine'!$H$13&amp;""="","",TRIM('Gran. Fina Alpine'!$H$13&amp;""))</f>
        <v>RENATO</v>
      </c>
      <c r="Q55" t="s">
        <v>409</v>
      </c>
    </row>
    <row r="56">
      <c r="A56" t="s">
        <v>399</v>
      </c>
      <c r="B56" t="s">
        <v>6</v>
      </c>
      <c r="C56" s="912">
        <f>IF(N('Gran. Fina Alpine'!$A$14)&gt;0,'Gran. Fina Alpine'!$A$14,"")</f>
        <v>46287</v>
      </c>
      <c r="D56" t="s">
        <v>400</v>
      </c>
      <c r="E56" t="s">
        <v>401</v>
      </c>
      <c r="F56" t="s">
        <v>402</v>
      </c>
      <c r="G56">
        <f>IF(ISNUMBER('Gran. Fina Alpine'!$B$14),'Gran. Fina Alpine'!$B$14,"")</f>
        <v>88.52</v>
      </c>
      <c r="H56">
        <f>BD_Limites!$E$3</f>
        <v>88.4</v>
      </c>
      <c r="I56">
        <f>IF(OR(G56="",H56=""),"",G56-H56)</f>
        <v>0.11999999999999034</v>
      </c>
      <c r="J56">
        <f>BD_Limites!$F$3</f>
        <v>87.4</v>
      </c>
      <c r="K56">
        <f>BD_Limites!$G$3</f>
        <v>89.4</v>
      </c>
      <c r="M56" t="str">
        <f>IF(G56="","",IF(AND(G56&gt;=J56,G56&lt;=K56),"Conforme","Não conforme"))</f>
        <v>Conforme</v>
      </c>
      <c r="N56" t="str">
        <f>IF('Gran. Fina Alpine'!$H$14&amp;""="","",TRIM('Gran. Fina Alpine'!$H$14&amp;""))</f>
        <v>GABRYELL</v>
      </c>
      <c r="Q56" t="s">
        <v>410</v>
      </c>
    </row>
    <row r="57">
      <c r="A57" t="s">
        <v>399</v>
      </c>
      <c r="B57" t="s">
        <v>6</v>
      </c>
      <c r="C57" s="912" t="str">
        <f>IF(N('Gran. Fina Alpine'!$A$15)&gt;0,'Gran. Fina Alpine'!$A$15,"")</f>
        <v/>
      </c>
      <c r="D57" t="s">
        <v>400</v>
      </c>
      <c r="E57" t="s">
        <v>401</v>
      </c>
      <c r="F57" t="s">
        <v>402</v>
      </c>
      <c r="G57" t="str">
        <f>IF(ISNUMBER('Gran. Fina Alpine'!$B$15),'Gran. Fina Alpine'!$B$15,"")</f>
        <v/>
      </c>
      <c r="H57">
        <f>BD_Limites!$E$3</f>
        <v>88.4</v>
      </c>
      <c r="I57" t="str">
        <f>IF(OR(G57="",H57=""),"",G57-H57)</f>
        <v/>
      </c>
      <c r="J57">
        <f>BD_Limites!$F$3</f>
        <v>87.4</v>
      </c>
      <c r="K57">
        <f>BD_Limites!$G$3</f>
        <v>89.4</v>
      </c>
      <c r="M57" t="str">
        <f>IF(G57="","",IF(AND(G57&gt;=J57,G57&lt;=K57),"Conforme","Não conforme"))</f>
        <v/>
      </c>
      <c r="N57" t="str">
        <f>IF('Gran. Fina Alpine'!$H$15&amp;""="","",TRIM('Gran. Fina Alpine'!$H$15&amp;""))</f>
        <v/>
      </c>
      <c r="Q57" t="s">
        <v>411</v>
      </c>
    </row>
    <row r="58">
      <c r="A58" t="s">
        <v>399</v>
      </c>
      <c r="B58" t="s">
        <v>6</v>
      </c>
      <c r="C58" s="912" t="str">
        <f>IF(N('Gran. Fina Alpine'!$A$16)&gt;0,'Gran. Fina Alpine'!$A$16,"")</f>
        <v/>
      </c>
      <c r="D58" t="s">
        <v>400</v>
      </c>
      <c r="E58" t="s">
        <v>401</v>
      </c>
      <c r="F58" t="s">
        <v>402</v>
      </c>
      <c r="G58" t="str">
        <f>IF(ISNUMBER('Gran. Fina Alpine'!$B$16),'Gran. Fina Alpine'!$B$16,"")</f>
        <v/>
      </c>
      <c r="H58">
        <f>BD_Limites!$E$3</f>
        <v>88.4</v>
      </c>
      <c r="I58" t="str">
        <f>IF(OR(G58="",H58=""),"",G58-H58)</f>
        <v/>
      </c>
      <c r="J58">
        <f>BD_Limites!$F$3</f>
        <v>87.4</v>
      </c>
      <c r="K58">
        <f>BD_Limites!$G$3</f>
        <v>89.4</v>
      </c>
      <c r="M58" t="str">
        <f>IF(G58="","",IF(AND(G58&gt;=J58,G58&lt;=K58),"Conforme","Não conforme"))</f>
        <v/>
      </c>
      <c r="N58" t="str">
        <f>IF('Gran. Fina Alpine'!$H$16&amp;""="","",TRIM('Gran. Fina Alpine'!$H$16&amp;""))</f>
        <v/>
      </c>
      <c r="Q58" t="s">
        <v>412</v>
      </c>
    </row>
    <row r="59">
      <c r="A59" t="s">
        <v>399</v>
      </c>
      <c r="B59" t="s">
        <v>6</v>
      </c>
      <c r="C59" s="912" t="str">
        <f>IF(N('Gran. Fina Alpine'!$A$17)&gt;0,'Gran. Fina Alpine'!$A$17,"")</f>
        <v/>
      </c>
      <c r="D59" t="s">
        <v>400</v>
      </c>
      <c r="E59" t="s">
        <v>401</v>
      </c>
      <c r="F59" t="s">
        <v>402</v>
      </c>
      <c r="G59" t="str">
        <f>IF(ISNUMBER('Gran. Fina Alpine'!$B$17),'Gran. Fina Alpine'!$B$17,"")</f>
        <v/>
      </c>
      <c r="H59">
        <f>BD_Limites!$E$3</f>
        <v>88.4</v>
      </c>
      <c r="I59" t="str">
        <f>IF(OR(G59="",H59=""),"",G59-H59)</f>
        <v/>
      </c>
      <c r="J59">
        <f>BD_Limites!$F$3</f>
        <v>87.4</v>
      </c>
      <c r="K59">
        <f>BD_Limites!$G$3</f>
        <v>89.4</v>
      </c>
      <c r="M59" t="str">
        <f>IF(G59="","",IF(AND(G59&gt;=J59,G59&lt;=K59),"Conforme","Não conforme"))</f>
        <v/>
      </c>
      <c r="N59" t="str">
        <f>IF('Gran. Fina Alpine'!$H$17&amp;""="","",TRIM('Gran. Fina Alpine'!$H$17&amp;""))</f>
        <v/>
      </c>
      <c r="Q59" t="s">
        <v>413</v>
      </c>
    </row>
    <row r="60">
      <c r="A60" t="s">
        <v>399</v>
      </c>
      <c r="B60" t="s">
        <v>6</v>
      </c>
      <c r="C60" s="912" t="str">
        <f>IF(N('Gran. Fina Alpine'!$A$18)&gt;0,'Gran. Fina Alpine'!$A$18,"")</f>
        <v/>
      </c>
      <c r="D60" t="s">
        <v>400</v>
      </c>
      <c r="E60" t="s">
        <v>401</v>
      </c>
      <c r="F60" t="s">
        <v>402</v>
      </c>
      <c r="G60" t="str">
        <f>IF(ISNUMBER('Gran. Fina Alpine'!$B$18),'Gran. Fina Alpine'!$B$18,"")</f>
        <v/>
      </c>
      <c r="H60">
        <f>BD_Limites!$E$3</f>
        <v>88.4</v>
      </c>
      <c r="I60" t="str">
        <f>IF(OR(G60="",H60=""),"",G60-H60)</f>
        <v/>
      </c>
      <c r="J60">
        <f>BD_Limites!$F$3</f>
        <v>87.4</v>
      </c>
      <c r="K60">
        <f>BD_Limites!$G$3</f>
        <v>89.4</v>
      </c>
      <c r="M60" t="str">
        <f>IF(G60="","",IF(AND(G60&gt;=J60,G60&lt;=K60),"Conforme","Não conforme"))</f>
        <v/>
      </c>
      <c r="N60" t="str">
        <f>IF('Gran. Fina Alpine'!$H$18&amp;""="","",TRIM('Gran. Fina Alpine'!$H$18&amp;""))</f>
        <v/>
      </c>
      <c r="Q60" t="s">
        <v>414</v>
      </c>
    </row>
    <row r="61">
      <c r="A61" t="s">
        <v>399</v>
      </c>
      <c r="B61" t="s">
        <v>6</v>
      </c>
      <c r="C61" s="912" t="str">
        <f>IF(N('Gran. Fina Alpine'!$A$19)&gt;0,'Gran. Fina Alpine'!$A$19,"")</f>
        <v/>
      </c>
      <c r="D61" t="s">
        <v>400</v>
      </c>
      <c r="E61" t="s">
        <v>401</v>
      </c>
      <c r="F61" t="s">
        <v>402</v>
      </c>
      <c r="G61" t="str">
        <f>IF(ISNUMBER('Gran. Fina Alpine'!$B$19),'Gran. Fina Alpine'!$B$19,"")</f>
        <v/>
      </c>
      <c r="H61">
        <f>BD_Limites!$E$3</f>
        <v>88.4</v>
      </c>
      <c r="I61" t="str">
        <f>IF(OR(G61="",H61=""),"",G61-H61)</f>
        <v/>
      </c>
      <c r="J61">
        <f>BD_Limites!$F$3</f>
        <v>87.4</v>
      </c>
      <c r="K61">
        <f>BD_Limites!$G$3</f>
        <v>89.4</v>
      </c>
      <c r="M61" t="str">
        <f>IF(G61="","",IF(AND(G61&gt;=J61,G61&lt;=K61),"Conforme","Não conforme"))</f>
        <v/>
      </c>
      <c r="N61" t="str">
        <f>IF('Gran. Fina Alpine'!$H$19&amp;""="","",TRIM('Gran. Fina Alpine'!$H$19&amp;""))</f>
        <v/>
      </c>
      <c r="Q61" t="s">
        <v>415</v>
      </c>
    </row>
    <row r="62">
      <c r="A62" t="s">
        <v>399</v>
      </c>
      <c r="B62" t="s">
        <v>6</v>
      </c>
      <c r="C62" s="912" t="str">
        <f>IF(N('Gran. Fina Alpine'!$A$20)&gt;0,'Gran. Fina Alpine'!$A$20,"")</f>
        <v/>
      </c>
      <c r="D62" t="s">
        <v>400</v>
      </c>
      <c r="E62" t="s">
        <v>401</v>
      </c>
      <c r="F62" t="s">
        <v>402</v>
      </c>
      <c r="G62" t="str">
        <f>IF(ISNUMBER('Gran. Fina Alpine'!$B$20),'Gran. Fina Alpine'!$B$20,"")</f>
        <v/>
      </c>
      <c r="H62">
        <f>BD_Limites!$E$3</f>
        <v>88.4</v>
      </c>
      <c r="I62" t="str">
        <f>IF(OR(G62="",H62=""),"",G62-H62)</f>
        <v/>
      </c>
      <c r="J62">
        <f>BD_Limites!$F$3</f>
        <v>87.4</v>
      </c>
      <c r="K62">
        <f>BD_Limites!$G$3</f>
        <v>89.4</v>
      </c>
      <c r="M62" t="str">
        <f>IF(G62="","",IF(AND(G62&gt;=J62,G62&lt;=K62),"Conforme","Não conforme"))</f>
        <v/>
      </c>
      <c r="N62" t="str">
        <f>IF('Gran. Fina Alpine'!$H$20&amp;""="","",TRIM('Gran. Fina Alpine'!$H$20&amp;""))</f>
        <v/>
      </c>
      <c r="Q62" t="s">
        <v>416</v>
      </c>
    </row>
    <row r="63">
      <c r="A63" t="s">
        <v>399</v>
      </c>
      <c r="B63" t="s">
        <v>6</v>
      </c>
      <c r="C63" s="912" t="str">
        <f>IF(N('Gran. Fina Alpine'!$A$21)&gt;0,'Gran. Fina Alpine'!$A$21,"")</f>
        <v/>
      </c>
      <c r="D63" t="s">
        <v>400</v>
      </c>
      <c r="E63" t="s">
        <v>401</v>
      </c>
      <c r="F63" t="s">
        <v>402</v>
      </c>
      <c r="G63" t="str">
        <f>IF(ISNUMBER('Gran. Fina Alpine'!$B$21),'Gran. Fina Alpine'!$B$21,"")</f>
        <v/>
      </c>
      <c r="H63">
        <f>BD_Limites!$E$3</f>
        <v>88.4</v>
      </c>
      <c r="I63" t="str">
        <f>IF(OR(G63="",H63=""),"",G63-H63)</f>
        <v/>
      </c>
      <c r="J63">
        <f>BD_Limites!$F$3</f>
        <v>87.4</v>
      </c>
      <c r="K63">
        <f>BD_Limites!$G$3</f>
        <v>89.4</v>
      </c>
      <c r="M63" t="str">
        <f>IF(G63="","",IF(AND(G63&gt;=J63,G63&lt;=K63),"Conforme","Não conforme"))</f>
        <v/>
      </c>
      <c r="N63" t="str">
        <f>IF('Gran. Fina Alpine'!$H$21&amp;""="","",TRIM('Gran. Fina Alpine'!$H$21&amp;""))</f>
        <v/>
      </c>
      <c r="Q63" t="s">
        <v>417</v>
      </c>
    </row>
    <row r="64">
      <c r="A64" t="s">
        <v>399</v>
      </c>
      <c r="B64" t="s">
        <v>6</v>
      </c>
      <c r="C64" s="912">
        <f>IF(N('Gran. Fina Alpine'!$A$7)&gt;0,'Gran. Fina Alpine'!$A$7,"")</f>
        <v>46268</v>
      </c>
      <c r="D64" t="s">
        <v>418</v>
      </c>
      <c r="E64" t="s">
        <v>419</v>
      </c>
      <c r="F64" t="s">
        <v>402</v>
      </c>
      <c r="G64">
        <f>IF(ISNUMBER('Gran. Fina Alpine'!$D$7),'Gran. Fina Alpine'!$D$7,"")</f>
        <v>88.6</v>
      </c>
      <c r="H64">
        <f>BD_Limites!$E$3</f>
        <v>88.4</v>
      </c>
      <c r="I64">
        <f>IF(OR(G64="",H64=""),"",G64-H64)</f>
        <v>0.19999999999998863</v>
      </c>
      <c r="J64">
        <f>BD_Limites!$F$3</f>
        <v>87.4</v>
      </c>
      <c r="K64">
        <f>BD_Limites!$G$3</f>
        <v>89.4</v>
      </c>
      <c r="M64" t="str">
        <f>IF(G64="","",IF(AND(G64&gt;=J64,G64&lt;=K64),"Conforme","Não conforme"))</f>
        <v>Conforme</v>
      </c>
      <c r="N64" t="str">
        <f>IF('Gran. Fina Alpine'!$H$7&amp;""="","",TRIM('Gran. Fina Alpine'!$H$7&amp;""))</f>
        <v>Taís</v>
      </c>
      <c r="Q64" t="s">
        <v>420</v>
      </c>
    </row>
    <row r="65">
      <c r="A65" t="s">
        <v>399</v>
      </c>
      <c r="B65" t="s">
        <v>6</v>
      </c>
      <c r="C65" s="912">
        <f>IF(N('Gran. Fina Alpine'!$A$8)&gt;0,'Gran. Fina Alpine'!$A$8,"")</f>
        <v>46269</v>
      </c>
      <c r="D65" t="s">
        <v>418</v>
      </c>
      <c r="E65" t="s">
        <v>419</v>
      </c>
      <c r="F65" t="s">
        <v>402</v>
      </c>
      <c r="G65">
        <f>IF(ISNUMBER('Gran. Fina Alpine'!$D$8),'Gran. Fina Alpine'!$D$8,"")</f>
        <v>87.8</v>
      </c>
      <c r="H65">
        <f>BD_Limites!$E$3</f>
        <v>88.4</v>
      </c>
      <c r="I65">
        <f>IF(OR(G65="",H65=""),"",G65-H65)</f>
        <v>-0.6000000000000085</v>
      </c>
      <c r="J65">
        <f>BD_Limites!$F$3</f>
        <v>87.4</v>
      </c>
      <c r="K65">
        <f>BD_Limites!$G$3</f>
        <v>89.4</v>
      </c>
      <c r="M65" t="str">
        <f>IF(G65="","",IF(AND(G65&gt;=J65,G65&lt;=K65),"Conforme","Não conforme"))</f>
        <v>Conforme</v>
      </c>
      <c r="N65" t="str">
        <f>IF('Gran. Fina Alpine'!$H$8&amp;""="","",TRIM('Gran. Fina Alpine'!$H$8&amp;""))</f>
        <v>schunck</v>
      </c>
      <c r="Q65" t="s">
        <v>421</v>
      </c>
    </row>
    <row r="66">
      <c r="A66" t="s">
        <v>399</v>
      </c>
      <c r="B66" t="s">
        <v>6</v>
      </c>
      <c r="C66" s="912">
        <f>IF(N('Gran. Fina Alpine'!$A$9)&gt;0,'Gran. Fina Alpine'!$A$9,"")</f>
        <v>46269</v>
      </c>
      <c r="D66" t="s">
        <v>418</v>
      </c>
      <c r="E66" t="s">
        <v>419</v>
      </c>
      <c r="F66" t="s">
        <v>402</v>
      </c>
      <c r="G66">
        <f>IF(ISNUMBER('Gran. Fina Alpine'!$D$9),'Gran. Fina Alpine'!$D$9,"")</f>
        <v>88.5</v>
      </c>
      <c r="H66">
        <f>BD_Limites!$E$3</f>
        <v>88.4</v>
      </c>
      <c r="I66">
        <f>IF(OR(G66="",H66=""),"",G66-H66)</f>
        <v>0.09999999999999432</v>
      </c>
      <c r="J66">
        <f>BD_Limites!$F$3</f>
        <v>87.4</v>
      </c>
      <c r="K66">
        <f>BD_Limites!$G$3</f>
        <v>89.4</v>
      </c>
      <c r="M66" t="str">
        <f>IF(G66="","",IF(AND(G66&gt;=J66,G66&lt;=K66),"Conforme","Não conforme"))</f>
        <v>Conforme</v>
      </c>
      <c r="N66" t="str">
        <f>IF('Gran. Fina Alpine'!$H$9&amp;""="","",TRIM('Gran. Fina Alpine'!$H$9&amp;""))</f>
        <v>schunck</v>
      </c>
      <c r="Q66" t="s">
        <v>422</v>
      </c>
    </row>
    <row r="67">
      <c r="A67" t="s">
        <v>399</v>
      </c>
      <c r="B67" t="s">
        <v>6</v>
      </c>
      <c r="C67" s="912">
        <f>IF(N('Gran. Fina Alpine'!$A$10)&gt;0,'Gran. Fina Alpine'!$A$10,"")</f>
        <v>46274</v>
      </c>
      <c r="D67" t="s">
        <v>418</v>
      </c>
      <c r="E67" t="s">
        <v>419</v>
      </c>
      <c r="F67" t="s">
        <v>402</v>
      </c>
      <c r="G67">
        <f>IF(ISNUMBER('Gran. Fina Alpine'!$D$10),'Gran. Fina Alpine'!$D$10,"")</f>
        <v>88.8</v>
      </c>
      <c r="H67">
        <f>BD_Limites!$E$3</f>
        <v>88.4</v>
      </c>
      <c r="I67">
        <f>IF(OR(G67="",H67=""),"",G67-H67)</f>
        <v>0.3999999999999915</v>
      </c>
      <c r="J67">
        <f>BD_Limites!$F$3</f>
        <v>87.4</v>
      </c>
      <c r="K67">
        <f>BD_Limites!$G$3</f>
        <v>89.4</v>
      </c>
      <c r="M67" t="str">
        <f>IF(G67="","",IF(AND(G67&gt;=J67,G67&lt;=K67),"Conforme","Não conforme"))</f>
        <v>Conforme</v>
      </c>
      <c r="N67" t="str">
        <f>IF('Gran. Fina Alpine'!$H$10&amp;""="","",TRIM('Gran. Fina Alpine'!$H$10&amp;""))</f>
        <v>ALESANDRO</v>
      </c>
      <c r="Q67" t="s">
        <v>423</v>
      </c>
    </row>
    <row r="68">
      <c r="A68" t="s">
        <v>399</v>
      </c>
      <c r="B68" t="s">
        <v>6</v>
      </c>
      <c r="C68" s="912">
        <f>IF(N('Gran. Fina Alpine'!$A$11)&gt;0,'Gran. Fina Alpine'!$A$11,"")</f>
        <v>46277</v>
      </c>
      <c r="D68" t="s">
        <v>418</v>
      </c>
      <c r="E68" t="s">
        <v>419</v>
      </c>
      <c r="F68" t="s">
        <v>402</v>
      </c>
      <c r="G68">
        <f>IF(ISNUMBER('Gran. Fina Alpine'!$D$11),'Gran. Fina Alpine'!$D$11,"")</f>
        <v>88.6</v>
      </c>
      <c r="H68">
        <f>BD_Limites!$E$3</f>
        <v>88.4</v>
      </c>
      <c r="I68">
        <f>IF(OR(G68="",H68=""),"",G68-H68)</f>
        <v>0.19999999999998863</v>
      </c>
      <c r="J68">
        <f>BD_Limites!$F$3</f>
        <v>87.4</v>
      </c>
      <c r="K68">
        <f>BD_Limites!$G$3</f>
        <v>89.4</v>
      </c>
      <c r="M68" t="str">
        <f>IF(G68="","",IF(AND(G68&gt;=J68,G68&lt;=K68),"Conforme","Não conforme"))</f>
        <v>Conforme</v>
      </c>
      <c r="N68" t="str">
        <f>IF('Gran. Fina Alpine'!$H$11&amp;""="","",TRIM('Gran. Fina Alpine'!$H$11&amp;""))</f>
        <v>GABRYELL</v>
      </c>
      <c r="Q68" t="s">
        <v>424</v>
      </c>
    </row>
    <row r="69">
      <c r="A69" t="s">
        <v>399</v>
      </c>
      <c r="B69" t="s">
        <v>6</v>
      </c>
      <c r="C69" s="912">
        <f>IF(N('Gran. Fina Alpine'!$A$12)&gt;0,'Gran. Fina Alpine'!$A$12,"")</f>
        <v>46279</v>
      </c>
      <c r="D69" t="s">
        <v>418</v>
      </c>
      <c r="E69" t="s">
        <v>419</v>
      </c>
      <c r="F69" t="s">
        <v>402</v>
      </c>
      <c r="G69">
        <f>IF(ISNUMBER('Gran. Fina Alpine'!$D$12),'Gran. Fina Alpine'!$D$12,"")</f>
        <v>88.4</v>
      </c>
      <c r="H69">
        <f>BD_Limites!$E$3</f>
        <v>88.4</v>
      </c>
      <c r="I69">
        <f>IF(OR(G69="",H69=""),"",G69-H69)</f>
        <v>0</v>
      </c>
      <c r="J69">
        <f>BD_Limites!$F$3</f>
        <v>87.4</v>
      </c>
      <c r="K69">
        <f>BD_Limites!$G$3</f>
        <v>89.4</v>
      </c>
      <c r="M69" t="str">
        <f>IF(G69="","",IF(AND(G69&gt;=J69,G69&lt;=K69),"Conforme","Não conforme"))</f>
        <v>Conforme</v>
      </c>
      <c r="N69" t="str">
        <f>IF('Gran. Fina Alpine'!$H$12&amp;""="","",TRIM('Gran. Fina Alpine'!$H$12&amp;""))</f>
        <v>felipe</v>
      </c>
      <c r="Q69" t="s">
        <v>425</v>
      </c>
    </row>
    <row r="70">
      <c r="A70" t="s">
        <v>399</v>
      </c>
      <c r="B70" t="s">
        <v>6</v>
      </c>
      <c r="C70" s="912">
        <f>IF(N('Gran. Fina Alpine'!$A$13)&gt;0,'Gran. Fina Alpine'!$A$13,"")</f>
        <v>46281</v>
      </c>
      <c r="D70" t="s">
        <v>418</v>
      </c>
      <c r="E70" t="s">
        <v>419</v>
      </c>
      <c r="F70" t="s">
        <v>402</v>
      </c>
      <c r="G70">
        <f>IF(ISNUMBER('Gran. Fina Alpine'!$D$13),'Gran. Fina Alpine'!$D$13,"")</f>
        <v>88</v>
      </c>
      <c r="H70">
        <f>BD_Limites!$E$3</f>
        <v>88.4</v>
      </c>
      <c r="I70">
        <f>IF(OR(G70="",H70=""),"",G70-H70)</f>
        <v>-0.4000000000000057</v>
      </c>
      <c r="J70">
        <f>BD_Limites!$F$3</f>
        <v>87.4</v>
      </c>
      <c r="K70">
        <f>BD_Limites!$G$3</f>
        <v>89.4</v>
      </c>
      <c r="M70" t="str">
        <f>IF(G70="","",IF(AND(G70&gt;=J70,G70&lt;=K70),"Conforme","Não conforme"))</f>
        <v>Conforme</v>
      </c>
      <c r="N70" t="str">
        <f>IF('Gran. Fina Alpine'!$H$13&amp;""="","",TRIM('Gran. Fina Alpine'!$H$13&amp;""))</f>
        <v>RENATO</v>
      </c>
      <c r="Q70" t="s">
        <v>426</v>
      </c>
    </row>
    <row r="71">
      <c r="A71" t="s">
        <v>399</v>
      </c>
      <c r="B71" t="s">
        <v>6</v>
      </c>
      <c r="C71" s="912">
        <f>IF(N('Gran. Fina Alpine'!$A$14)&gt;0,'Gran. Fina Alpine'!$A$14,"")</f>
        <v>46287</v>
      </c>
      <c r="D71" t="s">
        <v>418</v>
      </c>
      <c r="E71" t="s">
        <v>419</v>
      </c>
      <c r="F71" t="s">
        <v>402</v>
      </c>
      <c r="G71">
        <f>IF(ISNUMBER('Gran. Fina Alpine'!$D$14),'Gran. Fina Alpine'!$D$14,"")</f>
        <v>87.8</v>
      </c>
      <c r="H71">
        <f>BD_Limites!$E$3</f>
        <v>88.4</v>
      </c>
      <c r="I71">
        <f>IF(OR(G71="",H71=""),"",G71-H71)</f>
        <v>-0.6000000000000085</v>
      </c>
      <c r="J71">
        <f>BD_Limites!$F$3</f>
        <v>87.4</v>
      </c>
      <c r="K71">
        <f>BD_Limites!$G$3</f>
        <v>89.4</v>
      </c>
      <c r="M71" t="str">
        <f>IF(G71="","",IF(AND(G71&gt;=J71,G71&lt;=K71),"Conforme","Não conforme"))</f>
        <v>Conforme</v>
      </c>
      <c r="N71" t="str">
        <f>IF('Gran. Fina Alpine'!$H$14&amp;""="","",TRIM('Gran. Fina Alpine'!$H$14&amp;""))</f>
        <v>GABRYELL</v>
      </c>
      <c r="Q71" t="s">
        <v>427</v>
      </c>
    </row>
    <row r="72">
      <c r="A72" t="s">
        <v>399</v>
      </c>
      <c r="B72" t="s">
        <v>6</v>
      </c>
      <c r="C72" s="912" t="str">
        <f>IF(N('Gran. Fina Alpine'!$A$15)&gt;0,'Gran. Fina Alpine'!$A$15,"")</f>
        <v/>
      </c>
      <c r="D72" t="s">
        <v>418</v>
      </c>
      <c r="E72" t="s">
        <v>419</v>
      </c>
      <c r="F72" t="s">
        <v>402</v>
      </c>
      <c r="G72" t="str">
        <f>IF(ISNUMBER('Gran. Fina Alpine'!$D$15),'Gran. Fina Alpine'!$D$15,"")</f>
        <v/>
      </c>
      <c r="H72">
        <f>BD_Limites!$E$3</f>
        <v>88.4</v>
      </c>
      <c r="I72" t="str">
        <f>IF(OR(G72="",H72=""),"",G72-H72)</f>
        <v/>
      </c>
      <c r="J72">
        <f>BD_Limites!$F$3</f>
        <v>87.4</v>
      </c>
      <c r="K72">
        <f>BD_Limites!$G$3</f>
        <v>89.4</v>
      </c>
      <c r="M72" t="str">
        <f>IF(G72="","",IF(AND(G72&gt;=J72,G72&lt;=K72),"Conforme","Não conforme"))</f>
        <v/>
      </c>
      <c r="N72" t="str">
        <f>IF('Gran. Fina Alpine'!$H$15&amp;""="","",TRIM('Gran. Fina Alpine'!$H$15&amp;""))</f>
        <v/>
      </c>
      <c r="Q72" t="s">
        <v>428</v>
      </c>
    </row>
    <row r="73">
      <c r="A73" t="s">
        <v>399</v>
      </c>
      <c r="B73" t="s">
        <v>6</v>
      </c>
      <c r="C73" s="912" t="str">
        <f>IF(N('Gran. Fina Alpine'!$A$16)&gt;0,'Gran. Fina Alpine'!$A$16,"")</f>
        <v/>
      </c>
      <c r="D73" t="s">
        <v>418</v>
      </c>
      <c r="E73" t="s">
        <v>419</v>
      </c>
      <c r="F73" t="s">
        <v>402</v>
      </c>
      <c r="G73" t="str">
        <f>IF(ISNUMBER('Gran. Fina Alpine'!$D$16),'Gran. Fina Alpine'!$D$16,"")</f>
        <v/>
      </c>
      <c r="H73">
        <f>BD_Limites!$E$3</f>
        <v>88.4</v>
      </c>
      <c r="I73" t="str">
        <f>IF(OR(G73="",H73=""),"",G73-H73)</f>
        <v/>
      </c>
      <c r="J73">
        <f>BD_Limites!$F$3</f>
        <v>87.4</v>
      </c>
      <c r="K73">
        <f>BD_Limites!$G$3</f>
        <v>89.4</v>
      </c>
      <c r="M73" t="str">
        <f>IF(G73="","",IF(AND(G73&gt;=J73,G73&lt;=K73),"Conforme","Não conforme"))</f>
        <v/>
      </c>
      <c r="N73" t="str">
        <f>IF('Gran. Fina Alpine'!$H$16&amp;""="","",TRIM('Gran. Fina Alpine'!$H$16&amp;""))</f>
        <v/>
      </c>
      <c r="Q73" t="s">
        <v>429</v>
      </c>
    </row>
    <row r="74">
      <c r="A74" t="s">
        <v>399</v>
      </c>
      <c r="B74" t="s">
        <v>6</v>
      </c>
      <c r="C74" s="912" t="str">
        <f>IF(N('Gran. Fina Alpine'!$A$17)&gt;0,'Gran. Fina Alpine'!$A$17,"")</f>
        <v/>
      </c>
      <c r="D74" t="s">
        <v>418</v>
      </c>
      <c r="E74" t="s">
        <v>419</v>
      </c>
      <c r="F74" t="s">
        <v>402</v>
      </c>
      <c r="G74" t="str">
        <f>IF(ISNUMBER('Gran. Fina Alpine'!$D$17),'Gran. Fina Alpine'!$D$17,"")</f>
        <v/>
      </c>
      <c r="H74">
        <f>BD_Limites!$E$3</f>
        <v>88.4</v>
      </c>
      <c r="I74" t="str">
        <f>IF(OR(G74="",H74=""),"",G74-H74)</f>
        <v/>
      </c>
      <c r="J74">
        <f>BD_Limites!$F$3</f>
        <v>87.4</v>
      </c>
      <c r="K74">
        <f>BD_Limites!$G$3</f>
        <v>89.4</v>
      </c>
      <c r="M74" t="str">
        <f>IF(G74="","",IF(AND(G74&gt;=J74,G74&lt;=K74),"Conforme","Não conforme"))</f>
        <v/>
      </c>
      <c r="N74" t="str">
        <f>IF('Gran. Fina Alpine'!$H$17&amp;""="","",TRIM('Gran. Fina Alpine'!$H$17&amp;""))</f>
        <v/>
      </c>
      <c r="Q74" t="s">
        <v>430</v>
      </c>
    </row>
    <row r="75">
      <c r="A75" t="s">
        <v>399</v>
      </c>
      <c r="B75" t="s">
        <v>6</v>
      </c>
      <c r="C75" s="912" t="str">
        <f>IF(N('Gran. Fina Alpine'!$A$18)&gt;0,'Gran. Fina Alpine'!$A$18,"")</f>
        <v/>
      </c>
      <c r="D75" t="s">
        <v>418</v>
      </c>
      <c r="E75" t="s">
        <v>419</v>
      </c>
      <c r="F75" t="s">
        <v>402</v>
      </c>
      <c r="G75" t="str">
        <f>IF(ISNUMBER('Gran. Fina Alpine'!$D$18),'Gran. Fina Alpine'!$D$18,"")</f>
        <v/>
      </c>
      <c r="H75">
        <f>BD_Limites!$E$3</f>
        <v>88.4</v>
      </c>
      <c r="I75" t="str">
        <f>IF(OR(G75="",H75=""),"",G75-H75)</f>
        <v/>
      </c>
      <c r="J75">
        <f>BD_Limites!$F$3</f>
        <v>87.4</v>
      </c>
      <c r="K75">
        <f>BD_Limites!$G$3</f>
        <v>89.4</v>
      </c>
      <c r="M75" t="str">
        <f>IF(G75="","",IF(AND(G75&gt;=J75,G75&lt;=K75),"Conforme","Não conforme"))</f>
        <v/>
      </c>
      <c r="N75" t="str">
        <f>IF('Gran. Fina Alpine'!$H$18&amp;""="","",TRIM('Gran. Fina Alpine'!$H$18&amp;""))</f>
        <v/>
      </c>
      <c r="Q75" t="s">
        <v>431</v>
      </c>
    </row>
    <row r="76">
      <c r="A76" t="s">
        <v>399</v>
      </c>
      <c r="B76" t="s">
        <v>6</v>
      </c>
      <c r="C76" s="912" t="str">
        <f>IF(N('Gran. Fina Alpine'!$A$19)&gt;0,'Gran. Fina Alpine'!$A$19,"")</f>
        <v/>
      </c>
      <c r="D76" t="s">
        <v>418</v>
      </c>
      <c r="E76" t="s">
        <v>419</v>
      </c>
      <c r="F76" t="s">
        <v>402</v>
      </c>
      <c r="G76" t="str">
        <f>IF(ISNUMBER('Gran. Fina Alpine'!$D$19),'Gran. Fina Alpine'!$D$19,"")</f>
        <v/>
      </c>
      <c r="H76">
        <f>BD_Limites!$E$3</f>
        <v>88.4</v>
      </c>
      <c r="I76" t="str">
        <f>IF(OR(G76="",H76=""),"",G76-H76)</f>
        <v/>
      </c>
      <c r="J76">
        <f>BD_Limites!$F$3</f>
        <v>87.4</v>
      </c>
      <c r="K76">
        <f>BD_Limites!$G$3</f>
        <v>89.4</v>
      </c>
      <c r="M76" t="str">
        <f>IF(G76="","",IF(AND(G76&gt;=J76,G76&lt;=K76),"Conforme","Não conforme"))</f>
        <v/>
      </c>
      <c r="N76" t="str">
        <f>IF('Gran. Fina Alpine'!$H$19&amp;""="","",TRIM('Gran. Fina Alpine'!$H$19&amp;""))</f>
        <v/>
      </c>
      <c r="Q76" t="s">
        <v>432</v>
      </c>
    </row>
    <row r="77">
      <c r="A77" t="s">
        <v>399</v>
      </c>
      <c r="B77" t="s">
        <v>6</v>
      </c>
      <c r="C77" s="912" t="str">
        <f>IF(N('Gran. Fina Alpine'!$A$20)&gt;0,'Gran. Fina Alpine'!$A$20,"")</f>
        <v/>
      </c>
      <c r="D77" t="s">
        <v>418</v>
      </c>
      <c r="E77" t="s">
        <v>419</v>
      </c>
      <c r="F77" t="s">
        <v>402</v>
      </c>
      <c r="G77" t="str">
        <f>IF(ISNUMBER('Gran. Fina Alpine'!$D$20),'Gran. Fina Alpine'!$D$20,"")</f>
        <v/>
      </c>
      <c r="H77">
        <f>BD_Limites!$E$3</f>
        <v>88.4</v>
      </c>
      <c r="I77" t="str">
        <f>IF(OR(G77="",H77=""),"",G77-H77)</f>
        <v/>
      </c>
      <c r="J77">
        <f>BD_Limites!$F$3</f>
        <v>87.4</v>
      </c>
      <c r="K77">
        <f>BD_Limites!$G$3</f>
        <v>89.4</v>
      </c>
      <c r="M77" t="str">
        <f>IF(G77="","",IF(AND(G77&gt;=J77,G77&lt;=K77),"Conforme","Não conforme"))</f>
        <v/>
      </c>
      <c r="N77" t="str">
        <f>IF('Gran. Fina Alpine'!$H$20&amp;""="","",TRIM('Gran. Fina Alpine'!$H$20&amp;""))</f>
        <v/>
      </c>
      <c r="Q77" t="s">
        <v>433</v>
      </c>
    </row>
    <row r="78">
      <c r="A78" t="s">
        <v>399</v>
      </c>
      <c r="B78" t="s">
        <v>6</v>
      </c>
      <c r="C78" s="912" t="str">
        <f>IF(N('Gran. Fina Alpine'!$A$21)&gt;0,'Gran. Fina Alpine'!$A$21,"")</f>
        <v/>
      </c>
      <c r="D78" t="s">
        <v>418</v>
      </c>
      <c r="E78" t="s">
        <v>419</v>
      </c>
      <c r="F78" t="s">
        <v>402</v>
      </c>
      <c r="G78" t="str">
        <f>IF(ISNUMBER('Gran. Fina Alpine'!$D$21),'Gran. Fina Alpine'!$D$21,"")</f>
        <v/>
      </c>
      <c r="H78">
        <f>BD_Limites!$E$3</f>
        <v>88.4</v>
      </c>
      <c r="I78" t="str">
        <f>IF(OR(G78="",H78=""),"",G78-H78)</f>
        <v/>
      </c>
      <c r="J78">
        <f>BD_Limites!$F$3</f>
        <v>87.4</v>
      </c>
      <c r="K78">
        <f>BD_Limites!$G$3</f>
        <v>89.4</v>
      </c>
      <c r="M78" t="str">
        <f>IF(G78="","",IF(AND(G78&gt;=J78,G78&lt;=K78),"Conforme","Não conforme"))</f>
        <v/>
      </c>
      <c r="N78" t="str">
        <f>IF('Gran. Fina Alpine'!$H$21&amp;""="","",TRIM('Gran. Fina Alpine'!$H$21&amp;""))</f>
        <v/>
      </c>
      <c r="Q78" t="s">
        <v>434</v>
      </c>
    </row>
    <row r="79">
      <c r="A79" t="s">
        <v>399</v>
      </c>
      <c r="B79" t="s">
        <v>6</v>
      </c>
      <c r="C79" s="912">
        <f>IF(N('Gran. Fina Alpine'!$A$7)&gt;0,'Gran. Fina Alpine'!$A$7,"")</f>
        <v>46268</v>
      </c>
      <c r="D79" t="s">
        <v>435</v>
      </c>
      <c r="E79" t="s">
        <v>419</v>
      </c>
      <c r="F79" t="s">
        <v>402</v>
      </c>
      <c r="G79">
        <f>IF(ISNUMBER('Gran. Fina Alpine'!$F$7),'Gran. Fina Alpine'!$F$7,"")</f>
        <v>89</v>
      </c>
      <c r="H79">
        <f>BD_Limites!$E$3</f>
        <v>88.4</v>
      </c>
      <c r="I79">
        <f>IF(OR(G79="",H79=""),"",G79-H79)</f>
        <v>0.5999999999999943</v>
      </c>
      <c r="J79">
        <f>BD_Limites!$F$3</f>
        <v>87.4</v>
      </c>
      <c r="K79">
        <f>BD_Limites!$G$3</f>
        <v>89.4</v>
      </c>
      <c r="M79" t="str">
        <f>IF(G79="","",IF(AND(G79&gt;=J79,G79&lt;=K79),"Conforme","Não conforme"))</f>
        <v>Conforme</v>
      </c>
      <c r="N79" t="str">
        <f>IF('Gran. Fina Alpine'!$H$7&amp;""="","",TRIM('Gran. Fina Alpine'!$H$7&amp;""))</f>
        <v>Taís</v>
      </c>
      <c r="Q79" t="s">
        <v>436</v>
      </c>
    </row>
    <row r="80">
      <c r="A80" t="s">
        <v>399</v>
      </c>
      <c r="B80" t="s">
        <v>6</v>
      </c>
      <c r="C80" s="912">
        <f>IF(N('Gran. Fina Alpine'!$A$8)&gt;0,'Gran. Fina Alpine'!$A$8,"")</f>
        <v>46269</v>
      </c>
      <c r="D80" t="s">
        <v>435</v>
      </c>
      <c r="E80" t="s">
        <v>419</v>
      </c>
      <c r="F80" t="s">
        <v>402</v>
      </c>
      <c r="G80">
        <f>IF(ISNUMBER('Gran. Fina Alpine'!$F$8),'Gran. Fina Alpine'!$F$8,"")</f>
        <v>88.8</v>
      </c>
      <c r="H80">
        <f>BD_Limites!$E$3</f>
        <v>88.4</v>
      </c>
      <c r="I80">
        <f>IF(OR(G80="",H80=""),"",G80-H80)</f>
        <v>0.3999999999999915</v>
      </c>
      <c r="J80">
        <f>BD_Limites!$F$3</f>
        <v>87.4</v>
      </c>
      <c r="K80">
        <f>BD_Limites!$G$3</f>
        <v>89.4</v>
      </c>
      <c r="M80" t="str">
        <f>IF(G80="","",IF(AND(G80&gt;=J80,G80&lt;=K80),"Conforme","Não conforme"))</f>
        <v>Conforme</v>
      </c>
      <c r="N80" t="str">
        <f>IF('Gran. Fina Alpine'!$H$8&amp;""="","",TRIM('Gran. Fina Alpine'!$H$8&amp;""))</f>
        <v>schunck</v>
      </c>
      <c r="Q80" t="s">
        <v>437</v>
      </c>
    </row>
    <row r="81">
      <c r="A81" t="s">
        <v>399</v>
      </c>
      <c r="B81" t="s">
        <v>6</v>
      </c>
      <c r="C81" s="912">
        <f>IF(N('Gran. Fina Alpine'!$A$9)&gt;0,'Gran. Fina Alpine'!$A$9,"")</f>
        <v>46269</v>
      </c>
      <c r="D81" t="s">
        <v>435</v>
      </c>
      <c r="E81" t="s">
        <v>419</v>
      </c>
      <c r="F81" t="s">
        <v>402</v>
      </c>
      <c r="G81">
        <f>IF(ISNUMBER('Gran. Fina Alpine'!$F$9),'Gran. Fina Alpine'!$F$9,"")</f>
        <v>88.8</v>
      </c>
      <c r="H81">
        <f>BD_Limites!$E$3</f>
        <v>88.4</v>
      </c>
      <c r="I81">
        <f>IF(OR(G81="",H81=""),"",G81-H81)</f>
        <v>0.3999999999999915</v>
      </c>
      <c r="J81">
        <f>BD_Limites!$F$3</f>
        <v>87.4</v>
      </c>
      <c r="K81">
        <f>BD_Limites!$G$3</f>
        <v>89.4</v>
      </c>
      <c r="M81" t="str">
        <f>IF(G81="","",IF(AND(G81&gt;=J81,G81&lt;=K81),"Conforme","Não conforme"))</f>
        <v>Conforme</v>
      </c>
      <c r="N81" t="str">
        <f>IF('Gran. Fina Alpine'!$H$9&amp;""="","",TRIM('Gran. Fina Alpine'!$H$9&amp;""))</f>
        <v>schunck</v>
      </c>
      <c r="Q81" t="s">
        <v>438</v>
      </c>
    </row>
    <row r="82">
      <c r="A82" t="s">
        <v>399</v>
      </c>
      <c r="B82" t="s">
        <v>6</v>
      </c>
      <c r="C82" s="912">
        <f>IF(N('Gran. Fina Alpine'!$A$10)&gt;0,'Gran. Fina Alpine'!$A$10,"")</f>
        <v>46274</v>
      </c>
      <c r="D82" t="s">
        <v>435</v>
      </c>
      <c r="E82" t="s">
        <v>419</v>
      </c>
      <c r="F82" t="s">
        <v>402</v>
      </c>
      <c r="G82">
        <f>IF(ISNUMBER('Gran. Fina Alpine'!$F$10),'Gran. Fina Alpine'!$F$10,"")</f>
        <v>88.9</v>
      </c>
      <c r="H82">
        <f>BD_Limites!$E$3</f>
        <v>88.4</v>
      </c>
      <c r="I82">
        <f>IF(OR(G82="",H82=""),"",G82-H82)</f>
        <v>0.5</v>
      </c>
      <c r="J82">
        <f>BD_Limites!$F$3</f>
        <v>87.4</v>
      </c>
      <c r="K82">
        <f>BD_Limites!$G$3</f>
        <v>89.4</v>
      </c>
      <c r="M82" t="str">
        <f>IF(G82="","",IF(AND(G82&gt;=J82,G82&lt;=K82),"Conforme","Não conforme"))</f>
        <v>Conforme</v>
      </c>
      <c r="N82" t="str">
        <f>IF('Gran. Fina Alpine'!$H$10&amp;""="","",TRIM('Gran. Fina Alpine'!$H$10&amp;""))</f>
        <v>ALESANDRO</v>
      </c>
      <c r="Q82" t="s">
        <v>439</v>
      </c>
    </row>
    <row r="83">
      <c r="A83" t="s">
        <v>399</v>
      </c>
      <c r="B83" t="s">
        <v>6</v>
      </c>
      <c r="C83" s="912">
        <f>IF(N('Gran. Fina Alpine'!$A$11)&gt;0,'Gran. Fina Alpine'!$A$11,"")</f>
        <v>46277</v>
      </c>
      <c r="D83" t="s">
        <v>435</v>
      </c>
      <c r="E83" t="s">
        <v>419</v>
      </c>
      <c r="F83" t="s">
        <v>402</v>
      </c>
      <c r="G83">
        <f>IF(ISNUMBER('Gran. Fina Alpine'!$F$11),'Gran. Fina Alpine'!$F$11,"")</f>
        <v>88.7</v>
      </c>
      <c r="H83">
        <f>BD_Limites!$E$3</f>
        <v>88.4</v>
      </c>
      <c r="I83">
        <f>IF(OR(G83="",H83=""),"",G83-H83)</f>
        <v>0.29999999999999716</v>
      </c>
      <c r="J83">
        <f>BD_Limites!$F$3</f>
        <v>87.4</v>
      </c>
      <c r="K83">
        <f>BD_Limites!$G$3</f>
        <v>89.4</v>
      </c>
      <c r="M83" t="str">
        <f>IF(G83="","",IF(AND(G83&gt;=J83,G83&lt;=K83),"Conforme","Não conforme"))</f>
        <v>Conforme</v>
      </c>
      <c r="N83" t="str">
        <f>IF('Gran. Fina Alpine'!$H$11&amp;""="","",TRIM('Gran. Fina Alpine'!$H$11&amp;""))</f>
        <v>GABRYELL</v>
      </c>
      <c r="Q83" t="s">
        <v>440</v>
      </c>
    </row>
    <row r="84">
      <c r="A84" t="s">
        <v>399</v>
      </c>
      <c r="B84" t="s">
        <v>6</v>
      </c>
      <c r="C84" s="912">
        <f>IF(N('Gran. Fina Alpine'!$A$12)&gt;0,'Gran. Fina Alpine'!$A$12,"")</f>
        <v>46279</v>
      </c>
      <c r="D84" t="s">
        <v>435</v>
      </c>
      <c r="E84" t="s">
        <v>419</v>
      </c>
      <c r="F84" t="s">
        <v>402</v>
      </c>
      <c r="G84">
        <f>IF(ISNUMBER('Gran. Fina Alpine'!$F$12),'Gran. Fina Alpine'!$F$12,"")</f>
        <v>89</v>
      </c>
      <c r="H84">
        <f>BD_Limites!$E$3</f>
        <v>88.4</v>
      </c>
      <c r="I84">
        <f>IF(OR(G84="",H84=""),"",G84-H84)</f>
        <v>0.5999999999999943</v>
      </c>
      <c r="J84">
        <f>BD_Limites!$F$3</f>
        <v>87.4</v>
      </c>
      <c r="K84">
        <f>BD_Limites!$G$3</f>
        <v>89.4</v>
      </c>
      <c r="M84" t="str">
        <f>IF(G84="","",IF(AND(G84&gt;=J84,G84&lt;=K84),"Conforme","Não conforme"))</f>
        <v>Conforme</v>
      </c>
      <c r="N84" t="str">
        <f>IF('Gran. Fina Alpine'!$H$12&amp;""="","",TRIM('Gran. Fina Alpine'!$H$12&amp;""))</f>
        <v>felipe</v>
      </c>
      <c r="Q84" t="s">
        <v>441</v>
      </c>
    </row>
    <row r="85">
      <c r="A85" t="s">
        <v>399</v>
      </c>
      <c r="B85" t="s">
        <v>6</v>
      </c>
      <c r="C85" s="912">
        <f>IF(N('Gran. Fina Alpine'!$A$13)&gt;0,'Gran. Fina Alpine'!$A$13,"")</f>
        <v>46281</v>
      </c>
      <c r="D85" t="s">
        <v>435</v>
      </c>
      <c r="E85" t="s">
        <v>419</v>
      </c>
      <c r="F85" t="s">
        <v>402</v>
      </c>
      <c r="G85">
        <f>IF(ISNUMBER('Gran. Fina Alpine'!$F$13),'Gran. Fina Alpine'!$F$13,"")</f>
        <v>88.1</v>
      </c>
      <c r="H85">
        <f>BD_Limites!$E$3</f>
        <v>88.4</v>
      </c>
      <c r="I85">
        <f>IF(OR(G85="",H85=""),"",G85-H85)</f>
        <v>-0.30000000000001137</v>
      </c>
      <c r="J85">
        <f>BD_Limites!$F$3</f>
        <v>87.4</v>
      </c>
      <c r="K85">
        <f>BD_Limites!$G$3</f>
        <v>89.4</v>
      </c>
      <c r="M85" t="str">
        <f>IF(G85="","",IF(AND(G85&gt;=J85,G85&lt;=K85),"Conforme","Não conforme"))</f>
        <v>Conforme</v>
      </c>
      <c r="N85" t="str">
        <f>IF('Gran. Fina Alpine'!$H$13&amp;""="","",TRIM('Gran. Fina Alpine'!$H$13&amp;""))</f>
        <v>RENATO</v>
      </c>
      <c r="Q85" t="s">
        <v>442</v>
      </c>
    </row>
    <row r="86">
      <c r="A86" t="s">
        <v>399</v>
      </c>
      <c r="B86" t="s">
        <v>6</v>
      </c>
      <c r="C86" s="912">
        <f>IF(N('Gran. Fina Alpine'!$A$14)&gt;0,'Gran. Fina Alpine'!$A$14,"")</f>
        <v>46287</v>
      </c>
      <c r="D86" t="s">
        <v>435</v>
      </c>
      <c r="E86" t="s">
        <v>419</v>
      </c>
      <c r="F86" t="s">
        <v>402</v>
      </c>
      <c r="G86">
        <f>IF(ISNUMBER('Gran. Fina Alpine'!$F$14),'Gran. Fina Alpine'!$F$14,"")</f>
        <v>88.25</v>
      </c>
      <c r="H86">
        <f>BD_Limites!$E$3</f>
        <v>88.4</v>
      </c>
      <c r="I86">
        <f>IF(OR(G86="",H86=""),"",G86-H86)</f>
        <v>-0.15000000000000568</v>
      </c>
      <c r="J86">
        <f>BD_Limites!$F$3</f>
        <v>87.4</v>
      </c>
      <c r="K86">
        <f>BD_Limites!$G$3</f>
        <v>89.4</v>
      </c>
      <c r="M86" t="str">
        <f>IF(G86="","",IF(AND(G86&gt;=J86,G86&lt;=K86),"Conforme","Não conforme"))</f>
        <v>Conforme</v>
      </c>
      <c r="N86" t="str">
        <f>IF('Gran. Fina Alpine'!$H$14&amp;""="","",TRIM('Gran. Fina Alpine'!$H$14&amp;""))</f>
        <v>GABRYELL</v>
      </c>
      <c r="Q86" t="s">
        <v>443</v>
      </c>
    </row>
    <row r="87">
      <c r="A87" t="s">
        <v>399</v>
      </c>
      <c r="B87" t="s">
        <v>6</v>
      </c>
      <c r="C87" s="912" t="str">
        <f>IF(N('Gran. Fina Alpine'!$A$15)&gt;0,'Gran. Fina Alpine'!$A$15,"")</f>
        <v/>
      </c>
      <c r="D87" t="s">
        <v>435</v>
      </c>
      <c r="E87" t="s">
        <v>419</v>
      </c>
      <c r="F87" t="s">
        <v>402</v>
      </c>
      <c r="G87" t="str">
        <f>IF(ISNUMBER('Gran. Fina Alpine'!$F$15),'Gran. Fina Alpine'!$F$15,"")</f>
        <v/>
      </c>
      <c r="H87">
        <f>BD_Limites!$E$3</f>
        <v>88.4</v>
      </c>
      <c r="I87" t="str">
        <f>IF(OR(G87="",H87=""),"",G87-H87)</f>
        <v/>
      </c>
      <c r="J87">
        <f>BD_Limites!$F$3</f>
        <v>87.4</v>
      </c>
      <c r="K87">
        <f>BD_Limites!$G$3</f>
        <v>89.4</v>
      </c>
      <c r="M87" t="str">
        <f>IF(G87="","",IF(AND(G87&gt;=J87,G87&lt;=K87),"Conforme","Não conforme"))</f>
        <v/>
      </c>
      <c r="N87" t="str">
        <f>IF('Gran. Fina Alpine'!$H$15&amp;""="","",TRIM('Gran. Fina Alpine'!$H$15&amp;""))</f>
        <v/>
      </c>
      <c r="Q87" t="s">
        <v>444</v>
      </c>
    </row>
    <row r="88">
      <c r="A88" t="s">
        <v>399</v>
      </c>
      <c r="B88" t="s">
        <v>6</v>
      </c>
      <c r="C88" s="912" t="str">
        <f>IF(N('Gran. Fina Alpine'!$A$16)&gt;0,'Gran. Fina Alpine'!$A$16,"")</f>
        <v/>
      </c>
      <c r="D88" t="s">
        <v>435</v>
      </c>
      <c r="E88" t="s">
        <v>419</v>
      </c>
      <c r="F88" t="s">
        <v>402</v>
      </c>
      <c r="G88" t="str">
        <f>IF(ISNUMBER('Gran. Fina Alpine'!$F$16),'Gran. Fina Alpine'!$F$16,"")</f>
        <v/>
      </c>
      <c r="H88">
        <f>BD_Limites!$E$3</f>
        <v>88.4</v>
      </c>
      <c r="I88" t="str">
        <f>IF(OR(G88="",H88=""),"",G88-H88)</f>
        <v/>
      </c>
      <c r="J88">
        <f>BD_Limites!$F$3</f>
        <v>87.4</v>
      </c>
      <c r="K88">
        <f>BD_Limites!$G$3</f>
        <v>89.4</v>
      </c>
      <c r="M88" t="str">
        <f>IF(G88="","",IF(AND(G88&gt;=J88,G88&lt;=K88),"Conforme","Não conforme"))</f>
        <v/>
      </c>
      <c r="N88" t="str">
        <f>IF('Gran. Fina Alpine'!$H$16&amp;""="","",TRIM('Gran. Fina Alpine'!$H$16&amp;""))</f>
        <v/>
      </c>
      <c r="Q88" t="s">
        <v>445</v>
      </c>
    </row>
    <row r="89">
      <c r="A89" t="s">
        <v>399</v>
      </c>
      <c r="B89" t="s">
        <v>6</v>
      </c>
      <c r="C89" s="912" t="str">
        <f>IF(N('Gran. Fina Alpine'!$A$17)&gt;0,'Gran. Fina Alpine'!$A$17,"")</f>
        <v/>
      </c>
      <c r="D89" t="s">
        <v>435</v>
      </c>
      <c r="E89" t="s">
        <v>419</v>
      </c>
      <c r="F89" t="s">
        <v>402</v>
      </c>
      <c r="G89" t="str">
        <f>IF(ISNUMBER('Gran. Fina Alpine'!$F$17),'Gran. Fina Alpine'!$F$17,"")</f>
        <v/>
      </c>
      <c r="H89">
        <f>BD_Limites!$E$3</f>
        <v>88.4</v>
      </c>
      <c r="I89" t="str">
        <f>IF(OR(G89="",H89=""),"",G89-H89)</f>
        <v/>
      </c>
      <c r="J89">
        <f>BD_Limites!$F$3</f>
        <v>87.4</v>
      </c>
      <c r="K89">
        <f>BD_Limites!$G$3</f>
        <v>89.4</v>
      </c>
      <c r="M89" t="str">
        <f>IF(G89="","",IF(AND(G89&gt;=J89,G89&lt;=K89),"Conforme","Não conforme"))</f>
        <v/>
      </c>
      <c r="N89" t="str">
        <f>IF('Gran. Fina Alpine'!$H$17&amp;""="","",TRIM('Gran. Fina Alpine'!$H$17&amp;""))</f>
        <v/>
      </c>
      <c r="Q89" t="s">
        <v>446</v>
      </c>
    </row>
    <row r="90">
      <c r="A90" t="s">
        <v>399</v>
      </c>
      <c r="B90" t="s">
        <v>6</v>
      </c>
      <c r="C90" s="912" t="str">
        <f>IF(N('Gran. Fina Alpine'!$A$18)&gt;0,'Gran. Fina Alpine'!$A$18,"")</f>
        <v/>
      </c>
      <c r="D90" t="s">
        <v>435</v>
      </c>
      <c r="E90" t="s">
        <v>419</v>
      </c>
      <c r="F90" t="s">
        <v>402</v>
      </c>
      <c r="G90" t="str">
        <f>IF(ISNUMBER('Gran. Fina Alpine'!$F$18),'Gran. Fina Alpine'!$F$18,"")</f>
        <v/>
      </c>
      <c r="H90">
        <f>BD_Limites!$E$3</f>
        <v>88.4</v>
      </c>
      <c r="I90" t="str">
        <f>IF(OR(G90="",H90=""),"",G90-H90)</f>
        <v/>
      </c>
      <c r="J90">
        <f>BD_Limites!$F$3</f>
        <v>87.4</v>
      </c>
      <c r="K90">
        <f>BD_Limites!$G$3</f>
        <v>89.4</v>
      </c>
      <c r="M90" t="str">
        <f>IF(G90="","",IF(AND(G90&gt;=J90,G90&lt;=K90),"Conforme","Não conforme"))</f>
        <v/>
      </c>
      <c r="N90" t="str">
        <f>IF('Gran. Fina Alpine'!$H$18&amp;""="","",TRIM('Gran. Fina Alpine'!$H$18&amp;""))</f>
        <v/>
      </c>
      <c r="Q90" t="s">
        <v>447</v>
      </c>
    </row>
    <row r="91">
      <c r="A91" t="s">
        <v>399</v>
      </c>
      <c r="B91" t="s">
        <v>6</v>
      </c>
      <c r="C91" s="912" t="str">
        <f>IF(N('Gran. Fina Alpine'!$A$19)&gt;0,'Gran. Fina Alpine'!$A$19,"")</f>
        <v/>
      </c>
      <c r="D91" t="s">
        <v>435</v>
      </c>
      <c r="E91" t="s">
        <v>419</v>
      </c>
      <c r="F91" t="s">
        <v>402</v>
      </c>
      <c r="G91" t="str">
        <f>IF(ISNUMBER('Gran. Fina Alpine'!$F$19),'Gran. Fina Alpine'!$F$19,"")</f>
        <v/>
      </c>
      <c r="H91">
        <f>BD_Limites!$E$3</f>
        <v>88.4</v>
      </c>
      <c r="I91" t="str">
        <f>IF(OR(G91="",H91=""),"",G91-H91)</f>
        <v/>
      </c>
      <c r="J91">
        <f>BD_Limites!$F$3</f>
        <v>87.4</v>
      </c>
      <c r="K91">
        <f>BD_Limites!$G$3</f>
        <v>89.4</v>
      </c>
      <c r="M91" t="str">
        <f>IF(G91="","",IF(AND(G91&gt;=J91,G91&lt;=K91),"Conforme","Não conforme"))</f>
        <v/>
      </c>
      <c r="N91" t="str">
        <f>IF('Gran. Fina Alpine'!$H$19&amp;""="","",TRIM('Gran. Fina Alpine'!$H$19&amp;""))</f>
        <v/>
      </c>
      <c r="Q91" t="s">
        <v>448</v>
      </c>
    </row>
    <row r="92">
      <c r="A92" t="s">
        <v>399</v>
      </c>
      <c r="B92" t="s">
        <v>6</v>
      </c>
      <c r="C92" s="912" t="str">
        <f>IF(N('Gran. Fina Alpine'!$A$20)&gt;0,'Gran. Fina Alpine'!$A$20,"")</f>
        <v/>
      </c>
      <c r="D92" t="s">
        <v>435</v>
      </c>
      <c r="E92" t="s">
        <v>419</v>
      </c>
      <c r="F92" t="s">
        <v>402</v>
      </c>
      <c r="G92" t="str">
        <f>IF(ISNUMBER('Gran. Fina Alpine'!$F$20),'Gran. Fina Alpine'!$F$20,"")</f>
        <v/>
      </c>
      <c r="H92">
        <f>BD_Limites!$E$3</f>
        <v>88.4</v>
      </c>
      <c r="I92" t="str">
        <f>IF(OR(G92="",H92=""),"",G92-H92)</f>
        <v/>
      </c>
      <c r="J92">
        <f>BD_Limites!$F$3</f>
        <v>87.4</v>
      </c>
      <c r="K92">
        <f>BD_Limites!$G$3</f>
        <v>89.4</v>
      </c>
      <c r="M92" t="str">
        <f>IF(G92="","",IF(AND(G92&gt;=J92,G92&lt;=K92),"Conforme","Não conforme"))</f>
        <v/>
      </c>
      <c r="N92" t="str">
        <f>IF('Gran. Fina Alpine'!$H$20&amp;""="","",TRIM('Gran. Fina Alpine'!$H$20&amp;""))</f>
        <v/>
      </c>
      <c r="Q92" t="s">
        <v>449</v>
      </c>
    </row>
    <row r="93">
      <c r="A93" t="s">
        <v>399</v>
      </c>
      <c r="B93" t="s">
        <v>6</v>
      </c>
      <c r="C93" s="912" t="str">
        <f>IF(N('Gran. Fina Alpine'!$A$21)&gt;0,'Gran. Fina Alpine'!$A$21,"")</f>
        <v/>
      </c>
      <c r="D93" t="s">
        <v>435</v>
      </c>
      <c r="E93" t="s">
        <v>419</v>
      </c>
      <c r="F93" t="s">
        <v>402</v>
      </c>
      <c r="G93" t="str">
        <f>IF(ISNUMBER('Gran. Fina Alpine'!$F$21),'Gran. Fina Alpine'!$F$21,"")</f>
        <v/>
      </c>
      <c r="H93">
        <f>BD_Limites!$E$3</f>
        <v>88.4</v>
      </c>
      <c r="I93" t="str">
        <f>IF(OR(G93="",H93=""),"",G93-H93)</f>
        <v/>
      </c>
      <c r="J93">
        <f>BD_Limites!$F$3</f>
        <v>87.4</v>
      </c>
      <c r="K93">
        <f>BD_Limites!$G$3</f>
        <v>89.4</v>
      </c>
      <c r="M93" t="str">
        <f>IF(G93="","",IF(AND(G93&gt;=J93,G93&lt;=K93),"Conforme","Não conforme"))</f>
        <v/>
      </c>
      <c r="N93" t="str">
        <f>IF('Gran. Fina Alpine'!$H$21&amp;""="","",TRIM('Gran. Fina Alpine'!$H$21&amp;""))</f>
        <v/>
      </c>
      <c r="Q93" t="s">
        <v>450</v>
      </c>
    </row>
    <row r="94">
      <c r="A94" t="s">
        <v>451</v>
      </c>
      <c r="B94" t="s">
        <v>6</v>
      </c>
      <c r="C94" s="912">
        <f>IF(N('Calibração Blaine'!$A$6)&gt;0,'Calibração Blaine'!$A$6,"")</f>
        <v>46266</v>
      </c>
      <c r="D94" t="str">
        <f>IF('Calibração Blaine'!$D$6&amp;""="","66PB08",TRIM('Calibração Blaine'!$D$6&amp;""))</f>
        <v>66PB08</v>
      </c>
      <c r="E94" t="s">
        <v>452</v>
      </c>
      <c r="F94" t="s">
        <v>453</v>
      </c>
      <c r="G94">
        <f>IF(ISNUMBER('Calibração Blaine'!$H$6),'Calibração Blaine'!$H$6,"")</f>
        <v>2018</v>
      </c>
      <c r="H94">
        <f>BD_Limites!$E$4</f>
        <v>2030</v>
      </c>
      <c r="I94">
        <f>IF(OR(G94="",H94=""),"",G94-H94)</f>
        <v>-12</v>
      </c>
      <c r="J94">
        <f>BD_Limites!$F$4</f>
        <v>1986</v>
      </c>
      <c r="K94">
        <f>BD_Limites!$G$4</f>
        <v>2074</v>
      </c>
      <c r="M94" t="str">
        <f>IF(G94="","",IF(AND(G94&gt;=J94,G94&lt;=K94),"Conforme","Não conforme"))</f>
        <v>Conforme</v>
      </c>
      <c r="N94" t="str">
        <f>IF('Calibração Blaine'!$N$6&amp;""="","",TRIM('Calibração Blaine'!$N$6&amp;""))</f>
        <v>AKEL</v>
      </c>
      <c r="O94" t="str">
        <f>IF('Calibração Blaine'!$C$6&amp;""="","",TRIM('Calibração Blaine'!$C$6&amp;""))</f>
        <v>C</v>
      </c>
      <c r="P94" t="str">
        <f>IF('Calibração Blaine'!$B$6&amp;""="","",TRIM('Calibração Blaine'!$B$6&amp;""))</f>
        <v>07X19</v>
      </c>
      <c r="Q94" t="s">
        <v>454</v>
      </c>
    </row>
    <row r="95">
      <c r="A95" t="s">
        <v>451</v>
      </c>
      <c r="B95" t="s">
        <v>6</v>
      </c>
      <c r="C95" s="912">
        <f>IF(N('Calibração Blaine'!$A$7)&gt;0,'Calibração Blaine'!$A$7,"")</f>
        <v>46266</v>
      </c>
      <c r="D95" t="str">
        <f>IF('Calibração Blaine'!$D$7&amp;""="","66PB08",TRIM('Calibração Blaine'!$D$7&amp;""))</f>
        <v>66PB08</v>
      </c>
      <c r="E95" t="s">
        <v>452</v>
      </c>
      <c r="F95" t="s">
        <v>453</v>
      </c>
      <c r="G95">
        <f>IF(ISNUMBER('Calibração Blaine'!$H$7),'Calibração Blaine'!$H$7,"")</f>
        <v>2022</v>
      </c>
      <c r="H95">
        <f>BD_Limites!$E$4</f>
        <v>2030</v>
      </c>
      <c r="I95">
        <f>IF(OR(G95="",H95=""),"",G95-H95)</f>
        <v>-8</v>
      </c>
      <c r="J95">
        <f>BD_Limites!$F$4</f>
        <v>1986</v>
      </c>
      <c r="K95">
        <f>BD_Limites!$G$4</f>
        <v>2074</v>
      </c>
      <c r="M95" t="str">
        <f>IF(G95="","",IF(AND(G95&gt;=J95,G95&lt;=K95),"Conforme","Não conforme"))</f>
        <v>Conforme</v>
      </c>
      <c r="N95" t="str">
        <f>IF('Calibração Blaine'!$N$7&amp;""="","",TRIM('Calibração Blaine'!$N$7&amp;""))</f>
        <v>ALESANDRO</v>
      </c>
      <c r="O95" t="str">
        <f>IF('Calibração Blaine'!$C$7&amp;""="","",TRIM('Calibração Blaine'!$C$7&amp;""))</f>
        <v>A</v>
      </c>
      <c r="P95" t="str">
        <f>IF('Calibração Blaine'!$B$7&amp;""="","",TRIM('Calibração Blaine'!$B$7&amp;""))</f>
        <v>19x07</v>
      </c>
      <c r="Q95" t="s">
        <v>455</v>
      </c>
    </row>
    <row r="96">
      <c r="A96" t="s">
        <v>451</v>
      </c>
      <c r="B96" t="s">
        <v>6</v>
      </c>
      <c r="C96" s="912">
        <f>IF(N('Calibração Blaine'!$A$8)&gt;0,'Calibração Blaine'!$A$8,"")</f>
        <v>46267</v>
      </c>
      <c r="D96" t="str">
        <f>IF('Calibração Blaine'!$D$8&amp;""="","66PB08",TRIM('Calibração Blaine'!$D$8&amp;""))</f>
        <v>66PB08</v>
      </c>
      <c r="E96" t="s">
        <v>452</v>
      </c>
      <c r="F96" t="s">
        <v>453</v>
      </c>
      <c r="G96">
        <f>IF(ISNUMBER('Calibração Blaine'!$H$8),'Calibração Blaine'!$H$8,"")</f>
        <v>2022</v>
      </c>
      <c r="H96">
        <f>BD_Limites!$E$4</f>
        <v>2030</v>
      </c>
      <c r="I96">
        <f>IF(OR(G96="",H96=""),"",G96-H96)</f>
        <v>-8</v>
      </c>
      <c r="J96">
        <f>BD_Limites!$F$4</f>
        <v>1986</v>
      </c>
      <c r="K96">
        <f>BD_Limites!$G$4</f>
        <v>2074</v>
      </c>
      <c r="M96" t="str">
        <f>IF(G96="","",IF(AND(G96&gt;=J96,G96&lt;=K96),"Conforme","Não conforme"))</f>
        <v>Conforme</v>
      </c>
      <c r="N96" t="str">
        <f>IF('Calibração Blaine'!$N$8&amp;""="","",TRIM('Calibração Blaine'!$N$8&amp;""))</f>
        <v>EBERT</v>
      </c>
      <c r="O96" t="str">
        <f>IF('Calibração Blaine'!$C$8&amp;""="","",TRIM('Calibração Blaine'!$C$8&amp;""))</f>
        <v>D</v>
      </c>
      <c r="P96" t="str">
        <f>IF('Calibração Blaine'!$B$8&amp;""="","",TRIM('Calibração Blaine'!$B$8&amp;""))</f>
        <v>07x19</v>
      </c>
      <c r="Q96" t="s">
        <v>456</v>
      </c>
    </row>
    <row r="97">
      <c r="A97" t="s">
        <v>451</v>
      </c>
      <c r="B97" t="s">
        <v>6</v>
      </c>
      <c r="C97" s="912">
        <f>IF(N('Calibração Blaine'!$A$9)&gt;0,'Calibração Blaine'!$A$9,"")</f>
        <v>46267</v>
      </c>
      <c r="D97" t="str">
        <f>IF('Calibração Blaine'!$D$9&amp;""="","66PB08",TRIM('Calibração Blaine'!$D$9&amp;""))</f>
        <v>66PB08</v>
      </c>
      <c r="E97" t="s">
        <v>452</v>
      </c>
      <c r="F97" t="s">
        <v>453</v>
      </c>
      <c r="G97">
        <f>IF(ISNUMBER('Calibração Blaine'!$H$9),'Calibração Blaine'!$H$9,"")</f>
        <v>2023</v>
      </c>
      <c r="H97">
        <f>BD_Limites!$E$4</f>
        <v>2030</v>
      </c>
      <c r="I97">
        <f>IF(OR(G97="",H97=""),"",G97-H97)</f>
        <v>-7</v>
      </c>
      <c r="J97">
        <f>BD_Limites!$F$4</f>
        <v>1986</v>
      </c>
      <c r="K97">
        <f>BD_Limites!$G$4</f>
        <v>2074</v>
      </c>
      <c r="M97" t="str">
        <f>IF(G97="","",IF(AND(G97&gt;=J97,G97&lt;=K97),"Conforme","Não conforme"))</f>
        <v>Conforme</v>
      </c>
      <c r="N97" t="str">
        <f>IF('Calibração Blaine'!$N$9&amp;""="","",TRIM('Calibração Blaine'!$N$9&amp;""))</f>
        <v>TAÍS</v>
      </c>
      <c r="O97" t="str">
        <f>IF('Calibração Blaine'!$C$9&amp;""="","",TRIM('Calibração Blaine'!$C$9&amp;""))</f>
        <v>A</v>
      </c>
      <c r="P97" t="str">
        <f>IF('Calibração Blaine'!$B$9&amp;""="","",TRIM('Calibração Blaine'!$B$9&amp;""))</f>
        <v>19x07</v>
      </c>
      <c r="Q97" t="s">
        <v>457</v>
      </c>
    </row>
    <row r="98">
      <c r="A98" t="s">
        <v>451</v>
      </c>
      <c r="B98" t="s">
        <v>6</v>
      </c>
      <c r="C98" s="912">
        <f>IF(N('Calibração Blaine'!$A$10)&gt;0,'Calibração Blaine'!$A$10,"")</f>
        <v>46268</v>
      </c>
      <c r="D98" t="str">
        <f>IF('Calibração Blaine'!$D$10&amp;""="","66PB08",TRIM('Calibração Blaine'!$D$10&amp;""))</f>
        <v>66PB08</v>
      </c>
      <c r="E98" t="s">
        <v>452</v>
      </c>
      <c r="F98" t="s">
        <v>453</v>
      </c>
      <c r="G98">
        <f>IF(ISNUMBER('Calibração Blaine'!$H$10),'Calibração Blaine'!$H$10,"")</f>
        <v>2020</v>
      </c>
      <c r="H98">
        <f>BD_Limites!$E$4</f>
        <v>2030</v>
      </c>
      <c r="I98">
        <f>IF(OR(G98="",H98=""),"",G98-H98)</f>
        <v>-10</v>
      </c>
      <c r="J98">
        <f>BD_Limites!$F$4</f>
        <v>1986</v>
      </c>
      <c r="K98">
        <f>BD_Limites!$G$4</f>
        <v>2074</v>
      </c>
      <c r="M98" t="str">
        <f>IF(G98="","",IF(AND(G98&gt;=J98,G98&lt;=K98),"Conforme","Não conforme"))</f>
        <v>Conforme</v>
      </c>
      <c r="N98" t="str">
        <f>IF('Calibração Blaine'!$N$10&amp;""="","",TRIM('Calibração Blaine'!$N$10&amp;""))</f>
        <v>ZAINE</v>
      </c>
      <c r="O98" t="str">
        <f>IF('Calibração Blaine'!$C$10&amp;""="","",TRIM('Calibração Blaine'!$C$10&amp;""))</f>
        <v>C</v>
      </c>
      <c r="P98" t="str">
        <f>IF('Calibração Blaine'!$B$10&amp;""="","",TRIM('Calibração Blaine'!$B$10&amp;""))</f>
        <v>07x19</v>
      </c>
      <c r="Q98" t="s">
        <v>458</v>
      </c>
    </row>
    <row r="99">
      <c r="A99" t="s">
        <v>451</v>
      </c>
      <c r="B99" t="s">
        <v>6</v>
      </c>
      <c r="C99" s="912">
        <f>IF(N('Calibração Blaine'!$A$11)&gt;0,'Calibração Blaine'!$A$11,"")</f>
        <v>46268</v>
      </c>
      <c r="D99" t="str">
        <f>IF('Calibração Blaine'!$D$11&amp;""="","66PB08",TRIM('Calibração Blaine'!$D$11&amp;""))</f>
        <v>66PB08</v>
      </c>
      <c r="E99" t="s">
        <v>452</v>
      </c>
      <c r="F99" t="s">
        <v>453</v>
      </c>
      <c r="G99">
        <f>IF(ISNUMBER('Calibração Blaine'!$H$11),'Calibração Blaine'!$H$11,"")</f>
        <v>2011</v>
      </c>
      <c r="H99">
        <f>BD_Limites!$E$4</f>
        <v>2030</v>
      </c>
      <c r="I99">
        <f>IF(OR(G99="",H99=""),"",G99-H99)</f>
        <v>-19</v>
      </c>
      <c r="J99">
        <f>BD_Limites!$F$4</f>
        <v>1986</v>
      </c>
      <c r="K99">
        <f>BD_Limites!$G$4</f>
        <v>2074</v>
      </c>
      <c r="M99" t="str">
        <f>IF(G99="","",IF(AND(G99&gt;=J99,G99&lt;=K99),"Conforme","Não conforme"))</f>
        <v>Conforme</v>
      </c>
      <c r="N99" t="str">
        <f>IF('Calibração Blaine'!$N$11&amp;""="","",TRIM('Calibração Blaine'!$N$11&amp;""))</f>
        <v>LUIS FELIPE</v>
      </c>
      <c r="O99" t="str">
        <f>IF('Calibração Blaine'!$C$11&amp;""="","",TRIM('Calibração Blaine'!$C$11&amp;""))</f>
        <v>D</v>
      </c>
      <c r="P99" t="str">
        <f>IF('Calibração Blaine'!$B$11&amp;""="","",TRIM('Calibração Blaine'!$B$11&amp;""))</f>
        <v>19x07</v>
      </c>
      <c r="Q99" t="s">
        <v>459</v>
      </c>
    </row>
    <row r="100">
      <c r="A100" t="s">
        <v>451</v>
      </c>
      <c r="B100" t="s">
        <v>6</v>
      </c>
      <c r="C100" s="912">
        <f>IF(N('Calibração Blaine'!$A$12)&gt;0,'Calibração Blaine'!$A$12,"")</f>
        <v>46269</v>
      </c>
      <c r="D100" t="str">
        <f>IF('Calibração Blaine'!$D$12&amp;""="","66PB08",TRIM('Calibração Blaine'!$D$12&amp;""))</f>
        <v>66PB08</v>
      </c>
      <c r="E100" t="s">
        <v>452</v>
      </c>
      <c r="F100" t="s">
        <v>453</v>
      </c>
      <c r="G100">
        <f>IF(ISNUMBER('Calibração Blaine'!$H$12),'Calibração Blaine'!$H$12,"")</f>
        <v>2016</v>
      </c>
      <c r="H100">
        <f>BD_Limites!$E$4</f>
        <v>2030</v>
      </c>
      <c r="I100">
        <f>IF(OR(G100="",H100=""),"",G100-H100)</f>
        <v>-14</v>
      </c>
      <c r="J100">
        <f>BD_Limites!$F$4</f>
        <v>1986</v>
      </c>
      <c r="K100">
        <f>BD_Limites!$G$4</f>
        <v>2074</v>
      </c>
      <c r="M100" t="str">
        <f>IF(G100="","",IF(AND(G100&gt;=J100,G100&lt;=K100),"Conforme","Não conforme"))</f>
        <v>Conforme</v>
      </c>
      <c r="N100" t="str">
        <f>IF('Calibração Blaine'!$N$12&amp;""="","",TRIM('Calibração Blaine'!$N$12&amp;""))</f>
        <v>RENATO</v>
      </c>
      <c r="O100" t="str">
        <f>IF('Calibração Blaine'!$C$12&amp;""="","",TRIM('Calibração Blaine'!$C$12&amp;""))</f>
        <v>A</v>
      </c>
      <c r="P100" t="str">
        <f>IF('Calibração Blaine'!$B$12&amp;""="","",TRIM('Calibração Blaine'!$B$12&amp;""))</f>
        <v>07X19</v>
      </c>
      <c r="Q100" t="s">
        <v>460</v>
      </c>
    </row>
    <row r="101">
      <c r="A101" t="s">
        <v>451</v>
      </c>
      <c r="B101" t="s">
        <v>6</v>
      </c>
      <c r="C101" s="912">
        <f>IF(N('Calibração Blaine'!$A$13)&gt;0,'Calibração Blaine'!$A$13,"")</f>
        <v>46269</v>
      </c>
      <c r="D101" t="str">
        <f>IF('Calibração Blaine'!$D$13&amp;""="","66PB08",TRIM('Calibração Blaine'!$D$13&amp;""))</f>
        <v>66PB08</v>
      </c>
      <c r="E101" t="s">
        <v>452</v>
      </c>
      <c r="F101" t="s">
        <v>453</v>
      </c>
      <c r="G101">
        <f>IF(ISNUMBER('Calibração Blaine'!$H$13),'Calibração Blaine'!$H$13,"")</f>
        <v>2022</v>
      </c>
      <c r="H101">
        <f>BD_Limites!$E$4</f>
        <v>2030</v>
      </c>
      <c r="I101">
        <f>IF(OR(G101="",H101=""),"",G101-H101)</f>
        <v>-8</v>
      </c>
      <c r="J101">
        <f>BD_Limites!$F$4</f>
        <v>1986</v>
      </c>
      <c r="K101">
        <f>BD_Limites!$G$4</f>
        <v>2074</v>
      </c>
      <c r="M101" t="str">
        <f>IF(G101="","",IF(AND(G101&gt;=J101,G101&lt;=K101),"Conforme","Não conforme"))</f>
        <v>Conforme</v>
      </c>
      <c r="N101" t="str">
        <f>IF('Calibração Blaine'!$N$13&amp;""="","",TRIM('Calibração Blaine'!$N$13&amp;""))</f>
        <v>FELIPE</v>
      </c>
      <c r="O101" t="str">
        <f>IF('Calibração Blaine'!$C$13&amp;""="","",TRIM('Calibração Blaine'!$C$13&amp;""))</f>
        <v>B</v>
      </c>
      <c r="P101" t="str">
        <f>IF('Calibração Blaine'!$B$13&amp;""="","",TRIM('Calibração Blaine'!$B$13&amp;""))</f>
        <v>19x07</v>
      </c>
      <c r="Q101" t="s">
        <v>461</v>
      </c>
    </row>
    <row r="102">
      <c r="A102" t="s">
        <v>451</v>
      </c>
      <c r="B102" t="s">
        <v>6</v>
      </c>
      <c r="C102" s="912">
        <f>IF(N('Calibração Blaine'!$A$14)&gt;0,'Calibração Blaine'!$A$14,"")</f>
        <v>46270</v>
      </c>
      <c r="D102" t="str">
        <f>IF('Calibração Blaine'!$D$14&amp;""="","66PB08",TRIM('Calibração Blaine'!$D$14&amp;""))</f>
        <v>66PB08</v>
      </c>
      <c r="E102" t="s">
        <v>452</v>
      </c>
      <c r="F102" t="s">
        <v>453</v>
      </c>
      <c r="G102">
        <f>IF(ISNUMBER('Calibração Blaine'!$H$14),'Calibração Blaine'!$H$14,"")</f>
        <v>2014</v>
      </c>
      <c r="H102">
        <f>BD_Limites!$E$4</f>
        <v>2030</v>
      </c>
      <c r="I102">
        <f>IF(OR(G102="",H102=""),"",G102-H102)</f>
        <v>-16</v>
      </c>
      <c r="J102">
        <f>BD_Limites!$F$4</f>
        <v>1986</v>
      </c>
      <c r="K102">
        <f>BD_Limites!$G$4</f>
        <v>2074</v>
      </c>
      <c r="M102" t="str">
        <f>IF(G102="","",IF(AND(G102&gt;=J102,G102&lt;=K102),"Conforme","Não conforme"))</f>
        <v>Conforme</v>
      </c>
      <c r="N102" t="str">
        <f>IF('Calibração Blaine'!$N$14&amp;""="","",TRIM('Calibração Blaine'!$N$14&amp;""))</f>
        <v>ALESANDRO</v>
      </c>
      <c r="O102" t="str">
        <f>IF('Calibração Blaine'!$C$14&amp;""="","",TRIM('Calibração Blaine'!$C$14&amp;""))</f>
        <v>A</v>
      </c>
      <c r="P102" t="str">
        <f>IF('Calibração Blaine'!$B$14&amp;""="","",TRIM('Calibração Blaine'!$B$14&amp;""))</f>
        <v>07x19</v>
      </c>
      <c r="Q102" t="s">
        <v>462</v>
      </c>
    </row>
    <row r="103">
      <c r="A103" t="s">
        <v>451</v>
      </c>
      <c r="B103" t="s">
        <v>6</v>
      </c>
      <c r="C103" s="912">
        <f>IF(N('Calibração Blaine'!$A$15)&gt;0,'Calibração Blaine'!$A$15,"")</f>
        <v>46270</v>
      </c>
      <c r="D103" t="str">
        <f>IF('Calibração Blaine'!$D$15&amp;""="","66PB08",TRIM('Calibração Blaine'!$D$15&amp;""))</f>
        <v>66PB08</v>
      </c>
      <c r="E103" t="s">
        <v>452</v>
      </c>
      <c r="F103" t="s">
        <v>453</v>
      </c>
      <c r="G103">
        <f>IF(ISNUMBER('Calibração Blaine'!$H$15),'Calibração Blaine'!$H$15,"")</f>
        <v>2002</v>
      </c>
      <c r="H103">
        <f>BD_Limites!$E$4</f>
        <v>2030</v>
      </c>
      <c r="I103">
        <f>IF(OR(G103="",H103=""),"",G103-H103)</f>
        <v>-28</v>
      </c>
      <c r="J103">
        <f>BD_Limites!$F$4</f>
        <v>1986</v>
      </c>
      <c r="K103">
        <f>BD_Limites!$G$4</f>
        <v>2074</v>
      </c>
      <c r="M103" t="str">
        <f>IF(G103="","",IF(AND(G103&gt;=J103,G103&lt;=K103),"Conforme","Não conforme"))</f>
        <v>Conforme</v>
      </c>
      <c r="N103" t="str">
        <f>IF('Calibração Blaine'!$N$15&amp;""="","",TRIM('Calibração Blaine'!$N$15&amp;""))</f>
        <v>LUIS FELIPE</v>
      </c>
      <c r="O103" t="str">
        <f>IF('Calibração Blaine'!$C$15&amp;""="","",TRIM('Calibração Blaine'!$C$15&amp;""))</f>
        <v>D</v>
      </c>
      <c r="P103" t="str">
        <f>IF('Calibração Blaine'!$B$15&amp;""="","",TRIM('Calibração Blaine'!$B$15&amp;""))</f>
        <v>19x07</v>
      </c>
      <c r="Q103" t="s">
        <v>463</v>
      </c>
    </row>
    <row r="104">
      <c r="A104" t="s">
        <v>451</v>
      </c>
      <c r="B104" t="s">
        <v>6</v>
      </c>
      <c r="C104" s="912">
        <f>IF(N('Calibração Blaine'!$A$16)&gt;0,'Calibração Blaine'!$A$16,"")</f>
        <v>46271</v>
      </c>
      <c r="D104" t="str">
        <f>IF('Calibração Blaine'!$D$16&amp;""="","66PB08",TRIM('Calibração Blaine'!$D$16&amp;""))</f>
        <v>66PB08</v>
      </c>
      <c r="E104" t="s">
        <v>452</v>
      </c>
      <c r="F104" t="s">
        <v>453</v>
      </c>
      <c r="G104">
        <f>IF(ISNUMBER('Calibração Blaine'!$H$16),'Calibração Blaine'!$H$16,"")</f>
        <v>2013</v>
      </c>
      <c r="H104">
        <f>BD_Limites!$E$4</f>
        <v>2030</v>
      </c>
      <c r="I104">
        <f>IF(OR(G104="",H104=""),"",G104-H104)</f>
        <v>-17</v>
      </c>
      <c r="J104">
        <f>BD_Limites!$F$4</f>
        <v>1986</v>
      </c>
      <c r="K104">
        <f>BD_Limites!$G$4</f>
        <v>2074</v>
      </c>
      <c r="M104" t="str">
        <f>IF(G104="","",IF(AND(G104&gt;=J104,G104&lt;=K104),"Conforme","Não conforme"))</f>
        <v>Conforme</v>
      </c>
      <c r="N104" t="str">
        <f>IF('Calibração Blaine'!$N$16&amp;""="","",TRIM('Calibração Blaine'!$N$16&amp;""))</f>
        <v>RENATO</v>
      </c>
      <c r="O104" t="str">
        <f>IF('Calibração Blaine'!$C$16&amp;""="","",TRIM('Calibração Blaine'!$C$16&amp;""))</f>
        <v>A</v>
      </c>
      <c r="P104" t="str">
        <f>IF('Calibração Blaine'!$B$16&amp;""="","",TRIM('Calibração Blaine'!$B$16&amp;""))</f>
        <v>07x19</v>
      </c>
      <c r="Q104" t="s">
        <v>464</v>
      </c>
    </row>
    <row r="105">
      <c r="A105" t="s">
        <v>451</v>
      </c>
      <c r="B105" t="s">
        <v>6</v>
      </c>
      <c r="C105" s="912">
        <f>IF(N('Calibração Blaine'!$A$17)&gt;0,'Calibração Blaine'!$A$17,"")</f>
        <v>46271</v>
      </c>
      <c r="D105" t="str">
        <f>IF('Calibração Blaine'!$D$17&amp;""="","66PB08",TRIM('Calibração Blaine'!$D$17&amp;""))</f>
        <v>66PB08</v>
      </c>
      <c r="E105" t="s">
        <v>452</v>
      </c>
      <c r="F105" t="s">
        <v>453</v>
      </c>
      <c r="G105">
        <f>IF(ISNUMBER('Calibração Blaine'!$H$17),'Calibração Blaine'!$H$17,"")</f>
        <v>2022</v>
      </c>
      <c r="H105">
        <f>BD_Limites!$E$4</f>
        <v>2030</v>
      </c>
      <c r="I105">
        <f>IF(OR(G105="",H105=""),"",G105-H105)</f>
        <v>-8</v>
      </c>
      <c r="J105">
        <f>BD_Limites!$F$4</f>
        <v>1986</v>
      </c>
      <c r="K105">
        <f>BD_Limites!$G$4</f>
        <v>2074</v>
      </c>
      <c r="M105" t="str">
        <f>IF(G105="","",IF(AND(G105&gt;=J105,G105&lt;=K105),"Conforme","Não conforme"))</f>
        <v>Conforme</v>
      </c>
      <c r="N105" t="str">
        <f>IF('Calibração Blaine'!$N$17&amp;""="","",TRIM('Calibração Blaine'!$N$17&amp;""))</f>
        <v>FELIPE</v>
      </c>
      <c r="O105" t="str">
        <f>IF('Calibração Blaine'!$C$17&amp;""="","",TRIM('Calibração Blaine'!$C$17&amp;""))</f>
        <v>B</v>
      </c>
      <c r="P105" t="str">
        <f>IF('Calibração Blaine'!$B$17&amp;""="","",TRIM('Calibração Blaine'!$B$17&amp;""))</f>
        <v>19x07</v>
      </c>
      <c r="Q105" t="s">
        <v>465</v>
      </c>
    </row>
    <row r="106">
      <c r="A106" t="s">
        <v>451</v>
      </c>
      <c r="B106" t="s">
        <v>6</v>
      </c>
      <c r="C106" s="912">
        <f>IF(N('Calibração Blaine'!$A$18)&gt;0,'Calibração Blaine'!$A$18,"")</f>
        <v>46272</v>
      </c>
      <c r="D106" t="str">
        <f>IF('Calibração Blaine'!$D$18&amp;""="","66PB08",TRIM('Calibração Blaine'!$D$18&amp;""))</f>
        <v>66PB08</v>
      </c>
      <c r="E106" t="s">
        <v>452</v>
      </c>
      <c r="F106" t="s">
        <v>453</v>
      </c>
      <c r="G106">
        <f>IF(ISNUMBER('Calibração Blaine'!$H$18),'Calibração Blaine'!$H$18,"")</f>
        <v>2014</v>
      </c>
      <c r="H106">
        <f>BD_Limites!$E$4</f>
        <v>2030</v>
      </c>
      <c r="I106">
        <f>IF(OR(G106="",H106=""),"",G106-H106)</f>
        <v>-16</v>
      </c>
      <c r="J106">
        <f>BD_Limites!$F$4</f>
        <v>1986</v>
      </c>
      <c r="K106">
        <f>BD_Limites!$G$4</f>
        <v>2074</v>
      </c>
      <c r="M106" t="str">
        <f>IF(G106="","",IF(AND(G106&gt;=J106,G106&lt;=K106),"Conforme","Não conforme"))</f>
        <v>Conforme</v>
      </c>
      <c r="N106" t="str">
        <f>IF('Calibração Blaine'!$N$18&amp;""="","",TRIM('Calibração Blaine'!$N$18&amp;""))</f>
        <v>ALESANDRO</v>
      </c>
      <c r="O106" t="str">
        <f>IF('Calibração Blaine'!$C$18&amp;""="","",TRIM('Calibração Blaine'!$C$18&amp;""))</f>
        <v>A</v>
      </c>
      <c r="P106" t="str">
        <f>IF('Calibração Blaine'!$B$18&amp;""="","",TRIM('Calibração Blaine'!$B$18&amp;""))</f>
        <v>07X19</v>
      </c>
      <c r="Q106" t="s">
        <v>466</v>
      </c>
    </row>
    <row r="107">
      <c r="A107" t="s">
        <v>451</v>
      </c>
      <c r="B107" t="s">
        <v>6</v>
      </c>
      <c r="C107" s="912">
        <f>IF(N('Calibração Blaine'!$A$19)&gt;0,'Calibração Blaine'!$A$19,"")</f>
        <v>46272</v>
      </c>
      <c r="D107" t="str">
        <f>IF('Calibração Blaine'!$D$19&amp;""="","66PB08",TRIM('Calibração Blaine'!$D$19&amp;""))</f>
        <v>66PB08</v>
      </c>
      <c r="E107" t="s">
        <v>452</v>
      </c>
      <c r="F107" t="s">
        <v>453</v>
      </c>
      <c r="G107">
        <f>IF(ISNUMBER('Calibração Blaine'!$H$19),'Calibração Blaine'!$H$19,"")</f>
        <v>2010</v>
      </c>
      <c r="H107">
        <f>BD_Limites!$E$4</f>
        <v>2030</v>
      </c>
      <c r="I107">
        <f>IF(OR(G107="",H107=""),"",G107-H107)</f>
        <v>-20</v>
      </c>
      <c r="J107">
        <f>BD_Limites!$F$4</f>
        <v>1986</v>
      </c>
      <c r="K107">
        <f>BD_Limites!$G$4</f>
        <v>2074</v>
      </c>
      <c r="M107" t="str">
        <f>IF(G107="","",IF(AND(G107&gt;=J107,G107&lt;=K107),"Conforme","Não conforme"))</f>
        <v>Conforme</v>
      </c>
      <c r="N107" t="str">
        <f>IF('Calibração Blaine'!$N$19&amp;""="","",TRIM('Calibração Blaine'!$N$19&amp;""))</f>
        <v>WESLEY</v>
      </c>
      <c r="O107" t="str">
        <f>IF('Calibração Blaine'!$C$19&amp;""="","",TRIM('Calibração Blaine'!$C$19&amp;""))</f>
        <v>D</v>
      </c>
      <c r="P107" t="str">
        <f>IF('Calibração Blaine'!$B$19&amp;""="","",TRIM('Calibração Blaine'!$B$19&amp;""))</f>
        <v>19x07</v>
      </c>
      <c r="Q107" t="s">
        <v>467</v>
      </c>
    </row>
    <row r="108">
      <c r="A108" t="s">
        <v>451</v>
      </c>
      <c r="B108" t="s">
        <v>6</v>
      </c>
      <c r="C108" s="912">
        <f>IF(N('Calibração Blaine'!$A$20)&gt;0,'Calibração Blaine'!$A$20,"")</f>
        <v>46273</v>
      </c>
      <c r="D108" t="str">
        <f>IF('Calibração Blaine'!$D$20&amp;""="","66PB08",TRIM('Calibração Blaine'!$D$20&amp;""))</f>
        <v>66PB08</v>
      </c>
      <c r="E108" t="s">
        <v>452</v>
      </c>
      <c r="F108" t="s">
        <v>453</v>
      </c>
      <c r="G108">
        <f>IF(ISNUMBER('Calibração Blaine'!$H$20),'Calibração Blaine'!$H$20,"")</f>
        <v>2005</v>
      </c>
      <c r="H108">
        <f>BD_Limites!$E$4</f>
        <v>2030</v>
      </c>
      <c r="I108">
        <f>IF(OR(G108="",H108=""),"",G108-H108)</f>
        <v>-25</v>
      </c>
      <c r="J108">
        <f>BD_Limites!$F$4</f>
        <v>1986</v>
      </c>
      <c r="K108">
        <f>BD_Limites!$G$4</f>
        <v>2074</v>
      </c>
      <c r="M108" t="str">
        <f>IF(G108="","",IF(AND(G108&gt;=J108,G108&lt;=K108),"Conforme","Não conforme"))</f>
        <v>Conforme</v>
      </c>
      <c r="N108" t="str">
        <f>IF('Calibração Blaine'!$N$20&amp;""="","",TRIM('Calibração Blaine'!$N$20&amp;""))</f>
        <v>ZAINE</v>
      </c>
      <c r="O108" t="str">
        <f>IF('Calibração Blaine'!$C$20&amp;""="","",TRIM('Calibração Blaine'!$C$20&amp;""))</f>
        <v>C</v>
      </c>
      <c r="P108" t="str">
        <f>IF('Calibração Blaine'!$B$20&amp;""="","",TRIM('Calibração Blaine'!$B$20&amp;""))</f>
        <v>07x19</v>
      </c>
      <c r="Q108" t="s">
        <v>468</v>
      </c>
    </row>
    <row r="109">
      <c r="A109" t="s">
        <v>451</v>
      </c>
      <c r="B109" t="s">
        <v>6</v>
      </c>
      <c r="C109" s="912">
        <f>IF(N('Calibração Blaine'!$A$21)&gt;0,'Calibração Blaine'!$A$21,"")</f>
        <v>46273</v>
      </c>
      <c r="D109" t="str">
        <f>IF('Calibração Blaine'!$D$21&amp;""="","66PB08",TRIM('Calibração Blaine'!$D$21&amp;""))</f>
        <v>66PB08</v>
      </c>
      <c r="E109" t="s">
        <v>452</v>
      </c>
      <c r="F109" t="s">
        <v>453</v>
      </c>
      <c r="G109">
        <f>IF(ISNUMBER('Calibração Blaine'!$H$21),'Calibração Blaine'!$H$21,"")</f>
        <v>2019</v>
      </c>
      <c r="H109">
        <f>BD_Limites!$E$4</f>
        <v>2030</v>
      </c>
      <c r="I109">
        <f>IF(OR(G109="",H109=""),"",G109-H109)</f>
        <v>-11</v>
      </c>
      <c r="J109">
        <f>BD_Limites!$F$4</f>
        <v>1986</v>
      </c>
      <c r="K109">
        <f>BD_Limites!$G$4</f>
        <v>2074</v>
      </c>
      <c r="M109" t="str">
        <f>IF(G109="","",IF(AND(G109&gt;=J109,G109&lt;=K109),"Conforme","Não conforme"))</f>
        <v>Conforme</v>
      </c>
      <c r="N109" t="str">
        <f>IF('Calibração Blaine'!$N$21&amp;""="","",TRIM('Calibração Blaine'!$N$21&amp;""))</f>
        <v>RENATO</v>
      </c>
      <c r="O109" t="str">
        <f>IF('Calibração Blaine'!$C$21&amp;""="","",TRIM('Calibração Blaine'!$C$21&amp;""))</f>
        <v>A</v>
      </c>
      <c r="P109" t="str">
        <f>IF('Calibração Blaine'!$B$21&amp;""="","",TRIM('Calibração Blaine'!$B$21&amp;""))</f>
        <v>19x07</v>
      </c>
      <c r="Q109" t="s">
        <v>469</v>
      </c>
    </row>
    <row r="110">
      <c r="A110" t="s">
        <v>451</v>
      </c>
      <c r="B110" t="s">
        <v>6</v>
      </c>
      <c r="C110" s="912">
        <f>IF(N('Calibração Blaine'!$A$22)&gt;0,'Calibração Blaine'!$A$22,"")</f>
        <v>46274</v>
      </c>
      <c r="D110" t="str">
        <f>IF('Calibração Blaine'!$D$22&amp;""="","66PB08",TRIM('Calibração Blaine'!$D$22&amp;""))</f>
        <v>66PB08</v>
      </c>
      <c r="E110" t="s">
        <v>452</v>
      </c>
      <c r="F110" t="s">
        <v>453</v>
      </c>
      <c r="G110">
        <f>IF(ISNUMBER('Calibração Blaine'!$H$22),'Calibração Blaine'!$H$22,"")</f>
        <v>2049</v>
      </c>
      <c r="H110">
        <f>BD_Limites!$E$4</f>
        <v>2030</v>
      </c>
      <c r="I110">
        <f>IF(OR(G110="",H110=""),"",G110-H110)</f>
        <v>19</v>
      </c>
      <c r="J110">
        <f>BD_Limites!$F$4</f>
        <v>1986</v>
      </c>
      <c r="K110">
        <f>BD_Limites!$G$4</f>
        <v>2074</v>
      </c>
      <c r="M110" t="str">
        <f>IF(G110="","",IF(AND(G110&gt;=J110,G110&lt;=K110),"Conforme","Não conforme"))</f>
        <v>Conforme</v>
      </c>
      <c r="N110" t="str">
        <f>IF('Calibração Blaine'!$N$22&amp;""="","",TRIM('Calibração Blaine'!$N$22&amp;""))</f>
        <v>ZAINE</v>
      </c>
      <c r="O110" t="str">
        <f>IF('Calibração Blaine'!$C$22&amp;""="","",TRIM('Calibração Blaine'!$C$22&amp;""))</f>
        <v>C</v>
      </c>
      <c r="P110" t="str">
        <f>IF('Calibração Blaine'!$B$22&amp;""="","",TRIM('Calibração Blaine'!$B$22&amp;""))</f>
        <v>07x19</v>
      </c>
      <c r="Q110" t="s">
        <v>470</v>
      </c>
    </row>
    <row r="111">
      <c r="A111" t="s">
        <v>451</v>
      </c>
      <c r="B111" t="s">
        <v>6</v>
      </c>
      <c r="C111" s="912">
        <f>IF(N('Calibração Blaine'!$A$23)&gt;0,'Calibração Blaine'!$A$23,"")</f>
        <v>46274</v>
      </c>
      <c r="D111" t="str">
        <f>IF('Calibração Blaine'!$D$23&amp;""="","66PB08",TRIM('Calibração Blaine'!$D$23&amp;""))</f>
        <v>66PB08</v>
      </c>
      <c r="E111" t="s">
        <v>452</v>
      </c>
      <c r="F111" t="s">
        <v>453</v>
      </c>
      <c r="G111">
        <f>IF(ISNUMBER('Calibração Blaine'!$H$23),'Calibração Blaine'!$H$23,"")</f>
        <v>2025</v>
      </c>
      <c r="H111">
        <f>BD_Limites!$E$4</f>
        <v>2030</v>
      </c>
      <c r="I111">
        <f>IF(OR(G111="",H111=""),"",G111-H111)</f>
        <v>-5</v>
      </c>
      <c r="J111">
        <f>BD_Limites!$F$4</f>
        <v>1986</v>
      </c>
      <c r="K111">
        <f>BD_Limites!$G$4</f>
        <v>2074</v>
      </c>
      <c r="M111" t="str">
        <f>IF(G111="","",IF(AND(G111&gt;=J111,G111&lt;=K111),"Conforme","Não conforme"))</f>
        <v>Conforme</v>
      </c>
      <c r="N111" t="str">
        <f>IF('Calibração Blaine'!$N$23&amp;""="","",TRIM('Calibração Blaine'!$N$23&amp;""))</f>
        <v>ALESANDRO</v>
      </c>
      <c r="O111" t="str">
        <f>IF('Calibração Blaine'!$C$23&amp;""="","",TRIM('Calibração Blaine'!$C$23&amp;""))</f>
        <v>A</v>
      </c>
      <c r="P111" t="str">
        <f>IF('Calibração Blaine'!$B$23&amp;""="","",TRIM('Calibração Blaine'!$B$23&amp;""))</f>
        <v>19x07</v>
      </c>
      <c r="Q111" t="s">
        <v>471</v>
      </c>
    </row>
    <row r="112">
      <c r="A112" t="s">
        <v>451</v>
      </c>
      <c r="B112" t="s">
        <v>6</v>
      </c>
      <c r="C112" s="912">
        <f>IF(N('Calibração Blaine'!$A$24)&gt;0,'Calibração Blaine'!$A$24,"")</f>
        <v>46275</v>
      </c>
      <c r="D112" t="str">
        <f>IF('Calibração Blaine'!$D$24&amp;""="","66PB08",TRIM('Calibração Blaine'!$D$24&amp;""))</f>
        <v>66PB08</v>
      </c>
      <c r="E112" t="s">
        <v>452</v>
      </c>
      <c r="F112" t="s">
        <v>453</v>
      </c>
      <c r="G112">
        <f>IF(ISNUMBER('Calibração Blaine'!$H$24),'Calibração Blaine'!$H$24,"")</f>
        <v>2033</v>
      </c>
      <c r="H112">
        <f>BD_Limites!$E$4</f>
        <v>2030</v>
      </c>
      <c r="I112">
        <f>IF(OR(G112="",H112=""),"",G112-H112)</f>
        <v>3</v>
      </c>
      <c r="J112">
        <f>BD_Limites!$F$4</f>
        <v>1986</v>
      </c>
      <c r="K112">
        <f>BD_Limites!$G$4</f>
        <v>2074</v>
      </c>
      <c r="M112" t="str">
        <f>IF(G112="","",IF(AND(G112&gt;=J112,G112&lt;=K112),"Conforme","Não conforme"))</f>
        <v>Conforme</v>
      </c>
      <c r="N112" t="str">
        <f>IF('Calibração Blaine'!$N$24&amp;""="","",TRIM('Calibração Blaine'!$N$24&amp;""))</f>
        <v>EBERT</v>
      </c>
      <c r="O112" t="str">
        <f>IF('Calibração Blaine'!$C$24&amp;""="","",TRIM('Calibração Blaine'!$C$24&amp;""))</f>
        <v>D</v>
      </c>
      <c r="P112" t="str">
        <f>IF('Calibração Blaine'!$B$24&amp;""="","",TRIM('Calibração Blaine'!$B$24&amp;""))</f>
        <v>07X19</v>
      </c>
      <c r="Q112" t="s">
        <v>472</v>
      </c>
    </row>
    <row r="113">
      <c r="A113" t="s">
        <v>451</v>
      </c>
      <c r="B113" t="s">
        <v>6</v>
      </c>
      <c r="C113" s="912">
        <f>IF(N('Calibração Blaine'!$A$25)&gt;0,'Calibração Blaine'!$A$25,"")</f>
        <v>46275</v>
      </c>
      <c r="D113" t="str">
        <f>IF('Calibração Blaine'!$D$25&amp;""="","66PB08",TRIM('Calibração Blaine'!$D$25&amp;""))</f>
        <v>66PB08</v>
      </c>
      <c r="E113" t="s">
        <v>452</v>
      </c>
      <c r="F113" t="s">
        <v>453</v>
      </c>
      <c r="G113">
        <f>IF(ISNUMBER('Calibração Blaine'!$H$25),'Calibração Blaine'!$H$25,"")</f>
        <v>2047</v>
      </c>
      <c r="H113">
        <f>BD_Limites!$E$4</f>
        <v>2030</v>
      </c>
      <c r="I113">
        <f>IF(OR(G113="",H113=""),"",G113-H113)</f>
        <v>17</v>
      </c>
      <c r="J113">
        <f>BD_Limites!$F$4</f>
        <v>1986</v>
      </c>
      <c r="K113">
        <f>BD_Limites!$G$4</f>
        <v>2074</v>
      </c>
      <c r="M113" t="str">
        <f>IF(G113="","",IF(AND(G113&gt;=J113,G113&lt;=K113),"Conforme","Não conforme"))</f>
        <v>Conforme</v>
      </c>
      <c r="N113" t="str">
        <f>IF('Calibração Blaine'!$N$25&amp;""="","",TRIM('Calibração Blaine'!$N$25&amp;""))</f>
        <v>JAC</v>
      </c>
      <c r="O113" t="str">
        <f>IF('Calibração Blaine'!$C$25&amp;""="","",TRIM('Calibração Blaine'!$C$25&amp;""))</f>
        <v>C</v>
      </c>
      <c r="P113" t="str">
        <f>IF('Calibração Blaine'!$B$25&amp;""="","",TRIM('Calibração Blaine'!$B$25&amp;""))</f>
        <v>19x07</v>
      </c>
      <c r="Q113" t="s">
        <v>473</v>
      </c>
    </row>
    <row r="114">
      <c r="A114" t="s">
        <v>451</v>
      </c>
      <c r="B114" t="s">
        <v>6</v>
      </c>
      <c r="C114" s="912">
        <f>IF(N('Calibração Blaine'!$A$26)&gt;0,'Calibração Blaine'!$A$26,"")</f>
        <v>46276</v>
      </c>
      <c r="D114" t="str">
        <f>IF('Calibração Blaine'!$D$26&amp;""="","66PB08",TRIM('Calibração Blaine'!$D$26&amp;""))</f>
        <v>66PB08</v>
      </c>
      <c r="E114" t="s">
        <v>452</v>
      </c>
      <c r="F114" t="s">
        <v>453</v>
      </c>
      <c r="G114">
        <f>IF(ISNUMBER('Calibração Blaine'!$H$26),'Calibração Blaine'!$H$26,"")</f>
        <v>2036</v>
      </c>
      <c r="H114">
        <f>BD_Limites!$E$4</f>
        <v>2030</v>
      </c>
      <c r="I114">
        <f>IF(OR(G114="",H114=""),"",G114-H114)</f>
        <v>6</v>
      </c>
      <c r="J114">
        <f>BD_Limites!$F$4</f>
        <v>1986</v>
      </c>
      <c r="K114">
        <f>BD_Limites!$G$4</f>
        <v>2074</v>
      </c>
      <c r="M114" t="str">
        <f>IF(G114="","",IF(AND(G114&gt;=J114,G114&lt;=K114),"Conforme","Não conforme"))</f>
        <v>Conforme</v>
      </c>
      <c r="N114" t="str">
        <f>IF('Calibração Blaine'!$N$26&amp;""="","",TRIM('Calibração Blaine'!$N$26&amp;""))</f>
        <v>EBERT</v>
      </c>
      <c r="O114" t="str">
        <f>IF('Calibração Blaine'!$C$26&amp;""="","",TRIM('Calibração Blaine'!$C$26&amp;""))</f>
        <v>D</v>
      </c>
      <c r="P114" t="str">
        <f>IF('Calibração Blaine'!$B$26&amp;""="","",TRIM('Calibração Blaine'!$B$26&amp;""))</f>
        <v>07x19</v>
      </c>
      <c r="Q114" t="s">
        <v>474</v>
      </c>
    </row>
    <row r="115">
      <c r="A115" t="s">
        <v>451</v>
      </c>
      <c r="B115" t="s">
        <v>6</v>
      </c>
      <c r="C115" s="912">
        <f>IF(N('Calibração Blaine'!$A$27)&gt;0,'Calibração Blaine'!$A$27,"")</f>
        <v>46276</v>
      </c>
      <c r="D115" t="str">
        <f>IF('Calibração Blaine'!$D$27&amp;""="","66PB08",TRIM('Calibração Blaine'!$D$27&amp;""))</f>
        <v>66PB08</v>
      </c>
      <c r="E115" t="s">
        <v>452</v>
      </c>
      <c r="F115" t="s">
        <v>453</v>
      </c>
      <c r="G115">
        <f>IF(ISNUMBER('Calibração Blaine'!$H$27),'Calibração Blaine'!$H$27,"")</f>
        <v>2033</v>
      </c>
      <c r="H115">
        <f>BD_Limites!$E$4</f>
        <v>2030</v>
      </c>
      <c r="I115">
        <f>IF(OR(G115="",H115=""),"",G115-H115)</f>
        <v>3</v>
      </c>
      <c r="J115">
        <f>BD_Limites!$F$4</f>
        <v>1986</v>
      </c>
      <c r="K115">
        <f>BD_Limites!$G$4</f>
        <v>2074</v>
      </c>
      <c r="M115" t="str">
        <f>IF(G115="","",IF(AND(G115&gt;=J115,G115&lt;=K115),"Conforme","Não conforme"))</f>
        <v>Conforme</v>
      </c>
      <c r="N115" t="str">
        <f>IF('Calibração Blaine'!$N$27&amp;""="","",TRIM('Calibração Blaine'!$N$27&amp;""))</f>
        <v>ZAINE</v>
      </c>
      <c r="O115" t="str">
        <f>IF('Calibração Blaine'!$C$27&amp;""="","",TRIM('Calibração Blaine'!$C$27&amp;""))</f>
        <v>C</v>
      </c>
      <c r="P115" t="str">
        <f>IF('Calibração Blaine'!$B$27&amp;""="","",TRIM('Calibração Blaine'!$B$27&amp;""))</f>
        <v>19x07</v>
      </c>
      <c r="Q115" t="s">
        <v>475</v>
      </c>
    </row>
    <row r="116">
      <c r="A116" t="s">
        <v>451</v>
      </c>
      <c r="B116" t="s">
        <v>6</v>
      </c>
      <c r="C116" s="912">
        <f>IF(N('Calibração Blaine'!$A$28)&gt;0,'Calibração Blaine'!$A$28,"")</f>
        <v>46277</v>
      </c>
      <c r="D116" t="str">
        <f>IF('Calibração Blaine'!$D$28&amp;""="","66PB08",TRIM('Calibração Blaine'!$D$28&amp;""))</f>
        <v>66PB08</v>
      </c>
      <c r="E116" t="s">
        <v>452</v>
      </c>
      <c r="F116" t="s">
        <v>453</v>
      </c>
      <c r="G116">
        <f>IF(ISNUMBER('Calibração Blaine'!$H$28),'Calibração Blaine'!$H$28,"")</f>
        <v>2016</v>
      </c>
      <c r="H116">
        <f>BD_Limites!$E$4</f>
        <v>2030</v>
      </c>
      <c r="I116">
        <f>IF(OR(G116="",H116=""),"",G116-H116)</f>
        <v>-14</v>
      </c>
      <c r="J116">
        <f>BD_Limites!$F$4</f>
        <v>1986</v>
      </c>
      <c r="K116">
        <f>BD_Limites!$G$4</f>
        <v>2074</v>
      </c>
      <c r="M116" t="str">
        <f>IF(G116="","",IF(AND(G116&gt;=J116,G116&lt;=K116),"Conforme","Não conforme"))</f>
        <v>Conforme</v>
      </c>
      <c r="N116" t="str">
        <f>IF('Calibração Blaine'!$N$28&amp;""="","",TRIM('Calibração Blaine'!$N$28&amp;""))</f>
        <v>FELIPE</v>
      </c>
      <c r="O116" t="str">
        <f>IF('Calibração Blaine'!$C$28&amp;""="","",TRIM('Calibração Blaine'!$C$28&amp;""))</f>
        <v>B</v>
      </c>
      <c r="P116" t="str">
        <f>IF('Calibração Blaine'!$B$28&amp;""="","",TRIM('Calibração Blaine'!$B$28&amp;""))</f>
        <v>07x19</v>
      </c>
      <c r="Q116" t="s">
        <v>476</v>
      </c>
    </row>
    <row r="117">
      <c r="A117" t="s">
        <v>451</v>
      </c>
      <c r="B117" t="s">
        <v>6</v>
      </c>
      <c r="C117" s="912">
        <f>IF(N('Calibração Blaine'!$A$29)&gt;0,'Calibração Blaine'!$A$29,"")</f>
        <v>46277</v>
      </c>
      <c r="D117" t="str">
        <f>IF('Calibração Blaine'!$D$29&amp;""="","66PB08",TRIM('Calibração Blaine'!$D$29&amp;""))</f>
        <v>66PB08</v>
      </c>
      <c r="E117" t="s">
        <v>452</v>
      </c>
      <c r="F117" t="s">
        <v>453</v>
      </c>
      <c r="G117">
        <f>IF(ISNUMBER('Calibração Blaine'!$H$29),'Calibração Blaine'!$H$29,"")</f>
        <v>2028</v>
      </c>
      <c r="H117">
        <f>BD_Limites!$E$4</f>
        <v>2030</v>
      </c>
      <c r="I117">
        <f>IF(OR(G117="",H117=""),"",G117-H117)</f>
        <v>-2</v>
      </c>
      <c r="J117">
        <f>BD_Limites!$F$4</f>
        <v>1986</v>
      </c>
      <c r="K117">
        <f>BD_Limites!$G$4</f>
        <v>2074</v>
      </c>
      <c r="M117" t="str">
        <f>IF(G117="","",IF(AND(G117&gt;=J117,G117&lt;=K117),"Conforme","Não conforme"))</f>
        <v>Conforme</v>
      </c>
      <c r="N117" t="str">
        <f>IF('Calibração Blaine'!$N$29&amp;""="","",TRIM('Calibração Blaine'!$N$29&amp;""))</f>
        <v>GABRYELL</v>
      </c>
      <c r="O117" t="str">
        <f>IF('Calibração Blaine'!$C$29&amp;""="","",TRIM('Calibração Blaine'!$C$29&amp;""))</f>
        <v>D</v>
      </c>
      <c r="P117" t="str">
        <f>IF('Calibração Blaine'!$B$29&amp;""="","",TRIM('Calibração Blaine'!$B$29&amp;""))</f>
        <v>19x07</v>
      </c>
      <c r="Q117" t="s">
        <v>477</v>
      </c>
    </row>
    <row r="118">
      <c r="A118" t="s">
        <v>451</v>
      </c>
      <c r="B118" t="s">
        <v>6</v>
      </c>
      <c r="C118" s="912">
        <f>IF(N('Calibração Blaine'!$A$30)&gt;0,'Calibração Blaine'!$A$30,"")</f>
        <v>46278</v>
      </c>
      <c r="D118" t="str">
        <f>IF('Calibração Blaine'!$D$30&amp;""="","66PB08",TRIM('Calibração Blaine'!$D$30&amp;""))</f>
        <v>66PB08</v>
      </c>
      <c r="E118" t="s">
        <v>452</v>
      </c>
      <c r="F118" t="s">
        <v>453</v>
      </c>
      <c r="G118">
        <f>IF(ISNUMBER('Calibração Blaine'!$H$30),'Calibração Blaine'!$H$30,"")</f>
        <v>2014</v>
      </c>
      <c r="H118">
        <f>BD_Limites!$E$4</f>
        <v>2030</v>
      </c>
      <c r="I118">
        <f>IF(OR(G118="",H118=""),"",G118-H118)</f>
        <v>-16</v>
      </c>
      <c r="J118">
        <f>BD_Limites!$F$4</f>
        <v>1986</v>
      </c>
      <c r="K118">
        <f>BD_Limites!$G$4</f>
        <v>2074</v>
      </c>
      <c r="M118" t="str">
        <f>IF(G118="","",IF(AND(G118&gt;=J118,G118&lt;=K118),"Conforme","Não conforme"))</f>
        <v>Conforme</v>
      </c>
      <c r="N118" t="str">
        <f>IF('Calibração Blaine'!$N$30&amp;""="","",TRIM('Calibração Blaine'!$N$30&amp;""))</f>
        <v>WESLEY</v>
      </c>
      <c r="O118" t="str">
        <f>IF('Calibração Blaine'!$C$30&amp;""="","",TRIM('Calibração Blaine'!$C$30&amp;""))</f>
        <v>B</v>
      </c>
      <c r="P118" t="str">
        <f>IF('Calibração Blaine'!$B$30&amp;""="","",TRIM('Calibração Blaine'!$B$30&amp;""))</f>
        <v>07x19</v>
      </c>
      <c r="Q118" t="s">
        <v>478</v>
      </c>
    </row>
    <row r="119">
      <c r="A119" t="s">
        <v>451</v>
      </c>
      <c r="B119" t="s">
        <v>6</v>
      </c>
      <c r="C119" s="912">
        <f>IF(N('Calibração Blaine'!$A$31)&gt;0,'Calibração Blaine'!$A$31,"")</f>
        <v>46278</v>
      </c>
      <c r="D119" t="str">
        <f>IF('Calibração Blaine'!$D$31&amp;""="","66PB08",TRIM('Calibração Blaine'!$D$31&amp;""))</f>
        <v>66PB08</v>
      </c>
      <c r="E119" t="s">
        <v>452</v>
      </c>
      <c r="F119" t="s">
        <v>453</v>
      </c>
      <c r="G119">
        <f>IF(ISNUMBER('Calibração Blaine'!$H$31),'Calibração Blaine'!$H$31,"")</f>
        <v>2016</v>
      </c>
      <c r="H119">
        <f>BD_Limites!$E$4</f>
        <v>2030</v>
      </c>
      <c r="I119">
        <f>IF(OR(G119="",H119=""),"",G119-H119)</f>
        <v>-14</v>
      </c>
      <c r="J119">
        <f>BD_Limites!$F$4</f>
        <v>1986</v>
      </c>
      <c r="K119">
        <f>BD_Limites!$G$4</f>
        <v>2074</v>
      </c>
      <c r="M119" t="str">
        <f>IF(G119="","",IF(AND(G119&gt;=J119,G119&lt;=K119),"Conforme","Não conforme"))</f>
        <v>Conforme</v>
      </c>
      <c r="N119" t="str">
        <f>IF('Calibração Blaine'!$N$31&amp;""="","",TRIM('Calibração Blaine'!$N$31&amp;""))</f>
        <v>LUIS FELIPE</v>
      </c>
      <c r="O119" t="str">
        <f>IF('Calibração Blaine'!$C$31&amp;""="","",TRIM('Calibração Blaine'!$C$31&amp;""))</f>
        <v>D</v>
      </c>
      <c r="P119" t="str">
        <f>IF('Calibração Blaine'!$B$31&amp;""="","",TRIM('Calibração Blaine'!$B$31&amp;""))</f>
        <v>19x07</v>
      </c>
      <c r="Q119" t="s">
        <v>479</v>
      </c>
    </row>
    <row r="120">
      <c r="A120" t="s">
        <v>451</v>
      </c>
      <c r="B120" t="s">
        <v>6</v>
      </c>
      <c r="C120" s="912">
        <f>IF(N('Calibração Blaine'!$A$32)&gt;0,'Calibração Blaine'!$A$32,"")</f>
        <v>46279</v>
      </c>
      <c r="D120" t="str">
        <f>IF('Calibração Blaine'!$D$32&amp;""="","66PB08",TRIM('Calibração Blaine'!$D$32&amp;""))</f>
        <v>66PB08</v>
      </c>
      <c r="E120" t="s">
        <v>452</v>
      </c>
      <c r="F120" t="s">
        <v>453</v>
      </c>
      <c r="G120">
        <f>IF(ISNUMBER('Calibração Blaine'!$H$32),'Calibração Blaine'!$H$32,"")</f>
        <v>2041</v>
      </c>
      <c r="H120">
        <f>BD_Limites!$E$4</f>
        <v>2030</v>
      </c>
      <c r="I120">
        <f>IF(OR(G120="",H120=""),"",G120-H120)</f>
        <v>11</v>
      </c>
      <c r="J120">
        <f>BD_Limites!$F$4</f>
        <v>1986</v>
      </c>
      <c r="K120">
        <f>BD_Limites!$G$4</f>
        <v>2074</v>
      </c>
      <c r="M120" t="str">
        <f>IF(G120="","",IF(AND(G120&gt;=J120,G120&lt;=K120),"Conforme","Não conforme"))</f>
        <v>Conforme</v>
      </c>
      <c r="N120" t="str">
        <f>IF('Calibração Blaine'!$N$32&amp;""="","",TRIM('Calibração Blaine'!$N$32&amp;""))</f>
        <v>schunck</v>
      </c>
      <c r="O120" t="str">
        <f>IF('Calibração Blaine'!$C$32&amp;""="","",TRIM('Calibração Blaine'!$C$32&amp;""))</f>
        <v>A</v>
      </c>
      <c r="P120" t="str">
        <f>IF('Calibração Blaine'!$B$32&amp;""="","",TRIM('Calibração Blaine'!$B$32&amp;""))</f>
        <v>07X19</v>
      </c>
      <c r="Q120" t="s">
        <v>480</v>
      </c>
    </row>
    <row r="121">
      <c r="A121" t="s">
        <v>451</v>
      </c>
      <c r="B121" t="s">
        <v>6</v>
      </c>
      <c r="C121" s="912">
        <f>IF(N('Calibração Blaine'!$A$33)&gt;0,'Calibração Blaine'!$A$33,"")</f>
        <v>46279</v>
      </c>
      <c r="D121" t="str">
        <f>IF('Calibração Blaine'!$D$33&amp;""="","66PB08",TRIM('Calibração Blaine'!$D$33&amp;""))</f>
        <v>66PB08</v>
      </c>
      <c r="E121" t="s">
        <v>452</v>
      </c>
      <c r="F121" t="s">
        <v>453</v>
      </c>
      <c r="G121">
        <f>IF(ISNUMBER('Calibração Blaine'!$H$33),'Calibração Blaine'!$H$33,"")</f>
        <v>2036</v>
      </c>
      <c r="H121">
        <f>BD_Limites!$E$4</f>
        <v>2030</v>
      </c>
      <c r="I121">
        <f>IF(OR(G121="",H121=""),"",G121-H121)</f>
        <v>6</v>
      </c>
      <c r="J121">
        <f>BD_Limites!$F$4</f>
        <v>1986</v>
      </c>
      <c r="K121">
        <f>BD_Limites!$G$4</f>
        <v>2074</v>
      </c>
      <c r="M121" t="str">
        <f>IF(G121="","",IF(AND(G121&gt;=J121,G121&lt;=K121),"Conforme","Não conforme"))</f>
        <v>Conforme</v>
      </c>
      <c r="N121" t="str">
        <f>IF('Calibração Blaine'!$N$33&amp;""="","",TRIM('Calibração Blaine'!$N$33&amp;""))</f>
        <v>FELIPE</v>
      </c>
      <c r="O121" t="str">
        <f>IF('Calibração Blaine'!$C$33&amp;""="","",TRIM('Calibração Blaine'!$C$33&amp;""))</f>
        <v>B</v>
      </c>
      <c r="P121" t="str">
        <f>IF('Calibração Blaine'!$B$33&amp;""="","",TRIM('Calibração Blaine'!$B$33&amp;""))</f>
        <v>19x07</v>
      </c>
      <c r="Q121" t="s">
        <v>481</v>
      </c>
    </row>
    <row r="122">
      <c r="A122" t="s">
        <v>451</v>
      </c>
      <c r="B122" t="s">
        <v>6</v>
      </c>
      <c r="C122" s="912">
        <f>IF(N('Calibração Blaine'!$A$34)&gt;0,'Calibração Blaine'!$A$34,"")</f>
        <v>46280</v>
      </c>
      <c r="D122" t="str">
        <f>IF('Calibração Blaine'!$D$34&amp;""="","66PB08",TRIM('Calibração Blaine'!$D$34&amp;""))</f>
        <v>66PB08</v>
      </c>
      <c r="E122" t="s">
        <v>452</v>
      </c>
      <c r="F122" t="s">
        <v>453</v>
      </c>
      <c r="G122">
        <f>IF(ISNUMBER('Calibração Blaine'!$H$34),'Calibração Blaine'!$H$34,"")</f>
        <v>2027</v>
      </c>
      <c r="H122">
        <f>BD_Limites!$E$4</f>
        <v>2030</v>
      </c>
      <c r="I122">
        <f>IF(OR(G122="",H122=""),"",G122-H122)</f>
        <v>-3</v>
      </c>
      <c r="J122">
        <f>BD_Limites!$F$4</f>
        <v>1986</v>
      </c>
      <c r="K122">
        <f>BD_Limites!$G$4</f>
        <v>2074</v>
      </c>
      <c r="M122" t="str">
        <f>IF(G122="","",IF(AND(G122&gt;=J122,G122&lt;=K122),"Conforme","Não conforme"))</f>
        <v>Conforme</v>
      </c>
      <c r="N122" t="str">
        <f>IF('Calibração Blaine'!$N$34&amp;""="","",TRIM('Calibração Blaine'!$N$34&amp;""))</f>
        <v>ALESANDRO</v>
      </c>
      <c r="O122" t="str">
        <f>IF('Calibração Blaine'!$C$34&amp;""="","",TRIM('Calibração Blaine'!$C$34&amp;""))</f>
        <v>A</v>
      </c>
      <c r="P122" t="str">
        <f>IF('Calibração Blaine'!$B$34&amp;""="","",TRIM('Calibração Blaine'!$B$34&amp;""))</f>
        <v>07x19</v>
      </c>
      <c r="Q122" t="s">
        <v>482</v>
      </c>
    </row>
    <row r="123">
      <c r="A123" t="s">
        <v>451</v>
      </c>
      <c r="B123" t="s">
        <v>6</v>
      </c>
      <c r="C123" s="912">
        <f>IF(N('Calibração Blaine'!$A$35)&gt;0,'Calibração Blaine'!$A$35,"")</f>
        <v>46280</v>
      </c>
      <c r="D123" t="str">
        <f>IF('Calibração Blaine'!$D$35&amp;""="","66PB08",TRIM('Calibração Blaine'!$D$35&amp;""))</f>
        <v>66PB08</v>
      </c>
      <c r="E123" t="s">
        <v>452</v>
      </c>
      <c r="F123" t="s">
        <v>453</v>
      </c>
      <c r="G123">
        <f>IF(ISNUMBER('Calibração Blaine'!$H$35),'Calibração Blaine'!$H$35,"")</f>
        <v>2019</v>
      </c>
      <c r="H123">
        <f>BD_Limites!$E$4</f>
        <v>2030</v>
      </c>
      <c r="I123">
        <f>IF(OR(G123="",H123=""),"",G123-H123)</f>
        <v>-11</v>
      </c>
      <c r="J123">
        <f>BD_Limites!$F$4</f>
        <v>1986</v>
      </c>
      <c r="K123">
        <f>BD_Limites!$G$4</f>
        <v>2074</v>
      </c>
      <c r="M123" t="str">
        <f>IF(G123="","",IF(AND(G123&gt;=J123,G123&lt;=K123),"Conforme","Não conforme"))</f>
        <v>Conforme</v>
      </c>
      <c r="N123" t="str">
        <f>IF('Calibração Blaine'!$N$35&amp;""="","",TRIM('Calibração Blaine'!$N$35&amp;""))</f>
        <v>WESLEY</v>
      </c>
      <c r="O123" t="str">
        <f>IF('Calibração Blaine'!$C$35&amp;""="","",TRIM('Calibração Blaine'!$C$35&amp;""))</f>
        <v>B</v>
      </c>
      <c r="P123" t="str">
        <f>IF('Calibração Blaine'!$B$35&amp;""="","",TRIM('Calibração Blaine'!$B$35&amp;""))</f>
        <v>19x07</v>
      </c>
      <c r="Q123" t="s">
        <v>483</v>
      </c>
    </row>
    <row r="124">
      <c r="A124" t="s">
        <v>451</v>
      </c>
      <c r="B124" t="s">
        <v>6</v>
      </c>
      <c r="C124" s="912">
        <f>IF(N('Calibração Blaine'!$A$36)&gt;0,'Calibração Blaine'!$A$36,"")</f>
        <v>46281</v>
      </c>
      <c r="D124" t="str">
        <f>IF('Calibração Blaine'!$D$36&amp;""="","66PB08",TRIM('Calibração Blaine'!$D$36&amp;""))</f>
        <v>66PB08</v>
      </c>
      <c r="E124" t="s">
        <v>452</v>
      </c>
      <c r="F124" t="s">
        <v>453</v>
      </c>
      <c r="G124">
        <f>IF(ISNUMBER('Calibração Blaine'!$H$36),'Calibração Blaine'!$H$36,"")</f>
        <v>2030</v>
      </c>
      <c r="H124">
        <f>BD_Limites!$E$4</f>
        <v>2030</v>
      </c>
      <c r="I124">
        <f>IF(OR(G124="",H124=""),"",G124-H124)</f>
        <v>0</v>
      </c>
      <c r="J124">
        <f>BD_Limites!$F$4</f>
        <v>1986</v>
      </c>
      <c r="K124">
        <f>BD_Limites!$G$4</f>
        <v>2074</v>
      </c>
      <c r="M124" t="str">
        <f>IF(G124="","",IF(AND(G124&gt;=J124,G124&lt;=K124),"Conforme","Não conforme"))</f>
        <v>Conforme</v>
      </c>
      <c r="N124" t="str">
        <f>IF('Calibração Blaine'!$N$36&amp;""="","",TRIM('Calibração Blaine'!$N$36&amp;""))</f>
        <v>ZAINE</v>
      </c>
      <c r="O124" t="str">
        <f>IF('Calibração Blaine'!$C$36&amp;""="","",TRIM('Calibração Blaine'!$C$36&amp;""))</f>
        <v>C</v>
      </c>
      <c r="P124" t="str">
        <f>IF('Calibração Blaine'!$B$36&amp;""="","",TRIM('Calibração Blaine'!$B$36&amp;""))</f>
        <v>07x19</v>
      </c>
      <c r="Q124" t="s">
        <v>484</v>
      </c>
    </row>
    <row r="125">
      <c r="A125" t="s">
        <v>451</v>
      </c>
      <c r="B125" t="s">
        <v>6</v>
      </c>
      <c r="C125" s="912">
        <f>IF(N('Calibração Blaine'!$A$37)&gt;0,'Calibração Blaine'!$A$37,"")</f>
        <v>46281</v>
      </c>
      <c r="D125" t="str">
        <f>IF('Calibração Blaine'!$D$37&amp;""="","66PB08",TRIM('Calibração Blaine'!$D$37&amp;""))</f>
        <v>66PB08</v>
      </c>
      <c r="E125" t="s">
        <v>452</v>
      </c>
      <c r="F125" t="s">
        <v>453</v>
      </c>
      <c r="G125">
        <f>IF(ISNUMBER('Calibração Blaine'!$H$37),'Calibração Blaine'!$H$37,"")</f>
        <v>2025</v>
      </c>
      <c r="H125">
        <f>BD_Limites!$E$4</f>
        <v>2030</v>
      </c>
      <c r="I125">
        <f>IF(OR(G125="",H125=""),"",G125-H125)</f>
        <v>-5</v>
      </c>
      <c r="J125">
        <f>BD_Limites!$F$4</f>
        <v>1986</v>
      </c>
      <c r="K125">
        <f>BD_Limites!$G$4</f>
        <v>2074</v>
      </c>
      <c r="M125" t="str">
        <f>IF(G125="","",IF(AND(G125&gt;=J125,G125&lt;=K125),"Conforme","Não conforme"))</f>
        <v>Conforme</v>
      </c>
      <c r="N125" t="str">
        <f>IF('Calibração Blaine'!$N$37&amp;""="","",TRIM('Calibração Blaine'!$N$37&amp;""))</f>
        <v>RENATO</v>
      </c>
      <c r="O125" t="str">
        <f>IF('Calibração Blaine'!$C$37&amp;""="","",TRIM('Calibração Blaine'!$C$37&amp;""))</f>
        <v>A</v>
      </c>
      <c r="P125" t="str">
        <f>IF('Calibração Blaine'!$B$37&amp;""="","",TRIM('Calibração Blaine'!$B$37&amp;""))</f>
        <v>19x07</v>
      </c>
      <c r="Q125" t="s">
        <v>485</v>
      </c>
    </row>
    <row r="126">
      <c r="A126" t="s">
        <v>451</v>
      </c>
      <c r="B126" t="s">
        <v>6</v>
      </c>
      <c r="C126" s="912" t="str">
        <f>IF(N('Calibração Blaine'!$A$38)&gt;0,'Calibração Blaine'!$A$38,"")</f>
        <v/>
      </c>
      <c r="D126" t="str">
        <f>IF('Calibração Blaine'!$D$38&amp;""="","66PB08",TRIM('Calibração Blaine'!$D$38&amp;""))</f>
        <v>66PB08</v>
      </c>
      <c r="E126" t="s">
        <v>452</v>
      </c>
      <c r="F126" t="s">
        <v>453</v>
      </c>
      <c r="G126" t="str">
        <f>IF(ISNUMBER('Calibração Blaine'!$H$38),'Calibração Blaine'!$H$38,"")</f>
        <v/>
      </c>
      <c r="H126">
        <f>BD_Limites!$E$4</f>
        <v>2030</v>
      </c>
      <c r="I126" t="str">
        <f>IF(OR(G126="",H126=""),"",G126-H126)</f>
        <v/>
      </c>
      <c r="J126">
        <f>BD_Limites!$F$4</f>
        <v>1986</v>
      </c>
      <c r="K126">
        <f>BD_Limites!$G$4</f>
        <v>2074</v>
      </c>
      <c r="M126" t="str">
        <f>IF(G126="","",IF(AND(G126&gt;=J126,G126&lt;=K126),"Conforme","Não conforme"))</f>
        <v/>
      </c>
      <c r="N126" t="str">
        <f>IF('Calibração Blaine'!$N$38&amp;""="","",TRIM('Calibração Blaine'!$N$38&amp;""))</f>
        <v/>
      </c>
      <c r="O126" t="str">
        <f>IF('Calibração Blaine'!$C$38&amp;""="","",TRIM('Calibração Blaine'!$C$38&amp;""))</f>
        <v/>
      </c>
      <c r="P126" t="str">
        <f>IF('Calibração Blaine'!$B$38&amp;""="","",TRIM('Calibração Blaine'!$B$38&amp;""))</f>
        <v/>
      </c>
      <c r="Q126" t="s">
        <v>486</v>
      </c>
    </row>
    <row r="127">
      <c r="A127" t="s">
        <v>451</v>
      </c>
      <c r="B127" t="s">
        <v>6</v>
      </c>
      <c r="C127" s="912">
        <f>IF(N('Calibração Blaine'!$A$39)&gt;0,'Calibração Blaine'!$A$39,"")</f>
        <v>46282</v>
      </c>
      <c r="D127" t="str">
        <f>IF('Calibração Blaine'!$D$39&amp;""="","66PB08",TRIM('Calibração Blaine'!$D$39&amp;""))</f>
        <v>66PB08</v>
      </c>
      <c r="E127" t="s">
        <v>452</v>
      </c>
      <c r="F127" t="s">
        <v>453</v>
      </c>
      <c r="G127">
        <f>IF(ISNUMBER('Calibração Blaine'!$H$39),'Calibração Blaine'!$H$39,"")</f>
        <v>2019</v>
      </c>
      <c r="H127">
        <f>BD_Limites!$E$4</f>
        <v>2030</v>
      </c>
      <c r="I127">
        <f>IF(OR(G127="",H127=""),"",G127-H127)</f>
        <v>-11</v>
      </c>
      <c r="J127">
        <f>BD_Limites!$F$4</f>
        <v>1986</v>
      </c>
      <c r="K127">
        <f>BD_Limites!$G$4</f>
        <v>2074</v>
      </c>
      <c r="M127" t="str">
        <f>IF(G127="","",IF(AND(G127&gt;=J127,G127&lt;=K127),"Conforme","Não conforme"))</f>
        <v>Conforme</v>
      </c>
      <c r="N127" t="str">
        <f>IF('Calibração Blaine'!$N$39&amp;""="","",TRIM('Calibração Blaine'!$N$39&amp;""))</f>
        <v>RENATO</v>
      </c>
      <c r="O127" t="str">
        <f>IF('Calibração Blaine'!$C$39&amp;""="","",TRIM('Calibração Blaine'!$C$39&amp;""))</f>
        <v>A</v>
      </c>
      <c r="P127" t="str">
        <f>IF('Calibração Blaine'!$B$39&amp;""="","",TRIM('Calibração Blaine'!$B$39&amp;""))</f>
        <v>19x07</v>
      </c>
      <c r="Q127" t="s">
        <v>487</v>
      </c>
    </row>
    <row r="128">
      <c r="A128" t="s">
        <v>451</v>
      </c>
      <c r="B128" t="s">
        <v>6</v>
      </c>
      <c r="C128" s="912">
        <f>IF(N('Calibração Blaine'!$A$40)&gt;0,'Calibração Blaine'!$A$40,"")</f>
        <v>46283</v>
      </c>
      <c r="D128" t="str">
        <f>IF('Calibração Blaine'!$D$40&amp;""="","66PB08",TRIM('Calibração Blaine'!$D$40&amp;""))</f>
        <v>66PB08</v>
      </c>
      <c r="E128" t="s">
        <v>452</v>
      </c>
      <c r="F128" t="s">
        <v>453</v>
      </c>
      <c r="G128">
        <f>IF(ISNUMBER('Calibração Blaine'!$H$40),'Calibração Blaine'!$H$40,"")</f>
        <v>2025</v>
      </c>
      <c r="H128">
        <f>BD_Limites!$E$4</f>
        <v>2030</v>
      </c>
      <c r="I128">
        <f>IF(OR(G128="",H128=""),"",G128-H128)</f>
        <v>-5</v>
      </c>
      <c r="J128">
        <f>BD_Limites!$F$4</f>
        <v>1986</v>
      </c>
      <c r="K128">
        <f>BD_Limites!$G$4</f>
        <v>2074</v>
      </c>
      <c r="M128" t="str">
        <f>IF(G128="","",IF(AND(G128&gt;=J128,G128&lt;=K128),"Conforme","Não conforme"))</f>
        <v>Conforme</v>
      </c>
      <c r="N128" t="str">
        <f>IF('Calibração Blaine'!$N$40&amp;""="","",TRIM('Calibração Blaine'!$N$40&amp;""))</f>
        <v>EBERT</v>
      </c>
      <c r="O128" t="str">
        <f>IF('Calibração Blaine'!$C$40&amp;""="","",TRIM('Calibração Blaine'!$C$40&amp;""))</f>
        <v>D</v>
      </c>
      <c r="P128" t="str">
        <f>IF('Calibração Blaine'!$B$40&amp;""="","",TRIM('Calibração Blaine'!$B$40&amp;""))</f>
        <v>07x19</v>
      </c>
      <c r="Q128" t="s">
        <v>488</v>
      </c>
    </row>
    <row r="129">
      <c r="A129" t="s">
        <v>451</v>
      </c>
      <c r="B129" t="s">
        <v>6</v>
      </c>
      <c r="C129" s="912">
        <f>IF(N('Calibração Blaine'!$A$41)&gt;0,'Calibração Blaine'!$A$41,"")</f>
        <v>46284</v>
      </c>
      <c r="D129" t="str">
        <f>IF('Calibração Blaine'!$D$41&amp;""="","66PB08",TRIM('Calibração Blaine'!$D$41&amp;""))</f>
        <v>66PB08</v>
      </c>
      <c r="E129" t="s">
        <v>452</v>
      </c>
      <c r="F129" t="s">
        <v>453</v>
      </c>
      <c r="G129">
        <f>IF(ISNUMBER('Calibração Blaine'!$H$41),'Calibração Blaine'!$H$41,"")</f>
        <v>2011</v>
      </c>
      <c r="H129">
        <f>BD_Limites!$E$4</f>
        <v>2030</v>
      </c>
      <c r="I129">
        <f>IF(OR(G129="",H129=""),"",G129-H129)</f>
        <v>-19</v>
      </c>
      <c r="J129">
        <f>BD_Limites!$F$4</f>
        <v>1986</v>
      </c>
      <c r="K129">
        <f>BD_Limites!$G$4</f>
        <v>2074</v>
      </c>
      <c r="M129" t="str">
        <f>IF(G129="","",IF(AND(G129&gt;=J129,G129&lt;=K129),"Conforme","Não conforme"))</f>
        <v>Conforme</v>
      </c>
      <c r="N129" t="str">
        <f>IF('Calibração Blaine'!$N$41&amp;""="","",TRIM('Calibração Blaine'!$N$41&amp;""))</f>
        <v>GABRYELL</v>
      </c>
      <c r="O129" t="str">
        <f>IF('Calibração Blaine'!$C$41&amp;""="","",TRIM('Calibração Blaine'!$C$41&amp;""))</f>
        <v>D</v>
      </c>
      <c r="P129" t="str">
        <f>IF('Calibração Blaine'!$B$41&amp;""="","",TRIM('Calibração Blaine'!$B$41&amp;""))</f>
        <v>07X19</v>
      </c>
      <c r="Q129" t="s">
        <v>489</v>
      </c>
    </row>
    <row r="130">
      <c r="A130" t="s">
        <v>451</v>
      </c>
      <c r="B130" t="s">
        <v>6</v>
      </c>
      <c r="C130" s="912">
        <f>IF(N('Calibração Blaine'!$A$42)&gt;0,'Calibração Blaine'!$A$42,"")</f>
        <v>46285</v>
      </c>
      <c r="D130" t="str">
        <f>IF('Calibração Blaine'!$D$42&amp;""="","66PB08",TRIM('Calibração Blaine'!$D$42&amp;""))</f>
        <v>66PB08</v>
      </c>
      <c r="E130" t="s">
        <v>452</v>
      </c>
      <c r="F130" t="s">
        <v>453</v>
      </c>
      <c r="G130">
        <f>IF(ISNUMBER('Calibração Blaine'!$H$42),'Calibração Blaine'!$H$42,"")</f>
        <v>2022</v>
      </c>
      <c r="H130">
        <f>BD_Limites!$E$4</f>
        <v>2030</v>
      </c>
      <c r="I130">
        <f>IF(OR(G130="",H130=""),"",G130-H130)</f>
        <v>-8</v>
      </c>
      <c r="J130">
        <f>BD_Limites!$F$4</f>
        <v>1986</v>
      </c>
      <c r="K130">
        <f>BD_Limites!$G$4</f>
        <v>2074</v>
      </c>
      <c r="M130" t="str">
        <f>IF(G130="","",IF(AND(G130&gt;=J130,G130&lt;=K130),"Conforme","Não conforme"))</f>
        <v>Conforme</v>
      </c>
      <c r="N130" t="str">
        <f>IF('Calibração Blaine'!$N$42&amp;""="","",TRIM('Calibração Blaine'!$N$42&amp;""))</f>
        <v>fELIPE</v>
      </c>
      <c r="O130" t="str">
        <f>IF('Calibração Blaine'!$C$42&amp;""="","",TRIM('Calibração Blaine'!$C$42&amp;""))</f>
        <v>B</v>
      </c>
      <c r="P130" t="str">
        <f>IF('Calibração Blaine'!$B$42&amp;""="","",TRIM('Calibração Blaine'!$B$42&amp;""))</f>
        <v>07x19</v>
      </c>
      <c r="Q130" t="s">
        <v>490</v>
      </c>
    </row>
    <row r="131">
      <c r="A131" t="s">
        <v>451</v>
      </c>
      <c r="B131" t="s">
        <v>6</v>
      </c>
      <c r="C131" s="912">
        <f>IF(N('Calibração Blaine'!$A$43)&gt;0,'Calibração Blaine'!$A$43,"")</f>
        <v>46285</v>
      </c>
      <c r="D131" t="str">
        <f>IF('Calibração Blaine'!$D$43&amp;""="","66PB08",TRIM('Calibração Blaine'!$D$43&amp;""))</f>
        <v>66PB08</v>
      </c>
      <c r="E131" t="s">
        <v>452</v>
      </c>
      <c r="F131" t="s">
        <v>453</v>
      </c>
      <c r="G131">
        <f>IF(ISNUMBER('Calibração Blaine'!$H$43),'Calibração Blaine'!$H$43,"")</f>
        <v>2025</v>
      </c>
      <c r="H131">
        <f>BD_Limites!$E$4</f>
        <v>2030</v>
      </c>
      <c r="I131">
        <f>IF(OR(G131="",H131=""),"",G131-H131)</f>
        <v>-5</v>
      </c>
      <c r="J131">
        <f>BD_Limites!$F$4</f>
        <v>1986</v>
      </c>
      <c r="K131">
        <f>BD_Limites!$G$4</f>
        <v>2074</v>
      </c>
      <c r="M131" t="str">
        <f>IF(G131="","",IF(AND(G131&gt;=J131,G131&lt;=K131),"Conforme","Não conforme"))</f>
        <v>Conforme</v>
      </c>
      <c r="N131" t="str">
        <f>IF('Calibração Blaine'!$N$43&amp;""="","",TRIM('Calibração Blaine'!$N$43&amp;""))</f>
        <v>EBERT</v>
      </c>
      <c r="O131" t="str">
        <f>IF('Calibração Blaine'!$C$43&amp;""="","",TRIM('Calibração Blaine'!$C$43&amp;""))</f>
        <v>D</v>
      </c>
      <c r="P131" t="str">
        <f>IF('Calibração Blaine'!$B$43&amp;""="","",TRIM('Calibração Blaine'!$B$43&amp;""))</f>
        <v>19x07</v>
      </c>
      <c r="Q131" t="s">
        <v>491</v>
      </c>
    </row>
    <row r="132">
      <c r="A132" t="s">
        <v>451</v>
      </c>
      <c r="B132" t="s">
        <v>6</v>
      </c>
      <c r="C132" s="912">
        <f>IF(N('Calibração Blaine'!$A$44)&gt;0,'Calibração Blaine'!$A$44,"")</f>
        <v>46286</v>
      </c>
      <c r="D132" t="str">
        <f>IF('Calibração Blaine'!$D$44&amp;""="","66PB08",TRIM('Calibração Blaine'!$D$44&amp;""))</f>
        <v>66PB08</v>
      </c>
      <c r="E132" t="s">
        <v>452</v>
      </c>
      <c r="F132" t="s">
        <v>453</v>
      </c>
      <c r="G132">
        <f>IF(ISNUMBER('Calibração Blaine'!$H$44),'Calibração Blaine'!$H$44,"")</f>
        <v>2011</v>
      </c>
      <c r="H132">
        <f>BD_Limites!$E$4</f>
        <v>2030</v>
      </c>
      <c r="I132">
        <f>IF(OR(G132="",H132=""),"",G132-H132)</f>
        <v>-19</v>
      </c>
      <c r="J132">
        <f>BD_Limites!$F$4</f>
        <v>1986</v>
      </c>
      <c r="K132">
        <f>BD_Limites!$G$4</f>
        <v>2074</v>
      </c>
      <c r="M132" t="str">
        <f>IF(G132="","",IF(AND(G132&gt;=J132,G132&lt;=K132),"Conforme","Não conforme"))</f>
        <v>Conforme</v>
      </c>
      <c r="N132" t="str">
        <f>IF('Calibração Blaine'!$N$44&amp;""="","",TRIM('Calibração Blaine'!$N$44&amp;""))</f>
        <v>WESLEY</v>
      </c>
      <c r="O132" t="str">
        <f>IF('Calibração Blaine'!$C$44&amp;""="","",TRIM('Calibração Blaine'!$C$44&amp;""))</f>
        <v>B</v>
      </c>
      <c r="P132" t="str">
        <f>IF('Calibração Blaine'!$B$44&amp;""="","",TRIM('Calibração Blaine'!$B$44&amp;""))</f>
        <v>07X19</v>
      </c>
      <c r="Q132" t="s">
        <v>492</v>
      </c>
    </row>
    <row r="133">
      <c r="A133" t="s">
        <v>451</v>
      </c>
      <c r="B133" t="s">
        <v>6</v>
      </c>
      <c r="C133" s="912">
        <f>IF(N('Calibração Blaine'!$A$45)&gt;0,'Calibração Blaine'!$A$45,"")</f>
        <v>46286</v>
      </c>
      <c r="D133" t="str">
        <f>IF('Calibração Blaine'!$D$45&amp;""="","66PB08",TRIM('Calibração Blaine'!$D$45&amp;""))</f>
        <v>66PB08</v>
      </c>
      <c r="E133" t="s">
        <v>452</v>
      </c>
      <c r="F133" t="s">
        <v>453</v>
      </c>
      <c r="G133">
        <f>IF(ISNUMBER('Calibração Blaine'!$H$45),'Calibração Blaine'!$H$45,"")</f>
        <v>2028</v>
      </c>
      <c r="H133">
        <f>BD_Limites!$E$4</f>
        <v>2030</v>
      </c>
      <c r="I133">
        <f>IF(OR(G133="",H133=""),"",G133-H133)</f>
        <v>-2</v>
      </c>
      <c r="J133">
        <f>BD_Limites!$F$4</f>
        <v>1986</v>
      </c>
      <c r="K133">
        <f>BD_Limites!$G$4</f>
        <v>2074</v>
      </c>
      <c r="M133" t="str">
        <f>IF(G133="","",IF(AND(G133&gt;=J133,G133&lt;=K133),"Conforme","Não conforme"))</f>
        <v>Conforme</v>
      </c>
      <c r="N133" t="str">
        <f>IF('Calibração Blaine'!$N$45&amp;""="","",TRIM('Calibração Blaine'!$N$45&amp;""))</f>
        <v>GABRYELL</v>
      </c>
      <c r="O133" t="str">
        <f>IF('Calibração Blaine'!$C$45&amp;""="","",TRIM('Calibração Blaine'!$C$45&amp;""))</f>
        <v>A</v>
      </c>
      <c r="P133" t="str">
        <f>IF('Calibração Blaine'!$B$45&amp;""="","",TRIM('Calibração Blaine'!$B$45&amp;""))</f>
        <v>19x07</v>
      </c>
      <c r="Q133" t="s">
        <v>493</v>
      </c>
    </row>
    <row r="134">
      <c r="A134" t="s">
        <v>451</v>
      </c>
      <c r="B134" t="s">
        <v>6</v>
      </c>
      <c r="C134" s="912">
        <f>IF(N('Calibração Blaine'!$A$46)&gt;0,'Calibração Blaine'!$A$46,"")</f>
        <v>46287</v>
      </c>
      <c r="D134" t="str">
        <f>IF('Calibração Blaine'!$D$46&amp;""="","66PB08",TRIM('Calibração Blaine'!$D$46&amp;""))</f>
        <v>66PB08</v>
      </c>
      <c r="E134" t="s">
        <v>452</v>
      </c>
      <c r="F134" t="s">
        <v>453</v>
      </c>
      <c r="G134">
        <f>IF(ISNUMBER('Calibração Blaine'!$H$46),'Calibração Blaine'!$H$46,"")</f>
        <v>2013</v>
      </c>
      <c r="H134">
        <f>BD_Limites!$E$4</f>
        <v>2030</v>
      </c>
      <c r="I134">
        <f>IF(OR(G134="",H134=""),"",G134-H134)</f>
        <v>-17</v>
      </c>
      <c r="J134">
        <f>BD_Limites!$F$4</f>
        <v>1986</v>
      </c>
      <c r="K134">
        <f>BD_Limites!$G$4</f>
        <v>2074</v>
      </c>
      <c r="M134" t="str">
        <f>IF(G134="","",IF(AND(G134&gt;=J134,G134&lt;=K134),"Conforme","Não conforme"))</f>
        <v>Conforme</v>
      </c>
      <c r="N134" t="str">
        <f>IF('Calibração Blaine'!$N$46&amp;""="","",TRIM('Calibração Blaine'!$N$46&amp;""))</f>
        <v>RENATO</v>
      </c>
      <c r="O134" t="str">
        <f>IF('Calibração Blaine'!$C$46&amp;""="","",TRIM('Calibração Blaine'!$C$46&amp;""))</f>
        <v>A</v>
      </c>
      <c r="P134" t="str">
        <f>IF('Calibração Blaine'!$B$46&amp;""="","",TRIM('Calibração Blaine'!$B$46&amp;""))</f>
        <v>07x19</v>
      </c>
      <c r="Q134" t="s">
        <v>494</v>
      </c>
    </row>
    <row r="135">
      <c r="A135" t="s">
        <v>451</v>
      </c>
      <c r="B135" t="s">
        <v>6</v>
      </c>
      <c r="C135" s="912">
        <f>IF(N('Calibração Blaine'!$A$47)&gt;0,'Calibração Blaine'!$A$47,"")</f>
        <v>46287</v>
      </c>
      <c r="D135" t="str">
        <f>IF('Calibração Blaine'!$D$47&amp;""="","66PB08",TRIM('Calibração Blaine'!$D$47&amp;""))</f>
        <v>66PB08</v>
      </c>
      <c r="E135" t="s">
        <v>452</v>
      </c>
      <c r="F135" t="s">
        <v>453</v>
      </c>
      <c r="G135">
        <f>IF(ISNUMBER('Calibração Blaine'!$H$47),'Calibração Blaine'!$H$47,"")</f>
        <v>2002</v>
      </c>
      <c r="H135">
        <f>BD_Limites!$E$4</f>
        <v>2030</v>
      </c>
      <c r="I135">
        <f>IF(OR(G135="",H135=""),"",G135-H135)</f>
        <v>-28</v>
      </c>
      <c r="J135">
        <f>BD_Limites!$F$4</f>
        <v>1986</v>
      </c>
      <c r="K135">
        <f>BD_Limites!$G$4</f>
        <v>2074</v>
      </c>
      <c r="M135" t="str">
        <f>IF(G135="","",IF(AND(G135&gt;=J135,G135&lt;=K135),"Conforme","Não conforme"))</f>
        <v>Conforme</v>
      </c>
      <c r="N135" t="str">
        <f>IF('Calibração Blaine'!$N$47&amp;""="","",TRIM('Calibração Blaine'!$N$47&amp;""))</f>
        <v>FELIPE</v>
      </c>
      <c r="O135" t="str">
        <f>IF('Calibração Blaine'!$C$47&amp;""="","",TRIM('Calibração Blaine'!$C$47&amp;""))</f>
        <v>B</v>
      </c>
      <c r="P135" t="str">
        <f>IF('Calibração Blaine'!$B$47&amp;""="","",TRIM('Calibração Blaine'!$B$47&amp;""))</f>
        <v>19x07</v>
      </c>
      <c r="Q135" t="s">
        <v>495</v>
      </c>
    </row>
    <row r="136">
      <c r="A136" t="s">
        <v>451</v>
      </c>
      <c r="B136" t="s">
        <v>6</v>
      </c>
      <c r="C136" s="912">
        <f>IF(N('Calibração Blaine'!$A$48)&gt;0,'Calibração Blaine'!$A$48,"")</f>
        <v>46288</v>
      </c>
      <c r="D136" t="str">
        <f>IF('Calibração Blaine'!$D$48&amp;""="","66PB08",TRIM('Calibração Blaine'!$D$48&amp;""))</f>
        <v>66PB08</v>
      </c>
      <c r="E136" t="s">
        <v>452</v>
      </c>
      <c r="F136" t="s">
        <v>453</v>
      </c>
      <c r="G136">
        <f>IF(ISNUMBER('Calibração Blaine'!$H$48),'Calibração Blaine'!$H$48,"")</f>
        <v>2022</v>
      </c>
      <c r="H136">
        <f>BD_Limites!$E$4</f>
        <v>2030</v>
      </c>
      <c r="I136">
        <f>IF(OR(G136="",H136=""),"",G136-H136)</f>
        <v>-8</v>
      </c>
      <c r="J136">
        <f>BD_Limites!$F$4</f>
        <v>1986</v>
      </c>
      <c r="K136">
        <f>BD_Limites!$G$4</f>
        <v>2074</v>
      </c>
      <c r="M136" t="str">
        <f>IF(G136="","",IF(AND(G136&gt;=J136,G136&lt;=K136),"Conforme","Não conforme"))</f>
        <v>Conforme</v>
      </c>
      <c r="N136" t="str">
        <f>IF('Calibração Blaine'!$N$48&amp;""="","",TRIM('Calibração Blaine'!$N$48&amp;""))</f>
        <v>RENATO</v>
      </c>
      <c r="O136" t="str">
        <f>IF('Calibração Blaine'!$C$48&amp;""="","",TRIM('Calibração Blaine'!$C$48&amp;""))</f>
        <v>A</v>
      </c>
      <c r="P136" t="str">
        <f>IF('Calibração Blaine'!$B$48&amp;""="","",TRIM('Calibração Blaine'!$B$48&amp;""))</f>
        <v>07x19</v>
      </c>
      <c r="Q136" t="s">
        <v>496</v>
      </c>
    </row>
    <row r="137">
      <c r="A137" t="s">
        <v>451</v>
      </c>
      <c r="B137" t="s">
        <v>6</v>
      </c>
      <c r="C137" s="912" t="str">
        <f>IF(N('Calibração Blaine'!$A$49)&gt;0,'Calibração Blaine'!$A$49,"")</f>
        <v/>
      </c>
      <c r="D137" t="str">
        <f>IF('Calibração Blaine'!$D$49&amp;""="","66PB08",TRIM('Calibração Blaine'!$D$49&amp;""))</f>
        <v>66PB08</v>
      </c>
      <c r="E137" t="s">
        <v>452</v>
      </c>
      <c r="F137" t="s">
        <v>453</v>
      </c>
      <c r="G137" t="str">
        <f>IF(ISNUMBER('Calibração Blaine'!$H$49),'Calibração Blaine'!$H$49,"")</f>
        <v/>
      </c>
      <c r="H137">
        <f>BD_Limites!$E$4</f>
        <v>2030</v>
      </c>
      <c r="I137" t="str">
        <f>IF(OR(G137="",H137=""),"",G137-H137)</f>
        <v/>
      </c>
      <c r="J137">
        <f>BD_Limites!$F$4</f>
        <v>1986</v>
      </c>
      <c r="K137">
        <f>BD_Limites!$G$4</f>
        <v>2074</v>
      </c>
      <c r="M137" t="str">
        <f>IF(G137="","",IF(AND(G137&gt;=J137,G137&lt;=K137),"Conforme","Não conforme"))</f>
        <v/>
      </c>
      <c r="N137" t="str">
        <f>IF('Calibração Blaine'!$N$49&amp;""="","",TRIM('Calibração Blaine'!$N$49&amp;""))</f>
        <v/>
      </c>
      <c r="O137" t="str">
        <f>IF('Calibração Blaine'!$C$49&amp;""="","",TRIM('Calibração Blaine'!$C$49&amp;""))</f>
        <v/>
      </c>
      <c r="P137" t="str">
        <f>IF('Calibração Blaine'!$B$49&amp;""="","",TRIM('Calibração Blaine'!$B$49&amp;""))</f>
        <v>19x07</v>
      </c>
      <c r="Q137" t="s">
        <v>497</v>
      </c>
    </row>
    <row r="138">
      <c r="A138" t="s">
        <v>451</v>
      </c>
      <c r="B138" t="s">
        <v>6</v>
      </c>
      <c r="C138" s="912" t="str">
        <f>IF(N('Calibração Blaine'!$A$50)&gt;0,'Calibração Blaine'!$A$50,"")</f>
        <v/>
      </c>
      <c r="D138" t="str">
        <f>IF('Calibração Blaine'!$D$50&amp;""="","66PB08",TRIM('Calibração Blaine'!$D$50&amp;""))</f>
        <v>66PB08</v>
      </c>
      <c r="E138" t="s">
        <v>452</v>
      </c>
      <c r="F138" t="s">
        <v>453</v>
      </c>
      <c r="G138" t="str">
        <f>IF(ISNUMBER('Calibração Blaine'!$H$50),'Calibração Blaine'!$H$50,"")</f>
        <v/>
      </c>
      <c r="H138">
        <f>BD_Limites!$E$4</f>
        <v>2030</v>
      </c>
      <c r="I138" t="str">
        <f>IF(OR(G138="",H138=""),"",G138-H138)</f>
        <v/>
      </c>
      <c r="J138">
        <f>BD_Limites!$F$4</f>
        <v>1986</v>
      </c>
      <c r="K138">
        <f>BD_Limites!$G$4</f>
        <v>2074</v>
      </c>
      <c r="M138" t="str">
        <f>IF(G138="","",IF(AND(G138&gt;=J138,G138&lt;=K138),"Conforme","Não conforme"))</f>
        <v/>
      </c>
      <c r="N138" t="str">
        <f>IF('Calibração Blaine'!$N$50&amp;""="","",TRIM('Calibração Blaine'!$N$50&amp;""))</f>
        <v/>
      </c>
      <c r="O138" t="str">
        <f>IF('Calibração Blaine'!$C$50&amp;""="","",TRIM('Calibração Blaine'!$C$50&amp;""))</f>
        <v/>
      </c>
      <c r="P138" t="str">
        <f>IF('Calibração Blaine'!$B$50&amp;""="","",TRIM('Calibração Blaine'!$B$50&amp;""))</f>
        <v>07X19</v>
      </c>
      <c r="Q138" t="s">
        <v>498</v>
      </c>
    </row>
    <row r="139">
      <c r="A139" t="s">
        <v>451</v>
      </c>
      <c r="B139" t="s">
        <v>6</v>
      </c>
      <c r="C139" s="912" t="str">
        <f>IF(N('Calibração Blaine'!$A$51)&gt;0,'Calibração Blaine'!$A$51,"")</f>
        <v/>
      </c>
      <c r="D139" t="str">
        <f>IF('Calibração Blaine'!$D$51&amp;""="","66PB08",TRIM('Calibração Blaine'!$D$51&amp;""))</f>
        <v>66PB08</v>
      </c>
      <c r="E139" t="s">
        <v>452</v>
      </c>
      <c r="F139" t="s">
        <v>453</v>
      </c>
      <c r="G139" t="str">
        <f>IF(ISNUMBER('Calibração Blaine'!$H$51),'Calibração Blaine'!$H$51,"")</f>
        <v/>
      </c>
      <c r="H139">
        <f>BD_Limites!$E$4</f>
        <v>2030</v>
      </c>
      <c r="I139" t="str">
        <f>IF(OR(G139="",H139=""),"",G139-H139)</f>
        <v/>
      </c>
      <c r="J139">
        <f>BD_Limites!$F$4</f>
        <v>1986</v>
      </c>
      <c r="K139">
        <f>BD_Limites!$G$4</f>
        <v>2074</v>
      </c>
      <c r="M139" t="str">
        <f>IF(G139="","",IF(AND(G139&gt;=J139,G139&lt;=K139),"Conforme","Não conforme"))</f>
        <v/>
      </c>
      <c r="N139" t="str">
        <f>IF('Calibração Blaine'!$N$51&amp;""="","",TRIM('Calibração Blaine'!$N$51&amp;""))</f>
        <v/>
      </c>
      <c r="O139" t="str">
        <f>IF('Calibração Blaine'!$C$51&amp;""="","",TRIM('Calibração Blaine'!$C$51&amp;""))</f>
        <v/>
      </c>
      <c r="P139" t="str">
        <f>IF('Calibração Blaine'!$B$51&amp;""="","",TRIM('Calibração Blaine'!$B$51&amp;""))</f>
        <v>19x07</v>
      </c>
      <c r="Q139" t="s">
        <v>499</v>
      </c>
    </row>
    <row r="140">
      <c r="A140" t="s">
        <v>451</v>
      </c>
      <c r="B140" t="s">
        <v>6</v>
      </c>
      <c r="C140" s="912" t="str">
        <f>IF(N('Calibração Blaine'!$A$52)&gt;0,'Calibração Blaine'!$A$52,"")</f>
        <v/>
      </c>
      <c r="D140" t="str">
        <f>IF('Calibração Blaine'!$D$52&amp;""="","66PB08",TRIM('Calibração Blaine'!$D$52&amp;""))</f>
        <v>66PB08</v>
      </c>
      <c r="E140" t="s">
        <v>452</v>
      </c>
      <c r="F140" t="s">
        <v>453</v>
      </c>
      <c r="G140" t="str">
        <f>IF(ISNUMBER('Calibração Blaine'!$H$52),'Calibração Blaine'!$H$52,"")</f>
        <v/>
      </c>
      <c r="H140">
        <f>BD_Limites!$E$4</f>
        <v>2030</v>
      </c>
      <c r="I140" t="str">
        <f>IF(OR(G140="",H140=""),"",G140-H140)</f>
        <v/>
      </c>
      <c r="J140">
        <f>BD_Limites!$F$4</f>
        <v>1986</v>
      </c>
      <c r="K140">
        <f>BD_Limites!$G$4</f>
        <v>2074</v>
      </c>
      <c r="M140" t="str">
        <f>IF(G140="","",IF(AND(G140&gt;=J140,G140&lt;=K140),"Conforme","Não conforme"))</f>
        <v/>
      </c>
      <c r="N140" t="str">
        <f>IF('Calibração Blaine'!$N$52&amp;""="","",TRIM('Calibração Blaine'!$N$52&amp;""))</f>
        <v/>
      </c>
      <c r="O140" t="str">
        <f>IF('Calibração Blaine'!$C$52&amp;""="","",TRIM('Calibração Blaine'!$C$52&amp;""))</f>
        <v/>
      </c>
      <c r="P140" t="str">
        <f>IF('Calibração Blaine'!$B$52&amp;""="","",TRIM('Calibração Blaine'!$B$52&amp;""))</f>
        <v>07x19</v>
      </c>
      <c r="Q140" t="s">
        <v>500</v>
      </c>
    </row>
    <row r="141">
      <c r="A141" t="s">
        <v>451</v>
      </c>
      <c r="B141" t="s">
        <v>6</v>
      </c>
      <c r="C141" s="912" t="str">
        <f>IF(N('Calibração Blaine'!$A$53)&gt;0,'Calibração Blaine'!$A$53,"")</f>
        <v/>
      </c>
      <c r="D141" t="str">
        <f>IF('Calibração Blaine'!$D$53&amp;""="","66PB08",TRIM('Calibração Blaine'!$D$53&amp;""))</f>
        <v>66PB08</v>
      </c>
      <c r="E141" t="s">
        <v>452</v>
      </c>
      <c r="F141" t="s">
        <v>453</v>
      </c>
      <c r="G141" t="str">
        <f>IF(ISNUMBER('Calibração Blaine'!$H$53),'Calibração Blaine'!$H$53,"")</f>
        <v/>
      </c>
      <c r="H141">
        <f>BD_Limites!$E$4</f>
        <v>2030</v>
      </c>
      <c r="I141" t="str">
        <f>IF(OR(G141="",H141=""),"",G141-H141)</f>
        <v/>
      </c>
      <c r="J141">
        <f>BD_Limites!$F$4</f>
        <v>1986</v>
      </c>
      <c r="K141">
        <f>BD_Limites!$G$4</f>
        <v>2074</v>
      </c>
      <c r="M141" t="str">
        <f>IF(G141="","",IF(AND(G141&gt;=J141,G141&lt;=K141),"Conforme","Não conforme"))</f>
        <v/>
      </c>
      <c r="N141" t="str">
        <f>IF('Calibração Blaine'!$N$53&amp;""="","",TRIM('Calibração Blaine'!$N$53&amp;""))</f>
        <v/>
      </c>
      <c r="O141" t="str">
        <f>IF('Calibração Blaine'!$C$53&amp;""="","",TRIM('Calibração Blaine'!$C$53&amp;""))</f>
        <v/>
      </c>
      <c r="P141" t="str">
        <f>IF('Calibração Blaine'!$B$53&amp;""="","",TRIM('Calibração Blaine'!$B$53&amp;""))</f>
        <v>19x07</v>
      </c>
      <c r="Q141" t="s">
        <v>501</v>
      </c>
    </row>
    <row r="142">
      <c r="A142" t="s">
        <v>451</v>
      </c>
      <c r="B142" t="s">
        <v>6</v>
      </c>
      <c r="C142" s="912" t="str">
        <f>IF(N('Calibração Blaine'!$A$54)&gt;0,'Calibração Blaine'!$A$54,"")</f>
        <v/>
      </c>
      <c r="D142" t="str">
        <f>IF('Calibração Blaine'!$D$54&amp;""="","66PB08",TRIM('Calibração Blaine'!$D$54&amp;""))</f>
        <v>66PB08</v>
      </c>
      <c r="E142" t="s">
        <v>452</v>
      </c>
      <c r="F142" t="s">
        <v>453</v>
      </c>
      <c r="G142" t="str">
        <f>IF(ISNUMBER('Calibração Blaine'!$H$54),'Calibração Blaine'!$H$54,"")</f>
        <v/>
      </c>
      <c r="H142">
        <f>BD_Limites!$E$4</f>
        <v>2030</v>
      </c>
      <c r="I142" t="str">
        <f>IF(OR(G142="",H142=""),"",G142-H142)</f>
        <v/>
      </c>
      <c r="J142">
        <f>BD_Limites!$F$4</f>
        <v>1986</v>
      </c>
      <c r="K142">
        <f>BD_Limites!$G$4</f>
        <v>2074</v>
      </c>
      <c r="M142" t="str">
        <f>IF(G142="","",IF(AND(G142&gt;=J142,G142&lt;=K142),"Conforme","Não conforme"))</f>
        <v/>
      </c>
      <c r="N142" t="str">
        <f>IF('Calibração Blaine'!$N$54&amp;""="","",TRIM('Calibração Blaine'!$N$54&amp;""))</f>
        <v/>
      </c>
      <c r="O142" t="str">
        <f>IF('Calibração Blaine'!$C$54&amp;""="","",TRIM('Calibração Blaine'!$C$54&amp;""))</f>
        <v/>
      </c>
      <c r="P142" t="str">
        <f>IF('Calibração Blaine'!$B$54&amp;""="","",TRIM('Calibração Blaine'!$B$54&amp;""))</f>
        <v>07x19</v>
      </c>
      <c r="Q142" t="s">
        <v>502</v>
      </c>
    </row>
    <row r="143">
      <c r="A143" t="s">
        <v>451</v>
      </c>
      <c r="B143" t="s">
        <v>6</v>
      </c>
      <c r="C143" s="912" t="str">
        <f>IF(N('Calibração Blaine'!$A$55)&gt;0,'Calibração Blaine'!$A$55,"")</f>
        <v/>
      </c>
      <c r="D143" t="str">
        <f>IF('Calibração Blaine'!$D$55&amp;""="","66PB08",TRIM('Calibração Blaine'!$D$55&amp;""))</f>
        <v>66PB08</v>
      </c>
      <c r="E143" t="s">
        <v>452</v>
      </c>
      <c r="F143" t="s">
        <v>453</v>
      </c>
      <c r="G143" t="str">
        <f>IF(ISNUMBER('Calibração Blaine'!$H$55),'Calibração Blaine'!$H$55,"")</f>
        <v/>
      </c>
      <c r="H143">
        <f>BD_Limites!$E$4</f>
        <v>2030</v>
      </c>
      <c r="I143" t="str">
        <f>IF(OR(G143="",H143=""),"",G143-H143)</f>
        <v/>
      </c>
      <c r="J143">
        <f>BD_Limites!$F$4</f>
        <v>1986</v>
      </c>
      <c r="K143">
        <f>BD_Limites!$G$4</f>
        <v>2074</v>
      </c>
      <c r="M143" t="str">
        <f>IF(G143="","",IF(AND(G143&gt;=J143,G143&lt;=K143),"Conforme","Não conforme"))</f>
        <v/>
      </c>
      <c r="N143" t="str">
        <f>IF('Calibração Blaine'!$N$55&amp;""="","",TRIM('Calibração Blaine'!$N$55&amp;""))</f>
        <v/>
      </c>
      <c r="O143" t="str">
        <f>IF('Calibração Blaine'!$C$55&amp;""="","",TRIM('Calibração Blaine'!$C$55&amp;""))</f>
        <v/>
      </c>
      <c r="P143" t="str">
        <f>IF('Calibração Blaine'!$B$55&amp;""="","",TRIM('Calibração Blaine'!$B$55&amp;""))</f>
        <v>19x07</v>
      </c>
      <c r="Q143" t="s">
        <v>503</v>
      </c>
    </row>
    <row r="144">
      <c r="A144" t="s">
        <v>451</v>
      </c>
      <c r="B144" t="s">
        <v>6</v>
      </c>
      <c r="C144" s="912" t="str">
        <f>IF(N('Calibração Blaine'!$A$56)&gt;0,'Calibração Blaine'!$A$56,"")</f>
        <v/>
      </c>
      <c r="D144" t="str">
        <f>IF('Calibração Blaine'!$D$56&amp;""="","66PB08",TRIM('Calibração Blaine'!$D$56&amp;""))</f>
        <v>66PB08</v>
      </c>
      <c r="E144" t="s">
        <v>452</v>
      </c>
      <c r="F144" t="s">
        <v>453</v>
      </c>
      <c r="G144" t="str">
        <f>IF(ISNUMBER('Calibração Blaine'!$H$56),'Calibração Blaine'!$H$56,"")</f>
        <v/>
      </c>
      <c r="H144">
        <f>BD_Limites!$E$4</f>
        <v>2030</v>
      </c>
      <c r="I144" t="str">
        <f>IF(OR(G144="",H144=""),"",G144-H144)</f>
        <v/>
      </c>
      <c r="J144">
        <f>BD_Limites!$F$4</f>
        <v>1986</v>
      </c>
      <c r="K144">
        <f>BD_Limites!$G$4</f>
        <v>2074</v>
      </c>
      <c r="M144" t="str">
        <f>IF(G144="","",IF(AND(G144&gt;=J144,G144&lt;=K144),"Conforme","Não conforme"))</f>
        <v/>
      </c>
      <c r="N144" t="str">
        <f>IF('Calibração Blaine'!$N$56&amp;""="","",TRIM('Calibração Blaine'!$N$56&amp;""))</f>
        <v/>
      </c>
      <c r="O144" t="str">
        <f>IF('Calibração Blaine'!$C$56&amp;""="","",TRIM('Calibração Blaine'!$C$56&amp;""))</f>
        <v/>
      </c>
      <c r="P144" t="str">
        <f>IF('Calibração Blaine'!$B$56&amp;""="","",TRIM('Calibração Blaine'!$B$56&amp;""))</f>
        <v>07X19</v>
      </c>
      <c r="Q144" t="s">
        <v>504</v>
      </c>
    </row>
    <row r="145">
      <c r="A145" t="s">
        <v>451</v>
      </c>
      <c r="B145" t="s">
        <v>6</v>
      </c>
      <c r="C145" s="912" t="str">
        <f>IF(N('Calibração Blaine'!$A$57)&gt;0,'Calibração Blaine'!$A$57,"")</f>
        <v/>
      </c>
      <c r="D145" t="str">
        <f>IF('Calibração Blaine'!$D$57&amp;""="","66PB08",TRIM('Calibração Blaine'!$D$57&amp;""))</f>
        <v>66PB08</v>
      </c>
      <c r="E145" t="s">
        <v>452</v>
      </c>
      <c r="F145" t="s">
        <v>453</v>
      </c>
      <c r="G145" t="str">
        <f>IF(ISNUMBER('Calibração Blaine'!$H$57),'Calibração Blaine'!$H$57,"")</f>
        <v/>
      </c>
      <c r="H145">
        <f>BD_Limites!$E$4</f>
        <v>2030</v>
      </c>
      <c r="I145" t="str">
        <f>IF(OR(G145="",H145=""),"",G145-H145)</f>
        <v/>
      </c>
      <c r="J145">
        <f>BD_Limites!$F$4</f>
        <v>1986</v>
      </c>
      <c r="K145">
        <f>BD_Limites!$G$4</f>
        <v>2074</v>
      </c>
      <c r="M145" t="str">
        <f>IF(G145="","",IF(AND(G145&gt;=J145,G145&lt;=K145),"Conforme","Não conforme"))</f>
        <v/>
      </c>
      <c r="N145" t="str">
        <f>IF('Calibração Blaine'!$N$57&amp;""="","",TRIM('Calibração Blaine'!$N$57&amp;""))</f>
        <v/>
      </c>
      <c r="O145" t="str">
        <f>IF('Calibração Blaine'!$C$57&amp;""="","",TRIM('Calibração Blaine'!$C$57&amp;""))</f>
        <v/>
      </c>
      <c r="P145" t="str">
        <f>IF('Calibração Blaine'!$B$57&amp;""="","",TRIM('Calibração Blaine'!$B$57&amp;""))</f>
        <v>19x07</v>
      </c>
      <c r="Q145" t="s">
        <v>505</v>
      </c>
    </row>
    <row r="146">
      <c r="A146" t="s">
        <v>451</v>
      </c>
      <c r="B146" t="s">
        <v>6</v>
      </c>
      <c r="C146" s="912" t="str">
        <f>IF(N('Calibração Blaine'!$A$58)&gt;0,'Calibração Blaine'!$A$58,"")</f>
        <v/>
      </c>
      <c r="D146" t="str">
        <f>IF('Calibração Blaine'!$D$58&amp;""="","66PB08",TRIM('Calibração Blaine'!$D$58&amp;""))</f>
        <v>66PB08</v>
      </c>
      <c r="E146" t="s">
        <v>452</v>
      </c>
      <c r="F146" t="s">
        <v>453</v>
      </c>
      <c r="G146" t="str">
        <f>IF(ISNUMBER('Calibração Blaine'!$H$58),'Calibração Blaine'!$H$58,"")</f>
        <v/>
      </c>
      <c r="H146">
        <f>BD_Limites!$E$4</f>
        <v>2030</v>
      </c>
      <c r="I146" t="str">
        <f>IF(OR(G146="",H146=""),"",G146-H146)</f>
        <v/>
      </c>
      <c r="J146">
        <f>BD_Limites!$F$4</f>
        <v>1986</v>
      </c>
      <c r="K146">
        <f>BD_Limites!$G$4</f>
        <v>2074</v>
      </c>
      <c r="M146" t="str">
        <f>IF(G146="","",IF(AND(G146&gt;=J146,G146&lt;=K146),"Conforme","Não conforme"))</f>
        <v/>
      </c>
      <c r="N146" t="str">
        <f>IF('Calibração Blaine'!$N$58&amp;""="","",TRIM('Calibração Blaine'!$N$58&amp;""))</f>
        <v/>
      </c>
      <c r="O146" t="str">
        <f>IF('Calibração Blaine'!$C$58&amp;""="","",TRIM('Calibração Blaine'!$C$58&amp;""))</f>
        <v/>
      </c>
      <c r="P146" t="str">
        <f>IF('Calibração Blaine'!$B$58&amp;""="","",TRIM('Calibração Blaine'!$B$58&amp;""))</f>
        <v>07x19</v>
      </c>
      <c r="Q146" t="s">
        <v>506</v>
      </c>
    </row>
    <row r="147">
      <c r="A147" t="s">
        <v>451</v>
      </c>
      <c r="B147" t="s">
        <v>6</v>
      </c>
      <c r="C147" s="912" t="str">
        <f>IF(N('Calibração Blaine'!$A$59)&gt;0,'Calibração Blaine'!$A$59,"")</f>
        <v/>
      </c>
      <c r="D147" t="str">
        <f>IF('Calibração Blaine'!$D$59&amp;""="","66PB08",TRIM('Calibração Blaine'!$D$59&amp;""))</f>
        <v>66PB08</v>
      </c>
      <c r="E147" t="s">
        <v>452</v>
      </c>
      <c r="F147" t="s">
        <v>453</v>
      </c>
      <c r="G147" t="str">
        <f>IF(ISNUMBER('Calibração Blaine'!$H$59),'Calibração Blaine'!$H$59,"")</f>
        <v/>
      </c>
      <c r="H147">
        <f>BD_Limites!$E$4</f>
        <v>2030</v>
      </c>
      <c r="I147" t="str">
        <f>IF(OR(G147="",H147=""),"",G147-H147)</f>
        <v/>
      </c>
      <c r="J147">
        <f>BD_Limites!$F$4</f>
        <v>1986</v>
      </c>
      <c r="K147">
        <f>BD_Limites!$G$4</f>
        <v>2074</v>
      </c>
      <c r="M147" t="str">
        <f>IF(G147="","",IF(AND(G147&gt;=J147,G147&lt;=K147),"Conforme","Não conforme"))</f>
        <v/>
      </c>
      <c r="N147" t="str">
        <f>IF('Calibração Blaine'!$N$59&amp;""="","",TRIM('Calibração Blaine'!$N$59&amp;""))</f>
        <v/>
      </c>
      <c r="O147" t="str">
        <f>IF('Calibração Blaine'!$C$59&amp;""="","",TRIM('Calibração Blaine'!$C$59&amp;""))</f>
        <v/>
      </c>
      <c r="P147" t="str">
        <f>IF('Calibração Blaine'!$B$59&amp;""="","",TRIM('Calibração Blaine'!$B$59&amp;""))</f>
        <v>19x07</v>
      </c>
      <c r="Q147" t="s">
        <v>507</v>
      </c>
    </row>
    <row r="148">
      <c r="A148" t="s">
        <v>451</v>
      </c>
      <c r="B148" t="s">
        <v>6</v>
      </c>
      <c r="C148" s="912" t="str">
        <f>IF(N('Calibração Blaine'!$A$60)&gt;0,'Calibração Blaine'!$A$60,"")</f>
        <v/>
      </c>
      <c r="D148" t="str">
        <f>IF('Calibração Blaine'!$D$60&amp;""="","66PB08",TRIM('Calibração Blaine'!$D$60&amp;""))</f>
        <v>66PB08</v>
      </c>
      <c r="E148" t="s">
        <v>452</v>
      </c>
      <c r="F148" t="s">
        <v>453</v>
      </c>
      <c r="G148" t="str">
        <f>IF(ISNUMBER('Calibração Blaine'!$H$60),'Calibração Blaine'!$H$60,"")</f>
        <v/>
      </c>
      <c r="H148">
        <f>BD_Limites!$E$4</f>
        <v>2030</v>
      </c>
      <c r="I148" t="str">
        <f>IF(OR(G148="",H148=""),"",G148-H148)</f>
        <v/>
      </c>
      <c r="J148">
        <f>BD_Limites!$F$4</f>
        <v>1986</v>
      </c>
      <c r="K148">
        <f>BD_Limites!$G$4</f>
        <v>2074</v>
      </c>
      <c r="M148" t="str">
        <f>IF(G148="","",IF(AND(G148&gt;=J148,G148&lt;=K148),"Conforme","Não conforme"))</f>
        <v/>
      </c>
      <c r="N148" t="str">
        <f>IF('Calibração Blaine'!$N$60&amp;""="","",TRIM('Calibração Blaine'!$N$60&amp;""))</f>
        <v/>
      </c>
      <c r="O148" t="str">
        <f>IF('Calibração Blaine'!$C$60&amp;""="","",TRIM('Calibração Blaine'!$C$60&amp;""))</f>
        <v/>
      </c>
      <c r="P148" t="str">
        <f>IF('Calibração Blaine'!$B$60&amp;""="","",TRIM('Calibração Blaine'!$B$60&amp;""))</f>
        <v>07x19</v>
      </c>
      <c r="Q148" t="s">
        <v>508</v>
      </c>
    </row>
    <row r="149">
      <c r="A149" t="s">
        <v>451</v>
      </c>
      <c r="B149" t="s">
        <v>6</v>
      </c>
      <c r="C149" s="912" t="str">
        <f>IF(N('Calibração Blaine'!$A$61)&gt;0,'Calibração Blaine'!$A$61,"")</f>
        <v/>
      </c>
      <c r="D149" t="str">
        <f>IF('Calibração Blaine'!$D$61&amp;""="","66PB08",TRIM('Calibração Blaine'!$D$61&amp;""))</f>
        <v>66PB08</v>
      </c>
      <c r="E149" t="s">
        <v>452</v>
      </c>
      <c r="F149" t="s">
        <v>453</v>
      </c>
      <c r="G149" t="str">
        <f>IF(ISNUMBER('Calibração Blaine'!$H$61),'Calibração Blaine'!$H$61,"")</f>
        <v/>
      </c>
      <c r="H149">
        <f>BD_Limites!$E$4</f>
        <v>2030</v>
      </c>
      <c r="I149" t="str">
        <f>IF(OR(G149="",H149=""),"",G149-H149)</f>
        <v/>
      </c>
      <c r="J149">
        <f>BD_Limites!$F$4</f>
        <v>1986</v>
      </c>
      <c r="K149">
        <f>BD_Limites!$G$4</f>
        <v>2074</v>
      </c>
      <c r="M149" t="str">
        <f>IF(G149="","",IF(AND(G149&gt;=J149,G149&lt;=K149),"Conforme","Não conforme"))</f>
        <v/>
      </c>
      <c r="N149" t="str">
        <f>IF('Calibração Blaine'!$N$61&amp;""="","",TRIM('Calibração Blaine'!$N$61&amp;""))</f>
        <v/>
      </c>
      <c r="O149" t="str">
        <f>IF('Calibração Blaine'!$C$61&amp;""="","",TRIM('Calibração Blaine'!$C$61&amp;""))</f>
        <v/>
      </c>
      <c r="P149" t="str">
        <f>IF('Calibração Blaine'!$B$61&amp;""="","",TRIM('Calibração Blaine'!$B$61&amp;""))</f>
        <v>19x07</v>
      </c>
      <c r="Q149" t="s">
        <v>509</v>
      </c>
    </row>
    <row r="150">
      <c r="A150" t="s">
        <v>451</v>
      </c>
      <c r="B150" t="s">
        <v>6</v>
      </c>
      <c r="C150" s="912" t="str">
        <f>IF(N('Calibração Blaine'!$A$62)&gt;0,'Calibração Blaine'!$A$62,"")</f>
        <v/>
      </c>
      <c r="D150" t="str">
        <f>IF('Calibração Blaine'!$D$62&amp;""="","66PB08",TRIM('Calibração Blaine'!$D$62&amp;""))</f>
        <v>66PB08</v>
      </c>
      <c r="E150" t="s">
        <v>452</v>
      </c>
      <c r="F150" t="s">
        <v>453</v>
      </c>
      <c r="G150" t="str">
        <f>IF(ISNUMBER('Calibração Blaine'!$H$62),'Calibração Blaine'!$H$62,"")</f>
        <v/>
      </c>
      <c r="H150">
        <f>BD_Limites!$E$4</f>
        <v>2030</v>
      </c>
      <c r="I150" t="str">
        <f>IF(OR(G150="",H150=""),"",G150-H150)</f>
        <v/>
      </c>
      <c r="J150">
        <f>BD_Limites!$F$4</f>
        <v>1986</v>
      </c>
      <c r="K150">
        <f>BD_Limites!$G$4</f>
        <v>2074</v>
      </c>
      <c r="M150" t="str">
        <f>IF(G150="","",IF(AND(G150&gt;=J150,G150&lt;=K150),"Conforme","Não conforme"))</f>
        <v/>
      </c>
      <c r="N150" t="str">
        <f>IF('Calibração Blaine'!$N$62&amp;""="","",TRIM('Calibração Blaine'!$N$62&amp;""))</f>
        <v/>
      </c>
      <c r="O150" t="str">
        <f>IF('Calibração Blaine'!$C$62&amp;""="","",TRIM('Calibração Blaine'!$C$62&amp;""))</f>
        <v/>
      </c>
      <c r="P150" t="str">
        <f>IF('Calibração Blaine'!$B$62&amp;""="","",TRIM('Calibração Blaine'!$B$62&amp;""))</f>
        <v>07X19</v>
      </c>
      <c r="Q150" t="s">
        <v>510</v>
      </c>
    </row>
    <row r="151">
      <c r="A151" t="s">
        <v>451</v>
      </c>
      <c r="B151" t="s">
        <v>6</v>
      </c>
      <c r="C151" s="912" t="str">
        <f>IF(N('Calibração Blaine'!$A$63)&gt;0,'Calibração Blaine'!$A$63,"")</f>
        <v/>
      </c>
      <c r="D151" t="str">
        <f>IF('Calibração Blaine'!$D$63&amp;""="","66PB08",TRIM('Calibração Blaine'!$D$63&amp;""))</f>
        <v>66PB08</v>
      </c>
      <c r="E151" t="s">
        <v>452</v>
      </c>
      <c r="F151" t="s">
        <v>453</v>
      </c>
      <c r="G151" t="str">
        <f>IF(ISNUMBER('Calibração Blaine'!$H$63),'Calibração Blaine'!$H$63,"")</f>
        <v/>
      </c>
      <c r="H151">
        <f>BD_Limites!$E$4</f>
        <v>2030</v>
      </c>
      <c r="I151" t="str">
        <f>IF(OR(G151="",H151=""),"",G151-H151)</f>
        <v/>
      </c>
      <c r="J151">
        <f>BD_Limites!$F$4</f>
        <v>1986</v>
      </c>
      <c r="K151">
        <f>BD_Limites!$G$4</f>
        <v>2074</v>
      </c>
      <c r="M151" t="str">
        <f>IF(G151="","",IF(AND(G151&gt;=J151,G151&lt;=K151),"Conforme","Não conforme"))</f>
        <v/>
      </c>
      <c r="N151" t="str">
        <f>IF('Calibração Blaine'!$N$63&amp;""="","",TRIM('Calibração Blaine'!$N$63&amp;""))</f>
        <v/>
      </c>
      <c r="O151" t="str">
        <f>IF('Calibração Blaine'!$C$63&amp;""="","",TRIM('Calibração Blaine'!$C$63&amp;""))</f>
        <v/>
      </c>
      <c r="P151" t="str">
        <f>IF('Calibração Blaine'!$B$63&amp;""="","",TRIM('Calibração Blaine'!$B$63&amp;""))</f>
        <v>19x07</v>
      </c>
      <c r="Q151" t="s">
        <v>511</v>
      </c>
    </row>
    <row r="152">
      <c r="A152" t="s">
        <v>451</v>
      </c>
      <c r="B152" t="s">
        <v>6</v>
      </c>
      <c r="C152" s="912" t="str">
        <f>IF(N('Calibração Blaine'!$A$64)&gt;0,'Calibração Blaine'!$A$64,"")</f>
        <v/>
      </c>
      <c r="D152" t="str">
        <f>IF('Calibração Blaine'!$D$64&amp;""="","66PB08",TRIM('Calibração Blaine'!$D$64&amp;""))</f>
        <v>66PB08</v>
      </c>
      <c r="E152" t="s">
        <v>452</v>
      </c>
      <c r="F152" t="s">
        <v>453</v>
      </c>
      <c r="G152" t="str">
        <f>IF(ISNUMBER('Calibração Blaine'!$H$64),'Calibração Blaine'!$H$64,"")</f>
        <v/>
      </c>
      <c r="H152">
        <f>BD_Limites!$E$4</f>
        <v>2030</v>
      </c>
      <c r="I152" t="str">
        <f>IF(OR(G152="",H152=""),"",G152-H152)</f>
        <v/>
      </c>
      <c r="J152">
        <f>BD_Limites!$F$4</f>
        <v>1986</v>
      </c>
      <c r="K152">
        <f>BD_Limites!$G$4</f>
        <v>2074</v>
      </c>
      <c r="M152" t="str">
        <f>IF(G152="","",IF(AND(G152&gt;=J152,G152&lt;=K152),"Conforme","Não conforme"))</f>
        <v/>
      </c>
      <c r="N152" t="str">
        <f>IF('Calibração Blaine'!$N$64&amp;""="","",TRIM('Calibração Blaine'!$N$64&amp;""))</f>
        <v/>
      </c>
      <c r="O152" t="str">
        <f>IF('Calibração Blaine'!$C$64&amp;""="","",TRIM('Calibração Blaine'!$C$64&amp;""))</f>
        <v/>
      </c>
      <c r="P152" t="str">
        <f>IF('Calibração Blaine'!$B$64&amp;""="","",TRIM('Calibração Blaine'!$B$64&amp;""))</f>
        <v>07x19</v>
      </c>
      <c r="Q152" t="s">
        <v>512</v>
      </c>
    </row>
    <row r="153">
      <c r="A153" t="s">
        <v>451</v>
      </c>
      <c r="B153" t="s">
        <v>6</v>
      </c>
      <c r="C153" s="912" t="str">
        <f>IF(N('Calibração Blaine'!$A$65)&gt;0,'Calibração Blaine'!$A$65,"")</f>
        <v/>
      </c>
      <c r="D153" t="str">
        <f>IF('Calibração Blaine'!$D$65&amp;""="","66PB08",TRIM('Calibração Blaine'!$D$65&amp;""))</f>
        <v>66PB08</v>
      </c>
      <c r="E153" t="s">
        <v>452</v>
      </c>
      <c r="F153" t="s">
        <v>453</v>
      </c>
      <c r="G153" t="str">
        <f>IF(ISNUMBER('Calibração Blaine'!$H$65),'Calibração Blaine'!$H$65,"")</f>
        <v/>
      </c>
      <c r="H153">
        <f>BD_Limites!$E$4</f>
        <v>2030</v>
      </c>
      <c r="I153" t="str">
        <f>IF(OR(G153="",H153=""),"",G153-H153)</f>
        <v/>
      </c>
      <c r="J153">
        <f>BD_Limites!$F$4</f>
        <v>1986</v>
      </c>
      <c r="K153">
        <f>BD_Limites!$G$4</f>
        <v>2074</v>
      </c>
      <c r="M153" t="str">
        <f>IF(G153="","",IF(AND(G153&gt;=J153,G153&lt;=K153),"Conforme","Não conforme"))</f>
        <v/>
      </c>
      <c r="N153" t="str">
        <f>IF('Calibração Blaine'!$N$65&amp;""="","",TRIM('Calibração Blaine'!$N$65&amp;""))</f>
        <v/>
      </c>
      <c r="O153" t="str">
        <f>IF('Calibração Blaine'!$C$65&amp;""="","",TRIM('Calibração Blaine'!$C$65&amp;""))</f>
        <v/>
      </c>
      <c r="P153" t="str">
        <f>IF('Calibração Blaine'!$B$65&amp;""="","",TRIM('Calibração Blaine'!$B$65&amp;""))</f>
        <v>19x07</v>
      </c>
      <c r="Q153" t="s">
        <v>513</v>
      </c>
    </row>
    <row r="154">
      <c r="A154" t="s">
        <v>451</v>
      </c>
      <c r="B154" t="s">
        <v>6</v>
      </c>
      <c r="C154" s="912" t="str">
        <f>IF(N('Calibração Blaine'!$A$66)&gt;0,'Calibração Blaine'!$A$66,"")</f>
        <v/>
      </c>
      <c r="D154" t="str">
        <f>IF('Calibração Blaine'!$D$66&amp;""="","66PB08",TRIM('Calibração Blaine'!$D$66&amp;""))</f>
        <v>66PB08</v>
      </c>
      <c r="E154" t="s">
        <v>452</v>
      </c>
      <c r="F154" t="s">
        <v>453</v>
      </c>
      <c r="G154" t="str">
        <f>IF(ISNUMBER('Calibração Blaine'!$H$66),'Calibração Blaine'!$H$66,"")</f>
        <v/>
      </c>
      <c r="H154">
        <f>BD_Limites!$E$4</f>
        <v>2030</v>
      </c>
      <c r="I154" t="str">
        <f>IF(OR(G154="",H154=""),"",G154-H154)</f>
        <v/>
      </c>
      <c r="J154">
        <f>BD_Limites!$F$4</f>
        <v>1986</v>
      </c>
      <c r="K154">
        <f>BD_Limites!$G$4</f>
        <v>2074</v>
      </c>
      <c r="M154" t="str">
        <f>IF(G154="","",IF(AND(G154&gt;=J154,G154&lt;=K154),"Conforme","Não conforme"))</f>
        <v/>
      </c>
      <c r="N154" t="str">
        <f>IF('Calibração Blaine'!$N$66&amp;""="","",TRIM('Calibração Blaine'!$N$66&amp;""))</f>
        <v/>
      </c>
      <c r="O154" t="str">
        <f>IF('Calibração Blaine'!$C$66&amp;""="","",TRIM('Calibração Blaine'!$C$66&amp;""))</f>
        <v/>
      </c>
      <c r="P154" t="str">
        <f>IF('Calibração Blaine'!$B$66&amp;""="","",TRIM('Calibração Blaine'!$B$66&amp;""))</f>
        <v>07x19</v>
      </c>
      <c r="Q154" t="s">
        <v>514</v>
      </c>
    </row>
    <row r="155">
      <c r="A155" t="s">
        <v>451</v>
      </c>
      <c r="B155" t="s">
        <v>6</v>
      </c>
      <c r="C155" s="912" t="str">
        <f>IF(N('Calibração Blaine'!$A$67)&gt;0,'Calibração Blaine'!$A$67,"")</f>
        <v/>
      </c>
      <c r="D155" t="str">
        <f>IF('Calibração Blaine'!$D$67&amp;""="","66PB08",TRIM('Calibração Blaine'!$D$67&amp;""))</f>
        <v>66PB08</v>
      </c>
      <c r="E155" t="s">
        <v>452</v>
      </c>
      <c r="F155" t="s">
        <v>453</v>
      </c>
      <c r="G155" t="str">
        <f>IF(ISNUMBER('Calibração Blaine'!$H$67),'Calibração Blaine'!$H$67,"")</f>
        <v/>
      </c>
      <c r="H155">
        <f>BD_Limites!$E$4</f>
        <v>2030</v>
      </c>
      <c r="I155" t="str">
        <f>IF(OR(G155="",H155=""),"",G155-H155)</f>
        <v/>
      </c>
      <c r="J155">
        <f>BD_Limites!$F$4</f>
        <v>1986</v>
      </c>
      <c r="K155">
        <f>BD_Limites!$G$4</f>
        <v>2074</v>
      </c>
      <c r="M155" t="str">
        <f>IF(G155="","",IF(AND(G155&gt;=J155,G155&lt;=K155),"Conforme","Não conforme"))</f>
        <v/>
      </c>
      <c r="N155" t="str">
        <f>IF('Calibração Blaine'!$N$67&amp;""="","",TRIM('Calibração Blaine'!$N$67&amp;""))</f>
        <v/>
      </c>
      <c r="O155" t="str">
        <f>IF('Calibração Blaine'!$C$67&amp;""="","",TRIM('Calibração Blaine'!$C$67&amp;""))</f>
        <v/>
      </c>
      <c r="P155" t="str">
        <f>IF('Calibração Blaine'!$B$67&amp;""="","",TRIM('Calibração Blaine'!$B$67&amp;""))</f>
        <v>19x07</v>
      </c>
      <c r="Q155" t="s">
        <v>515</v>
      </c>
    </row>
    <row r="156">
      <c r="A156" t="s">
        <v>451</v>
      </c>
      <c r="B156" t="s">
        <v>6</v>
      </c>
      <c r="C156" s="912" t="str">
        <f>IF(N('Calibração Blaine'!$A$68)&gt;0,'Calibração Blaine'!$A$68,"")</f>
        <v/>
      </c>
      <c r="D156" t="str">
        <f>IF('Calibração Blaine'!$D$68&amp;""="","66PB08",TRIM('Calibração Blaine'!$D$68&amp;""))</f>
        <v>66PB08</v>
      </c>
      <c r="E156" t="s">
        <v>452</v>
      </c>
      <c r="F156" t="s">
        <v>453</v>
      </c>
      <c r="G156" t="str">
        <f>IF(ISNUMBER('Calibração Blaine'!$H$68),'Calibração Blaine'!$H$68,"")</f>
        <v/>
      </c>
      <c r="H156">
        <f>BD_Limites!$E$4</f>
        <v>2030</v>
      </c>
      <c r="I156" t="str">
        <f>IF(OR(G156="",H156=""),"",G156-H156)</f>
        <v/>
      </c>
      <c r="J156">
        <f>BD_Limites!$F$4</f>
        <v>1986</v>
      </c>
      <c r="K156">
        <f>BD_Limites!$G$4</f>
        <v>2074</v>
      </c>
      <c r="M156" t="str">
        <f>IF(G156="","",IF(AND(G156&gt;=J156,G156&lt;=K156),"Conforme","Não conforme"))</f>
        <v/>
      </c>
      <c r="N156" t="str">
        <f>IF('Calibração Blaine'!$N$68&amp;""="","",TRIM('Calibração Blaine'!$N$68&amp;""))</f>
        <v/>
      </c>
      <c r="O156" t="str">
        <f>IF('Calibração Blaine'!$C$68&amp;""="","",TRIM('Calibração Blaine'!$C$68&amp;""))</f>
        <v/>
      </c>
      <c r="P156" t="str">
        <f>IF('Calibração Blaine'!$B$68&amp;""="","",TRIM('Calibração Blaine'!$B$68&amp;""))</f>
        <v>07X19</v>
      </c>
      <c r="Q156" t="s">
        <v>516</v>
      </c>
    </row>
    <row r="157">
      <c r="A157" t="s">
        <v>451</v>
      </c>
      <c r="B157" t="s">
        <v>6</v>
      </c>
      <c r="C157" s="912" t="str">
        <f>IF(N('Calibração Blaine'!$A$69)&gt;0,'Calibração Blaine'!$A$69,"")</f>
        <v/>
      </c>
      <c r="D157" t="str">
        <f>IF('Calibração Blaine'!$D$69&amp;""="","66PB08",TRIM('Calibração Blaine'!$D$69&amp;""))</f>
        <v>66PB08</v>
      </c>
      <c r="E157" t="s">
        <v>452</v>
      </c>
      <c r="F157" t="s">
        <v>453</v>
      </c>
      <c r="G157" t="str">
        <f>IF(ISNUMBER('Calibração Blaine'!$H$69),'Calibração Blaine'!$H$69,"")</f>
        <v/>
      </c>
      <c r="H157">
        <f>BD_Limites!$E$4</f>
        <v>2030</v>
      </c>
      <c r="I157" t="str">
        <f>IF(OR(G157="",H157=""),"",G157-H157)</f>
        <v/>
      </c>
      <c r="J157">
        <f>BD_Limites!$F$4</f>
        <v>1986</v>
      </c>
      <c r="K157">
        <f>BD_Limites!$G$4</f>
        <v>2074</v>
      </c>
      <c r="M157" t="str">
        <f>IF(G157="","",IF(AND(G157&gt;=J157,G157&lt;=K157),"Conforme","Não conforme"))</f>
        <v/>
      </c>
      <c r="N157" t="str">
        <f>IF('Calibração Blaine'!$N$69&amp;""="","",TRIM('Calibração Blaine'!$N$69&amp;""))</f>
        <v/>
      </c>
      <c r="O157" t="str">
        <f>IF('Calibração Blaine'!$C$69&amp;""="","",TRIM('Calibração Blaine'!$C$69&amp;""))</f>
        <v/>
      </c>
      <c r="P157" t="str">
        <f>IF('Calibração Blaine'!$B$69&amp;""="","",TRIM('Calibração Blaine'!$B$69&amp;""))</f>
        <v>19x07</v>
      </c>
      <c r="Q157" t="s">
        <v>517</v>
      </c>
    </row>
    <row r="158">
      <c r="A158" t="s">
        <v>451</v>
      </c>
      <c r="B158" t="s">
        <v>6</v>
      </c>
      <c r="C158" s="912" t="str">
        <f>IF(N('Calibração Blaine'!$A$70)&gt;0,'Calibração Blaine'!$A$70,"")</f>
        <v/>
      </c>
      <c r="D158" t="str">
        <f>IF('Calibração Blaine'!$D$70&amp;""="","66PB08",TRIM('Calibração Blaine'!$D$70&amp;""))</f>
        <v>66PB08</v>
      </c>
      <c r="E158" t="s">
        <v>452</v>
      </c>
      <c r="F158" t="s">
        <v>453</v>
      </c>
      <c r="G158" t="str">
        <f>IF(ISNUMBER('Calibração Blaine'!$H$70),'Calibração Blaine'!$H$70,"")</f>
        <v/>
      </c>
      <c r="H158">
        <f>BD_Limites!$E$4</f>
        <v>2030</v>
      </c>
      <c r="I158" t="str">
        <f>IF(OR(G158="",H158=""),"",G158-H158)</f>
        <v/>
      </c>
      <c r="J158">
        <f>BD_Limites!$F$4</f>
        <v>1986</v>
      </c>
      <c r="K158">
        <f>BD_Limites!$G$4</f>
        <v>2074</v>
      </c>
      <c r="M158" t="str">
        <f>IF(G158="","",IF(AND(G158&gt;=J158,G158&lt;=K158),"Conforme","Não conforme"))</f>
        <v/>
      </c>
      <c r="N158" t="str">
        <f>IF('Calibração Blaine'!$N$70&amp;""="","",TRIM('Calibração Blaine'!$N$70&amp;""))</f>
        <v/>
      </c>
      <c r="O158" t="str">
        <f>IF('Calibração Blaine'!$C$70&amp;""="","",TRIM('Calibração Blaine'!$C$70&amp;""))</f>
        <v/>
      </c>
      <c r="P158" t="str">
        <f>IF('Calibração Blaine'!$B$70&amp;""="","",TRIM('Calibração Blaine'!$B$70&amp;""))</f>
        <v>07x19</v>
      </c>
      <c r="Q158" t="s">
        <v>518</v>
      </c>
    </row>
    <row r="159">
      <c r="A159" t="s">
        <v>451</v>
      </c>
      <c r="B159" t="s">
        <v>6</v>
      </c>
      <c r="C159" s="912" t="str">
        <f>IF(N('Calibração Blaine'!$A$71)&gt;0,'Calibração Blaine'!$A$71,"")</f>
        <v/>
      </c>
      <c r="D159" t="str">
        <f>IF('Calibração Blaine'!$D$71&amp;""="","66PB08",TRIM('Calibração Blaine'!$D$71&amp;""))</f>
        <v>66PB08</v>
      </c>
      <c r="E159" t="s">
        <v>452</v>
      </c>
      <c r="F159" t="s">
        <v>453</v>
      </c>
      <c r="G159" t="str">
        <f>IF(ISNUMBER('Calibração Blaine'!$H$71),'Calibração Blaine'!$H$71,"")</f>
        <v/>
      </c>
      <c r="H159">
        <f>BD_Limites!$E$4</f>
        <v>2030</v>
      </c>
      <c r="I159" t="str">
        <f>IF(OR(G159="",H159=""),"",G159-H159)</f>
        <v/>
      </c>
      <c r="J159">
        <f>BD_Limites!$F$4</f>
        <v>1986</v>
      </c>
      <c r="K159">
        <f>BD_Limites!$G$4</f>
        <v>2074</v>
      </c>
      <c r="M159" t="str">
        <f>IF(G159="","",IF(AND(G159&gt;=J159,G159&lt;=K159),"Conforme","Não conforme"))</f>
        <v/>
      </c>
      <c r="N159" t="str">
        <f>IF('Calibração Blaine'!$N$71&amp;""="","",TRIM('Calibração Blaine'!$N$71&amp;""))</f>
        <v/>
      </c>
      <c r="O159" t="str">
        <f>IF('Calibração Blaine'!$C$71&amp;""="","",TRIM('Calibração Blaine'!$C$71&amp;""))</f>
        <v/>
      </c>
      <c r="P159" t="str">
        <f>IF('Calibração Blaine'!$B$71&amp;""="","",TRIM('Calibração Blaine'!$B$71&amp;""))</f>
        <v>19x07</v>
      </c>
      <c r="Q159" t="s">
        <v>519</v>
      </c>
    </row>
    <row r="160">
      <c r="A160" t="s">
        <v>451</v>
      </c>
      <c r="B160" t="s">
        <v>6</v>
      </c>
      <c r="C160" s="912">
        <f>IF(N('Calibração Blaine'!$A$6)&gt;0,'Calibração Blaine'!$A$6,"")</f>
        <v>46266</v>
      </c>
      <c r="D160" t="s">
        <v>520</v>
      </c>
      <c r="E160" t="s">
        <v>67</v>
      </c>
      <c r="F160" t="s">
        <v>453</v>
      </c>
      <c r="G160" t="str">
        <f>IF(ISNUMBER('Calibração Blaine'!$J$6),'Calibração Blaine'!$J$6,"")</f>
        <v/>
      </c>
      <c r="H160">
        <f>BD_Limites!$E$5</f>
        <v>2120</v>
      </c>
      <c r="I160" t="str">
        <f>IF(OR(G160="",H160=""),"",G160-H160)</f>
        <v/>
      </c>
      <c r="J160">
        <f>BD_Limites!$F$5</f>
        <v>2076</v>
      </c>
      <c r="K160">
        <f>BD_Limites!$G$5</f>
        <v>2164</v>
      </c>
      <c r="M160" t="str">
        <f>IF(G160="","",IF(AND(G160&gt;=J160,G160&lt;=K160),"Conforme","Não conforme"))</f>
        <v/>
      </c>
      <c r="N160" t="str">
        <f>IF('Calibração Blaine'!$N$6&amp;""="","",TRIM('Calibração Blaine'!$N$6&amp;""))</f>
        <v>AKEL</v>
      </c>
      <c r="O160" t="str">
        <f>IF('Calibração Blaine'!$C$6&amp;""="","",TRIM('Calibração Blaine'!$C$6&amp;""))</f>
        <v>C</v>
      </c>
      <c r="P160" t="str">
        <f>IF('Calibração Blaine'!$B$6&amp;""="","",TRIM('Calibração Blaine'!$B$6&amp;""))</f>
        <v>07X19</v>
      </c>
      <c r="Q160" t="s">
        <v>521</v>
      </c>
    </row>
    <row r="161">
      <c r="A161" t="s">
        <v>451</v>
      </c>
      <c r="B161" t="s">
        <v>6</v>
      </c>
      <c r="C161" s="912">
        <f>IF(N('Calibração Blaine'!$A$7)&gt;0,'Calibração Blaine'!$A$7,"")</f>
        <v>46266</v>
      </c>
      <c r="D161" t="s">
        <v>520</v>
      </c>
      <c r="E161" t="s">
        <v>67</v>
      </c>
      <c r="F161" t="s">
        <v>453</v>
      </c>
      <c r="G161" t="str">
        <f>IF(ISNUMBER('Calibração Blaine'!$J$7),'Calibração Blaine'!$J$7,"")</f>
        <v/>
      </c>
      <c r="H161">
        <f>BD_Limites!$E$5</f>
        <v>2120</v>
      </c>
      <c r="I161" t="str">
        <f>IF(OR(G161="",H161=""),"",G161-H161)</f>
        <v/>
      </c>
      <c r="J161">
        <f>BD_Limites!$F$5</f>
        <v>2076</v>
      </c>
      <c r="K161">
        <f>BD_Limites!$G$5</f>
        <v>2164</v>
      </c>
      <c r="M161" t="str">
        <f>IF(G161="","",IF(AND(G161&gt;=J161,G161&lt;=K161),"Conforme","Não conforme"))</f>
        <v/>
      </c>
      <c r="N161" t="str">
        <f>IF('Calibração Blaine'!$N$7&amp;""="","",TRIM('Calibração Blaine'!$N$7&amp;""))</f>
        <v>ALESANDRO</v>
      </c>
      <c r="O161" t="str">
        <f>IF('Calibração Blaine'!$C$7&amp;""="","",TRIM('Calibração Blaine'!$C$7&amp;""))</f>
        <v>A</v>
      </c>
      <c r="P161" t="str">
        <f>IF('Calibração Blaine'!$B$7&amp;""="","",TRIM('Calibração Blaine'!$B$7&amp;""))</f>
        <v>19x07</v>
      </c>
      <c r="Q161" t="s">
        <v>522</v>
      </c>
    </row>
    <row r="162">
      <c r="A162" t="s">
        <v>451</v>
      </c>
      <c r="B162" t="s">
        <v>6</v>
      </c>
      <c r="C162" s="912">
        <f>IF(N('Calibração Blaine'!$A$8)&gt;0,'Calibração Blaine'!$A$8,"")</f>
        <v>46267</v>
      </c>
      <c r="D162" t="s">
        <v>520</v>
      </c>
      <c r="E162" t="s">
        <v>67</v>
      </c>
      <c r="F162" t="s">
        <v>453</v>
      </c>
      <c r="G162" t="str">
        <f>IF(ISNUMBER('Calibração Blaine'!$J$8),'Calibração Blaine'!$J$8,"")</f>
        <v/>
      </c>
      <c r="H162">
        <f>BD_Limites!$E$5</f>
        <v>2120</v>
      </c>
      <c r="I162" t="str">
        <f>IF(OR(G162="",H162=""),"",G162-H162)</f>
        <v/>
      </c>
      <c r="J162">
        <f>BD_Limites!$F$5</f>
        <v>2076</v>
      </c>
      <c r="K162">
        <f>BD_Limites!$G$5</f>
        <v>2164</v>
      </c>
      <c r="M162" t="str">
        <f>IF(G162="","",IF(AND(G162&gt;=J162,G162&lt;=K162),"Conforme","Não conforme"))</f>
        <v/>
      </c>
      <c r="N162" t="str">
        <f>IF('Calibração Blaine'!$N$8&amp;""="","",TRIM('Calibração Blaine'!$N$8&amp;""))</f>
        <v>EBERT</v>
      </c>
      <c r="O162" t="str">
        <f>IF('Calibração Blaine'!$C$8&amp;""="","",TRIM('Calibração Blaine'!$C$8&amp;""))</f>
        <v>D</v>
      </c>
      <c r="P162" t="str">
        <f>IF('Calibração Blaine'!$B$8&amp;""="","",TRIM('Calibração Blaine'!$B$8&amp;""))</f>
        <v>07x19</v>
      </c>
      <c r="Q162" t="s">
        <v>523</v>
      </c>
    </row>
    <row r="163">
      <c r="A163" t="s">
        <v>451</v>
      </c>
      <c r="B163" t="s">
        <v>6</v>
      </c>
      <c r="C163" s="912">
        <f>IF(N('Calibração Blaine'!$A$9)&gt;0,'Calibração Blaine'!$A$9,"")</f>
        <v>46267</v>
      </c>
      <c r="D163" t="s">
        <v>520</v>
      </c>
      <c r="E163" t="s">
        <v>67</v>
      </c>
      <c r="F163" t="s">
        <v>453</v>
      </c>
      <c r="G163" t="str">
        <f>IF(ISNUMBER('Calibração Blaine'!$J$9),'Calibração Blaine'!$J$9,"")</f>
        <v/>
      </c>
      <c r="H163">
        <f>BD_Limites!$E$5</f>
        <v>2120</v>
      </c>
      <c r="I163" t="str">
        <f>IF(OR(G163="",H163=""),"",G163-H163)</f>
        <v/>
      </c>
      <c r="J163">
        <f>BD_Limites!$F$5</f>
        <v>2076</v>
      </c>
      <c r="K163">
        <f>BD_Limites!$G$5</f>
        <v>2164</v>
      </c>
      <c r="M163" t="str">
        <f>IF(G163="","",IF(AND(G163&gt;=J163,G163&lt;=K163),"Conforme","Não conforme"))</f>
        <v/>
      </c>
      <c r="N163" t="str">
        <f>IF('Calibração Blaine'!$N$9&amp;""="","",TRIM('Calibração Blaine'!$N$9&amp;""))</f>
        <v>TAÍS</v>
      </c>
      <c r="O163" t="str">
        <f>IF('Calibração Blaine'!$C$9&amp;""="","",TRIM('Calibração Blaine'!$C$9&amp;""))</f>
        <v>A</v>
      </c>
      <c r="P163" t="str">
        <f>IF('Calibração Blaine'!$B$9&amp;""="","",TRIM('Calibração Blaine'!$B$9&amp;""))</f>
        <v>19x07</v>
      </c>
      <c r="Q163" t="s">
        <v>524</v>
      </c>
    </row>
    <row r="164">
      <c r="A164" t="s">
        <v>451</v>
      </c>
      <c r="B164" t="s">
        <v>6</v>
      </c>
      <c r="C164" s="912">
        <f>IF(N('Calibração Blaine'!$A$10)&gt;0,'Calibração Blaine'!$A$10,"")</f>
        <v>46268</v>
      </c>
      <c r="D164" t="s">
        <v>520</v>
      </c>
      <c r="E164" t="s">
        <v>67</v>
      </c>
      <c r="F164" t="s">
        <v>453</v>
      </c>
      <c r="G164" t="str">
        <f>IF(ISNUMBER('Calibração Blaine'!$J$10),'Calibração Blaine'!$J$10,"")</f>
        <v/>
      </c>
      <c r="H164">
        <f>BD_Limites!$E$5</f>
        <v>2120</v>
      </c>
      <c r="I164" t="str">
        <f>IF(OR(G164="",H164=""),"",G164-H164)</f>
        <v/>
      </c>
      <c r="J164">
        <f>BD_Limites!$F$5</f>
        <v>2076</v>
      </c>
      <c r="K164">
        <f>BD_Limites!$G$5</f>
        <v>2164</v>
      </c>
      <c r="M164" t="str">
        <f>IF(G164="","",IF(AND(G164&gt;=J164,G164&lt;=K164),"Conforme","Não conforme"))</f>
        <v/>
      </c>
      <c r="N164" t="str">
        <f>IF('Calibração Blaine'!$N$10&amp;""="","",TRIM('Calibração Blaine'!$N$10&amp;""))</f>
        <v>ZAINE</v>
      </c>
      <c r="O164" t="str">
        <f>IF('Calibração Blaine'!$C$10&amp;""="","",TRIM('Calibração Blaine'!$C$10&amp;""))</f>
        <v>C</v>
      </c>
      <c r="P164" t="str">
        <f>IF('Calibração Blaine'!$B$10&amp;""="","",TRIM('Calibração Blaine'!$B$10&amp;""))</f>
        <v>07x19</v>
      </c>
      <c r="Q164" t="s">
        <v>525</v>
      </c>
    </row>
    <row r="165">
      <c r="A165" t="s">
        <v>451</v>
      </c>
      <c r="B165" t="s">
        <v>6</v>
      </c>
      <c r="C165" s="912">
        <f>IF(N('Calibração Blaine'!$A$11)&gt;0,'Calibração Blaine'!$A$11,"")</f>
        <v>46268</v>
      </c>
      <c r="D165" t="s">
        <v>520</v>
      </c>
      <c r="E165" t="s">
        <v>67</v>
      </c>
      <c r="F165" t="s">
        <v>453</v>
      </c>
      <c r="G165" t="str">
        <f>IF(ISNUMBER('Calibração Blaine'!$J$11),'Calibração Blaine'!$J$11,"")</f>
        <v/>
      </c>
      <c r="H165">
        <f>BD_Limites!$E$5</f>
        <v>2120</v>
      </c>
      <c r="I165" t="str">
        <f>IF(OR(G165="",H165=""),"",G165-H165)</f>
        <v/>
      </c>
      <c r="J165">
        <f>BD_Limites!$F$5</f>
        <v>2076</v>
      </c>
      <c r="K165">
        <f>BD_Limites!$G$5</f>
        <v>2164</v>
      </c>
      <c r="M165" t="str">
        <f>IF(G165="","",IF(AND(G165&gt;=J165,G165&lt;=K165),"Conforme","Não conforme"))</f>
        <v/>
      </c>
      <c r="N165" t="str">
        <f>IF('Calibração Blaine'!$N$11&amp;""="","",TRIM('Calibração Blaine'!$N$11&amp;""))</f>
        <v>LUIS FELIPE</v>
      </c>
      <c r="O165" t="str">
        <f>IF('Calibração Blaine'!$C$11&amp;""="","",TRIM('Calibração Blaine'!$C$11&amp;""))</f>
        <v>D</v>
      </c>
      <c r="P165" t="str">
        <f>IF('Calibração Blaine'!$B$11&amp;""="","",TRIM('Calibração Blaine'!$B$11&amp;""))</f>
        <v>19x07</v>
      </c>
      <c r="Q165" t="s">
        <v>526</v>
      </c>
    </row>
    <row r="166">
      <c r="A166" t="s">
        <v>451</v>
      </c>
      <c r="B166" t="s">
        <v>6</v>
      </c>
      <c r="C166" s="912">
        <f>IF(N('Calibração Blaine'!$A$12)&gt;0,'Calibração Blaine'!$A$12,"")</f>
        <v>46269</v>
      </c>
      <c r="D166" t="s">
        <v>520</v>
      </c>
      <c r="E166" t="s">
        <v>67</v>
      </c>
      <c r="F166" t="s">
        <v>453</v>
      </c>
      <c r="G166" t="str">
        <f>IF(ISNUMBER('Calibração Blaine'!$J$12),'Calibração Blaine'!$J$12,"")</f>
        <v/>
      </c>
      <c r="H166">
        <f>BD_Limites!$E$5</f>
        <v>2120</v>
      </c>
      <c r="I166" t="str">
        <f>IF(OR(G166="",H166=""),"",G166-H166)</f>
        <v/>
      </c>
      <c r="J166">
        <f>BD_Limites!$F$5</f>
        <v>2076</v>
      </c>
      <c r="K166">
        <f>BD_Limites!$G$5</f>
        <v>2164</v>
      </c>
      <c r="M166" t="str">
        <f>IF(G166="","",IF(AND(G166&gt;=J166,G166&lt;=K166),"Conforme","Não conforme"))</f>
        <v/>
      </c>
      <c r="N166" t="str">
        <f>IF('Calibração Blaine'!$N$12&amp;""="","",TRIM('Calibração Blaine'!$N$12&amp;""))</f>
        <v>RENATO</v>
      </c>
      <c r="O166" t="str">
        <f>IF('Calibração Blaine'!$C$12&amp;""="","",TRIM('Calibração Blaine'!$C$12&amp;""))</f>
        <v>A</v>
      </c>
      <c r="P166" t="str">
        <f>IF('Calibração Blaine'!$B$12&amp;""="","",TRIM('Calibração Blaine'!$B$12&amp;""))</f>
        <v>07X19</v>
      </c>
      <c r="Q166" t="s">
        <v>527</v>
      </c>
    </row>
    <row r="167">
      <c r="A167" t="s">
        <v>451</v>
      </c>
      <c r="B167" t="s">
        <v>6</v>
      </c>
      <c r="C167" s="912">
        <f>IF(N('Calibração Blaine'!$A$13)&gt;0,'Calibração Blaine'!$A$13,"")</f>
        <v>46269</v>
      </c>
      <c r="D167" t="s">
        <v>520</v>
      </c>
      <c r="E167" t="s">
        <v>67</v>
      </c>
      <c r="F167" t="s">
        <v>453</v>
      </c>
      <c r="G167" t="str">
        <f>IF(ISNUMBER('Calibração Blaine'!$J$13),'Calibração Blaine'!$J$13,"")</f>
        <v/>
      </c>
      <c r="H167">
        <f>BD_Limites!$E$5</f>
        <v>2120</v>
      </c>
      <c r="I167" t="str">
        <f>IF(OR(G167="",H167=""),"",G167-H167)</f>
        <v/>
      </c>
      <c r="J167">
        <f>BD_Limites!$F$5</f>
        <v>2076</v>
      </c>
      <c r="K167">
        <f>BD_Limites!$G$5</f>
        <v>2164</v>
      </c>
      <c r="M167" t="str">
        <f>IF(G167="","",IF(AND(G167&gt;=J167,G167&lt;=K167),"Conforme","Não conforme"))</f>
        <v/>
      </c>
      <c r="N167" t="str">
        <f>IF('Calibração Blaine'!$N$13&amp;""="","",TRIM('Calibração Blaine'!$N$13&amp;""))</f>
        <v>FELIPE</v>
      </c>
      <c r="O167" t="str">
        <f>IF('Calibração Blaine'!$C$13&amp;""="","",TRIM('Calibração Blaine'!$C$13&amp;""))</f>
        <v>B</v>
      </c>
      <c r="P167" t="str">
        <f>IF('Calibração Blaine'!$B$13&amp;""="","",TRIM('Calibração Blaine'!$B$13&amp;""))</f>
        <v>19x07</v>
      </c>
      <c r="Q167" t="s">
        <v>528</v>
      </c>
    </row>
    <row r="168">
      <c r="A168" t="s">
        <v>451</v>
      </c>
      <c r="B168" t="s">
        <v>6</v>
      </c>
      <c r="C168" s="912">
        <f>IF(N('Calibração Blaine'!$A$14)&gt;0,'Calibração Blaine'!$A$14,"")</f>
        <v>46270</v>
      </c>
      <c r="D168" t="s">
        <v>520</v>
      </c>
      <c r="E168" t="s">
        <v>67</v>
      </c>
      <c r="F168" t="s">
        <v>453</v>
      </c>
      <c r="G168" t="str">
        <f>IF(ISNUMBER('Calibração Blaine'!$J$14),'Calibração Blaine'!$J$14,"")</f>
        <v/>
      </c>
      <c r="H168">
        <f>BD_Limites!$E$5</f>
        <v>2120</v>
      </c>
      <c r="I168" t="str">
        <f>IF(OR(G168="",H168=""),"",G168-H168)</f>
        <v/>
      </c>
      <c r="J168">
        <f>BD_Limites!$F$5</f>
        <v>2076</v>
      </c>
      <c r="K168">
        <f>BD_Limites!$G$5</f>
        <v>2164</v>
      </c>
      <c r="M168" t="str">
        <f>IF(G168="","",IF(AND(G168&gt;=J168,G168&lt;=K168),"Conforme","Não conforme"))</f>
        <v/>
      </c>
      <c r="N168" t="str">
        <f>IF('Calibração Blaine'!$N$14&amp;""="","",TRIM('Calibração Blaine'!$N$14&amp;""))</f>
        <v>ALESANDRO</v>
      </c>
      <c r="O168" t="str">
        <f>IF('Calibração Blaine'!$C$14&amp;""="","",TRIM('Calibração Blaine'!$C$14&amp;""))</f>
        <v>A</v>
      </c>
      <c r="P168" t="str">
        <f>IF('Calibração Blaine'!$B$14&amp;""="","",TRIM('Calibração Blaine'!$B$14&amp;""))</f>
        <v>07x19</v>
      </c>
      <c r="Q168" t="s">
        <v>529</v>
      </c>
    </row>
    <row r="169">
      <c r="A169" t="s">
        <v>451</v>
      </c>
      <c r="B169" t="s">
        <v>6</v>
      </c>
      <c r="C169" s="912">
        <f>IF(N('Calibração Blaine'!$A$15)&gt;0,'Calibração Blaine'!$A$15,"")</f>
        <v>46270</v>
      </c>
      <c r="D169" t="s">
        <v>520</v>
      </c>
      <c r="E169" t="s">
        <v>67</v>
      </c>
      <c r="F169" t="s">
        <v>453</v>
      </c>
      <c r="G169" t="str">
        <f>IF(ISNUMBER('Calibração Blaine'!$J$15),'Calibração Blaine'!$J$15,"")</f>
        <v/>
      </c>
      <c r="H169">
        <f>BD_Limites!$E$5</f>
        <v>2120</v>
      </c>
      <c r="I169" t="str">
        <f>IF(OR(G169="",H169=""),"",G169-H169)</f>
        <v/>
      </c>
      <c r="J169">
        <f>BD_Limites!$F$5</f>
        <v>2076</v>
      </c>
      <c r="K169">
        <f>BD_Limites!$G$5</f>
        <v>2164</v>
      </c>
      <c r="M169" t="str">
        <f>IF(G169="","",IF(AND(G169&gt;=J169,G169&lt;=K169),"Conforme","Não conforme"))</f>
        <v/>
      </c>
      <c r="N169" t="str">
        <f>IF('Calibração Blaine'!$N$15&amp;""="","",TRIM('Calibração Blaine'!$N$15&amp;""))</f>
        <v>LUIS FELIPE</v>
      </c>
      <c r="O169" t="str">
        <f>IF('Calibração Blaine'!$C$15&amp;""="","",TRIM('Calibração Blaine'!$C$15&amp;""))</f>
        <v>D</v>
      </c>
      <c r="P169" t="str">
        <f>IF('Calibração Blaine'!$B$15&amp;""="","",TRIM('Calibração Blaine'!$B$15&amp;""))</f>
        <v>19x07</v>
      </c>
      <c r="Q169" t="s">
        <v>530</v>
      </c>
    </row>
    <row r="170">
      <c r="A170" t="s">
        <v>451</v>
      </c>
      <c r="B170" t="s">
        <v>6</v>
      </c>
      <c r="C170" s="912">
        <f>IF(N('Calibração Blaine'!$A$16)&gt;0,'Calibração Blaine'!$A$16,"")</f>
        <v>46271</v>
      </c>
      <c r="D170" t="s">
        <v>520</v>
      </c>
      <c r="E170" t="s">
        <v>67</v>
      </c>
      <c r="F170" t="s">
        <v>453</v>
      </c>
      <c r="G170" t="str">
        <f>IF(ISNUMBER('Calibração Blaine'!$J$16),'Calibração Blaine'!$J$16,"")</f>
        <v/>
      </c>
      <c r="H170">
        <f>BD_Limites!$E$5</f>
        <v>2120</v>
      </c>
      <c r="I170" t="str">
        <f>IF(OR(G170="",H170=""),"",G170-H170)</f>
        <v/>
      </c>
      <c r="J170">
        <f>BD_Limites!$F$5</f>
        <v>2076</v>
      </c>
      <c r="K170">
        <f>BD_Limites!$G$5</f>
        <v>2164</v>
      </c>
      <c r="M170" t="str">
        <f>IF(G170="","",IF(AND(G170&gt;=J170,G170&lt;=K170),"Conforme","Não conforme"))</f>
        <v/>
      </c>
      <c r="N170" t="str">
        <f>IF('Calibração Blaine'!$N$16&amp;""="","",TRIM('Calibração Blaine'!$N$16&amp;""))</f>
        <v>RENATO</v>
      </c>
      <c r="O170" t="str">
        <f>IF('Calibração Blaine'!$C$16&amp;""="","",TRIM('Calibração Blaine'!$C$16&amp;""))</f>
        <v>A</v>
      </c>
      <c r="P170" t="str">
        <f>IF('Calibração Blaine'!$B$16&amp;""="","",TRIM('Calibração Blaine'!$B$16&amp;""))</f>
        <v>07x19</v>
      </c>
      <c r="Q170" t="s">
        <v>531</v>
      </c>
    </row>
    <row r="171">
      <c r="A171" t="s">
        <v>451</v>
      </c>
      <c r="B171" t="s">
        <v>6</v>
      </c>
      <c r="C171" s="912">
        <f>IF(N('Calibração Blaine'!$A$17)&gt;0,'Calibração Blaine'!$A$17,"")</f>
        <v>46271</v>
      </c>
      <c r="D171" t="s">
        <v>520</v>
      </c>
      <c r="E171" t="s">
        <v>67</v>
      </c>
      <c r="F171" t="s">
        <v>453</v>
      </c>
      <c r="G171" t="str">
        <f>IF(ISNUMBER('Calibração Blaine'!$J$17),'Calibração Blaine'!$J$17,"")</f>
        <v/>
      </c>
      <c r="H171">
        <f>BD_Limites!$E$5</f>
        <v>2120</v>
      </c>
      <c r="I171" t="str">
        <f>IF(OR(G171="",H171=""),"",G171-H171)</f>
        <v/>
      </c>
      <c r="J171">
        <f>BD_Limites!$F$5</f>
        <v>2076</v>
      </c>
      <c r="K171">
        <f>BD_Limites!$G$5</f>
        <v>2164</v>
      </c>
      <c r="M171" t="str">
        <f>IF(G171="","",IF(AND(G171&gt;=J171,G171&lt;=K171),"Conforme","Não conforme"))</f>
        <v/>
      </c>
      <c r="N171" t="str">
        <f>IF('Calibração Blaine'!$N$17&amp;""="","",TRIM('Calibração Blaine'!$N$17&amp;""))</f>
        <v>FELIPE</v>
      </c>
      <c r="O171" t="str">
        <f>IF('Calibração Blaine'!$C$17&amp;""="","",TRIM('Calibração Blaine'!$C$17&amp;""))</f>
        <v>B</v>
      </c>
      <c r="P171" t="str">
        <f>IF('Calibração Blaine'!$B$17&amp;""="","",TRIM('Calibração Blaine'!$B$17&amp;""))</f>
        <v>19x07</v>
      </c>
      <c r="Q171" t="s">
        <v>532</v>
      </c>
    </row>
    <row r="172">
      <c r="A172" t="s">
        <v>451</v>
      </c>
      <c r="B172" t="s">
        <v>6</v>
      </c>
      <c r="C172" s="912">
        <f>IF(N('Calibração Blaine'!$A$18)&gt;0,'Calibração Blaine'!$A$18,"")</f>
        <v>46272</v>
      </c>
      <c r="D172" t="s">
        <v>520</v>
      </c>
      <c r="E172" t="s">
        <v>67</v>
      </c>
      <c r="F172" t="s">
        <v>453</v>
      </c>
      <c r="G172" t="str">
        <f>IF(ISNUMBER('Calibração Blaine'!$J$18),'Calibração Blaine'!$J$18,"")</f>
        <v/>
      </c>
      <c r="H172">
        <f>BD_Limites!$E$5</f>
        <v>2120</v>
      </c>
      <c r="I172" t="str">
        <f>IF(OR(G172="",H172=""),"",G172-H172)</f>
        <v/>
      </c>
      <c r="J172">
        <f>BD_Limites!$F$5</f>
        <v>2076</v>
      </c>
      <c r="K172">
        <f>BD_Limites!$G$5</f>
        <v>2164</v>
      </c>
      <c r="M172" t="str">
        <f>IF(G172="","",IF(AND(G172&gt;=J172,G172&lt;=K172),"Conforme","Não conforme"))</f>
        <v/>
      </c>
      <c r="N172" t="str">
        <f>IF('Calibração Blaine'!$N$18&amp;""="","",TRIM('Calibração Blaine'!$N$18&amp;""))</f>
        <v>ALESANDRO</v>
      </c>
      <c r="O172" t="str">
        <f>IF('Calibração Blaine'!$C$18&amp;""="","",TRIM('Calibração Blaine'!$C$18&amp;""))</f>
        <v>A</v>
      </c>
      <c r="P172" t="str">
        <f>IF('Calibração Blaine'!$B$18&amp;""="","",TRIM('Calibração Blaine'!$B$18&amp;""))</f>
        <v>07X19</v>
      </c>
      <c r="Q172" t="s">
        <v>533</v>
      </c>
    </row>
    <row r="173">
      <c r="A173" t="s">
        <v>451</v>
      </c>
      <c r="B173" t="s">
        <v>6</v>
      </c>
      <c r="C173" s="912">
        <f>IF(N('Calibração Blaine'!$A$19)&gt;0,'Calibração Blaine'!$A$19,"")</f>
        <v>46272</v>
      </c>
      <c r="D173" t="s">
        <v>520</v>
      </c>
      <c r="E173" t="s">
        <v>67</v>
      </c>
      <c r="F173" t="s">
        <v>453</v>
      </c>
      <c r="G173" t="str">
        <f>IF(ISNUMBER('Calibração Blaine'!$J$19),'Calibração Blaine'!$J$19,"")</f>
        <v/>
      </c>
      <c r="H173">
        <f>BD_Limites!$E$5</f>
        <v>2120</v>
      </c>
      <c r="I173" t="str">
        <f>IF(OR(G173="",H173=""),"",G173-H173)</f>
        <v/>
      </c>
      <c r="J173">
        <f>BD_Limites!$F$5</f>
        <v>2076</v>
      </c>
      <c r="K173">
        <f>BD_Limites!$G$5</f>
        <v>2164</v>
      </c>
      <c r="M173" t="str">
        <f>IF(G173="","",IF(AND(G173&gt;=J173,G173&lt;=K173),"Conforme","Não conforme"))</f>
        <v/>
      </c>
      <c r="N173" t="str">
        <f>IF('Calibração Blaine'!$N$19&amp;""="","",TRIM('Calibração Blaine'!$N$19&amp;""))</f>
        <v>WESLEY</v>
      </c>
      <c r="O173" t="str">
        <f>IF('Calibração Blaine'!$C$19&amp;""="","",TRIM('Calibração Blaine'!$C$19&amp;""))</f>
        <v>D</v>
      </c>
      <c r="P173" t="str">
        <f>IF('Calibração Blaine'!$B$19&amp;""="","",TRIM('Calibração Blaine'!$B$19&amp;""))</f>
        <v>19x07</v>
      </c>
      <c r="Q173" t="s">
        <v>534</v>
      </c>
    </row>
    <row r="174">
      <c r="A174" t="s">
        <v>451</v>
      </c>
      <c r="B174" t="s">
        <v>6</v>
      </c>
      <c r="C174" s="912">
        <f>IF(N('Calibração Blaine'!$A$20)&gt;0,'Calibração Blaine'!$A$20,"")</f>
        <v>46273</v>
      </c>
      <c r="D174" t="s">
        <v>520</v>
      </c>
      <c r="E174" t="s">
        <v>67</v>
      </c>
      <c r="F174" t="s">
        <v>453</v>
      </c>
      <c r="G174" t="str">
        <f>IF(ISNUMBER('Calibração Blaine'!$J$20),'Calibração Blaine'!$J$20,"")</f>
        <v/>
      </c>
      <c r="H174">
        <f>BD_Limites!$E$5</f>
        <v>2120</v>
      </c>
      <c r="I174" t="str">
        <f>IF(OR(G174="",H174=""),"",G174-H174)</f>
        <v/>
      </c>
      <c r="J174">
        <f>BD_Limites!$F$5</f>
        <v>2076</v>
      </c>
      <c r="K174">
        <f>BD_Limites!$G$5</f>
        <v>2164</v>
      </c>
      <c r="M174" t="str">
        <f>IF(G174="","",IF(AND(G174&gt;=J174,G174&lt;=K174),"Conforme","Não conforme"))</f>
        <v/>
      </c>
      <c r="N174" t="str">
        <f>IF('Calibração Blaine'!$N$20&amp;""="","",TRIM('Calibração Blaine'!$N$20&amp;""))</f>
        <v>ZAINE</v>
      </c>
      <c r="O174" t="str">
        <f>IF('Calibração Blaine'!$C$20&amp;""="","",TRIM('Calibração Blaine'!$C$20&amp;""))</f>
        <v>C</v>
      </c>
      <c r="P174" t="str">
        <f>IF('Calibração Blaine'!$B$20&amp;""="","",TRIM('Calibração Blaine'!$B$20&amp;""))</f>
        <v>07x19</v>
      </c>
      <c r="Q174" t="s">
        <v>535</v>
      </c>
    </row>
    <row r="175">
      <c r="A175" t="s">
        <v>451</v>
      </c>
      <c r="B175" t="s">
        <v>6</v>
      </c>
      <c r="C175" s="912">
        <f>IF(N('Calibração Blaine'!$A$21)&gt;0,'Calibração Blaine'!$A$21,"")</f>
        <v>46273</v>
      </c>
      <c r="D175" t="s">
        <v>520</v>
      </c>
      <c r="E175" t="s">
        <v>67</v>
      </c>
      <c r="F175" t="s">
        <v>453</v>
      </c>
      <c r="G175" t="str">
        <f>IF(ISNUMBER('Calibração Blaine'!$J$21),'Calibração Blaine'!$J$21,"")</f>
        <v/>
      </c>
      <c r="H175">
        <f>BD_Limites!$E$5</f>
        <v>2120</v>
      </c>
      <c r="I175" t="str">
        <f>IF(OR(G175="",H175=""),"",G175-H175)</f>
        <v/>
      </c>
      <c r="J175">
        <f>BD_Limites!$F$5</f>
        <v>2076</v>
      </c>
      <c r="K175">
        <f>BD_Limites!$G$5</f>
        <v>2164</v>
      </c>
      <c r="M175" t="str">
        <f>IF(G175="","",IF(AND(G175&gt;=J175,G175&lt;=K175),"Conforme","Não conforme"))</f>
        <v/>
      </c>
      <c r="N175" t="str">
        <f>IF('Calibração Blaine'!$N$21&amp;""="","",TRIM('Calibração Blaine'!$N$21&amp;""))</f>
        <v>RENATO</v>
      </c>
      <c r="O175" t="str">
        <f>IF('Calibração Blaine'!$C$21&amp;""="","",TRIM('Calibração Blaine'!$C$21&amp;""))</f>
        <v>A</v>
      </c>
      <c r="P175" t="str">
        <f>IF('Calibração Blaine'!$B$21&amp;""="","",TRIM('Calibração Blaine'!$B$21&amp;""))</f>
        <v>19x07</v>
      </c>
      <c r="Q175" t="s">
        <v>536</v>
      </c>
    </row>
    <row r="176">
      <c r="A176" t="s">
        <v>451</v>
      </c>
      <c r="B176" t="s">
        <v>6</v>
      </c>
      <c r="C176" s="912">
        <f>IF(N('Calibração Blaine'!$A$22)&gt;0,'Calibração Blaine'!$A$22,"")</f>
        <v>46274</v>
      </c>
      <c r="D176" t="s">
        <v>520</v>
      </c>
      <c r="E176" t="s">
        <v>67</v>
      </c>
      <c r="F176" t="s">
        <v>453</v>
      </c>
      <c r="G176" t="str">
        <f>IF(ISNUMBER('Calibração Blaine'!$J$22),'Calibração Blaine'!$J$22,"")</f>
        <v/>
      </c>
      <c r="H176">
        <f>BD_Limites!$E$5</f>
        <v>2120</v>
      </c>
      <c r="I176" t="str">
        <f>IF(OR(G176="",H176=""),"",G176-H176)</f>
        <v/>
      </c>
      <c r="J176">
        <f>BD_Limites!$F$5</f>
        <v>2076</v>
      </c>
      <c r="K176">
        <f>BD_Limites!$G$5</f>
        <v>2164</v>
      </c>
      <c r="M176" t="str">
        <f>IF(G176="","",IF(AND(G176&gt;=J176,G176&lt;=K176),"Conforme","Não conforme"))</f>
        <v/>
      </c>
      <c r="N176" t="str">
        <f>IF('Calibração Blaine'!$N$22&amp;""="","",TRIM('Calibração Blaine'!$N$22&amp;""))</f>
        <v>ZAINE</v>
      </c>
      <c r="O176" t="str">
        <f>IF('Calibração Blaine'!$C$22&amp;""="","",TRIM('Calibração Blaine'!$C$22&amp;""))</f>
        <v>C</v>
      </c>
      <c r="P176" t="str">
        <f>IF('Calibração Blaine'!$B$22&amp;""="","",TRIM('Calibração Blaine'!$B$22&amp;""))</f>
        <v>07x19</v>
      </c>
      <c r="Q176" t="s">
        <v>537</v>
      </c>
    </row>
    <row r="177">
      <c r="A177" t="s">
        <v>451</v>
      </c>
      <c r="B177" t="s">
        <v>6</v>
      </c>
      <c r="C177" s="912">
        <f>IF(N('Calibração Blaine'!$A$23)&gt;0,'Calibração Blaine'!$A$23,"")</f>
        <v>46274</v>
      </c>
      <c r="D177" t="s">
        <v>520</v>
      </c>
      <c r="E177" t="s">
        <v>67</v>
      </c>
      <c r="F177" t="s">
        <v>453</v>
      </c>
      <c r="G177" t="str">
        <f>IF(ISNUMBER('Calibração Blaine'!$J$23),'Calibração Blaine'!$J$23,"")</f>
        <v/>
      </c>
      <c r="H177">
        <f>BD_Limites!$E$5</f>
        <v>2120</v>
      </c>
      <c r="I177" t="str">
        <f>IF(OR(G177="",H177=""),"",G177-H177)</f>
        <v/>
      </c>
      <c r="J177">
        <f>BD_Limites!$F$5</f>
        <v>2076</v>
      </c>
      <c r="K177">
        <f>BD_Limites!$G$5</f>
        <v>2164</v>
      </c>
      <c r="M177" t="str">
        <f>IF(G177="","",IF(AND(G177&gt;=J177,G177&lt;=K177),"Conforme","Não conforme"))</f>
        <v/>
      </c>
      <c r="N177" t="str">
        <f>IF('Calibração Blaine'!$N$23&amp;""="","",TRIM('Calibração Blaine'!$N$23&amp;""))</f>
        <v>ALESANDRO</v>
      </c>
      <c r="O177" t="str">
        <f>IF('Calibração Blaine'!$C$23&amp;""="","",TRIM('Calibração Blaine'!$C$23&amp;""))</f>
        <v>A</v>
      </c>
      <c r="P177" t="str">
        <f>IF('Calibração Blaine'!$B$23&amp;""="","",TRIM('Calibração Blaine'!$B$23&amp;""))</f>
        <v>19x07</v>
      </c>
      <c r="Q177" t="s">
        <v>538</v>
      </c>
    </row>
    <row r="178">
      <c r="A178" t="s">
        <v>451</v>
      </c>
      <c r="B178" t="s">
        <v>6</v>
      </c>
      <c r="C178" s="912">
        <f>IF(N('Calibração Blaine'!$A$24)&gt;0,'Calibração Blaine'!$A$24,"")</f>
        <v>46275</v>
      </c>
      <c r="D178" t="s">
        <v>520</v>
      </c>
      <c r="E178" t="s">
        <v>67</v>
      </c>
      <c r="F178" t="s">
        <v>453</v>
      </c>
      <c r="G178" t="str">
        <f>IF(ISNUMBER('Calibração Blaine'!$J$24),'Calibração Blaine'!$J$24,"")</f>
        <v/>
      </c>
      <c r="H178">
        <f>BD_Limites!$E$5</f>
        <v>2120</v>
      </c>
      <c r="I178" t="str">
        <f>IF(OR(G178="",H178=""),"",G178-H178)</f>
        <v/>
      </c>
      <c r="J178">
        <f>BD_Limites!$F$5</f>
        <v>2076</v>
      </c>
      <c r="K178">
        <f>BD_Limites!$G$5</f>
        <v>2164</v>
      </c>
      <c r="M178" t="str">
        <f>IF(G178="","",IF(AND(G178&gt;=J178,G178&lt;=K178),"Conforme","Não conforme"))</f>
        <v/>
      </c>
      <c r="N178" t="str">
        <f>IF('Calibração Blaine'!$N$24&amp;""="","",TRIM('Calibração Blaine'!$N$24&amp;""))</f>
        <v>EBERT</v>
      </c>
      <c r="O178" t="str">
        <f>IF('Calibração Blaine'!$C$24&amp;""="","",TRIM('Calibração Blaine'!$C$24&amp;""))</f>
        <v>D</v>
      </c>
      <c r="P178" t="str">
        <f>IF('Calibração Blaine'!$B$24&amp;""="","",TRIM('Calibração Blaine'!$B$24&amp;""))</f>
        <v>07X19</v>
      </c>
      <c r="Q178" t="s">
        <v>539</v>
      </c>
    </row>
    <row r="179">
      <c r="A179" t="s">
        <v>451</v>
      </c>
      <c r="B179" t="s">
        <v>6</v>
      </c>
      <c r="C179" s="912">
        <f>IF(N('Calibração Blaine'!$A$25)&gt;0,'Calibração Blaine'!$A$25,"")</f>
        <v>46275</v>
      </c>
      <c r="D179" t="s">
        <v>520</v>
      </c>
      <c r="E179" t="s">
        <v>67</v>
      </c>
      <c r="F179" t="s">
        <v>453</v>
      </c>
      <c r="G179" t="str">
        <f>IF(ISNUMBER('Calibração Blaine'!$J$25),'Calibração Blaine'!$J$25,"")</f>
        <v/>
      </c>
      <c r="H179">
        <f>BD_Limites!$E$5</f>
        <v>2120</v>
      </c>
      <c r="I179" t="str">
        <f>IF(OR(G179="",H179=""),"",G179-H179)</f>
        <v/>
      </c>
      <c r="J179">
        <f>BD_Limites!$F$5</f>
        <v>2076</v>
      </c>
      <c r="K179">
        <f>BD_Limites!$G$5</f>
        <v>2164</v>
      </c>
      <c r="M179" t="str">
        <f>IF(G179="","",IF(AND(G179&gt;=J179,G179&lt;=K179),"Conforme","Não conforme"))</f>
        <v/>
      </c>
      <c r="N179" t="str">
        <f>IF('Calibração Blaine'!$N$25&amp;""="","",TRIM('Calibração Blaine'!$N$25&amp;""))</f>
        <v>JAC</v>
      </c>
      <c r="O179" t="str">
        <f>IF('Calibração Blaine'!$C$25&amp;""="","",TRIM('Calibração Blaine'!$C$25&amp;""))</f>
        <v>C</v>
      </c>
      <c r="P179" t="str">
        <f>IF('Calibração Blaine'!$B$25&amp;""="","",TRIM('Calibração Blaine'!$B$25&amp;""))</f>
        <v>19x07</v>
      </c>
      <c r="Q179" t="s">
        <v>540</v>
      </c>
    </row>
    <row r="180">
      <c r="A180" t="s">
        <v>451</v>
      </c>
      <c r="B180" t="s">
        <v>6</v>
      </c>
      <c r="C180" s="912">
        <f>IF(N('Calibração Blaine'!$A$26)&gt;0,'Calibração Blaine'!$A$26,"")</f>
        <v>46276</v>
      </c>
      <c r="D180" t="s">
        <v>520</v>
      </c>
      <c r="E180" t="s">
        <v>67</v>
      </c>
      <c r="F180" t="s">
        <v>453</v>
      </c>
      <c r="G180" t="str">
        <f>IF(ISNUMBER('Calibração Blaine'!$J$26),'Calibração Blaine'!$J$26,"")</f>
        <v/>
      </c>
      <c r="H180">
        <f>BD_Limites!$E$5</f>
        <v>2120</v>
      </c>
      <c r="I180" t="str">
        <f>IF(OR(G180="",H180=""),"",G180-H180)</f>
        <v/>
      </c>
      <c r="J180">
        <f>BD_Limites!$F$5</f>
        <v>2076</v>
      </c>
      <c r="K180">
        <f>BD_Limites!$G$5</f>
        <v>2164</v>
      </c>
      <c r="M180" t="str">
        <f>IF(G180="","",IF(AND(G180&gt;=J180,G180&lt;=K180),"Conforme","Não conforme"))</f>
        <v/>
      </c>
      <c r="N180" t="str">
        <f>IF('Calibração Blaine'!$N$26&amp;""="","",TRIM('Calibração Blaine'!$N$26&amp;""))</f>
        <v>EBERT</v>
      </c>
      <c r="O180" t="str">
        <f>IF('Calibração Blaine'!$C$26&amp;""="","",TRIM('Calibração Blaine'!$C$26&amp;""))</f>
        <v>D</v>
      </c>
      <c r="P180" t="str">
        <f>IF('Calibração Blaine'!$B$26&amp;""="","",TRIM('Calibração Blaine'!$B$26&amp;""))</f>
        <v>07x19</v>
      </c>
      <c r="Q180" t="s">
        <v>541</v>
      </c>
    </row>
    <row r="181">
      <c r="A181" t="s">
        <v>451</v>
      </c>
      <c r="B181" t="s">
        <v>6</v>
      </c>
      <c r="C181" s="912">
        <f>IF(N('Calibração Blaine'!$A$27)&gt;0,'Calibração Blaine'!$A$27,"")</f>
        <v>46276</v>
      </c>
      <c r="D181" t="s">
        <v>520</v>
      </c>
      <c r="E181" t="s">
        <v>67</v>
      </c>
      <c r="F181" t="s">
        <v>453</v>
      </c>
      <c r="G181" t="str">
        <f>IF(ISNUMBER('Calibração Blaine'!$J$27),'Calibração Blaine'!$J$27,"")</f>
        <v/>
      </c>
      <c r="H181">
        <f>BD_Limites!$E$5</f>
        <v>2120</v>
      </c>
      <c r="I181" t="str">
        <f>IF(OR(G181="",H181=""),"",G181-H181)</f>
        <v/>
      </c>
      <c r="J181">
        <f>BD_Limites!$F$5</f>
        <v>2076</v>
      </c>
      <c r="K181">
        <f>BD_Limites!$G$5</f>
        <v>2164</v>
      </c>
      <c r="M181" t="str">
        <f>IF(G181="","",IF(AND(G181&gt;=J181,G181&lt;=K181),"Conforme","Não conforme"))</f>
        <v/>
      </c>
      <c r="N181" t="str">
        <f>IF('Calibração Blaine'!$N$27&amp;""="","",TRIM('Calibração Blaine'!$N$27&amp;""))</f>
        <v>ZAINE</v>
      </c>
      <c r="O181" t="str">
        <f>IF('Calibração Blaine'!$C$27&amp;""="","",TRIM('Calibração Blaine'!$C$27&amp;""))</f>
        <v>C</v>
      </c>
      <c r="P181" t="str">
        <f>IF('Calibração Blaine'!$B$27&amp;""="","",TRIM('Calibração Blaine'!$B$27&amp;""))</f>
        <v>19x07</v>
      </c>
      <c r="Q181" t="s">
        <v>542</v>
      </c>
    </row>
    <row r="182">
      <c r="A182" t="s">
        <v>451</v>
      </c>
      <c r="B182" t="s">
        <v>6</v>
      </c>
      <c r="C182" s="912">
        <f>IF(N('Calibração Blaine'!$A$28)&gt;0,'Calibração Blaine'!$A$28,"")</f>
        <v>46277</v>
      </c>
      <c r="D182" t="s">
        <v>520</v>
      </c>
      <c r="E182" t="s">
        <v>67</v>
      </c>
      <c r="F182" t="s">
        <v>453</v>
      </c>
      <c r="G182" t="str">
        <f>IF(ISNUMBER('Calibração Blaine'!$J$28),'Calibração Blaine'!$J$28,"")</f>
        <v/>
      </c>
      <c r="H182">
        <f>BD_Limites!$E$5</f>
        <v>2120</v>
      </c>
      <c r="I182" t="str">
        <f>IF(OR(G182="",H182=""),"",G182-H182)</f>
        <v/>
      </c>
      <c r="J182">
        <f>BD_Limites!$F$5</f>
        <v>2076</v>
      </c>
      <c r="K182">
        <f>BD_Limites!$G$5</f>
        <v>2164</v>
      </c>
      <c r="M182" t="str">
        <f>IF(G182="","",IF(AND(G182&gt;=J182,G182&lt;=K182),"Conforme","Não conforme"))</f>
        <v/>
      </c>
      <c r="N182" t="str">
        <f>IF('Calibração Blaine'!$N$28&amp;""="","",TRIM('Calibração Blaine'!$N$28&amp;""))</f>
        <v>FELIPE</v>
      </c>
      <c r="O182" t="str">
        <f>IF('Calibração Blaine'!$C$28&amp;""="","",TRIM('Calibração Blaine'!$C$28&amp;""))</f>
        <v>B</v>
      </c>
      <c r="P182" t="str">
        <f>IF('Calibração Blaine'!$B$28&amp;""="","",TRIM('Calibração Blaine'!$B$28&amp;""))</f>
        <v>07x19</v>
      </c>
      <c r="Q182" t="s">
        <v>543</v>
      </c>
    </row>
    <row r="183">
      <c r="A183" t="s">
        <v>451</v>
      </c>
      <c r="B183" t="s">
        <v>6</v>
      </c>
      <c r="C183" s="912">
        <f>IF(N('Calibração Blaine'!$A$29)&gt;0,'Calibração Blaine'!$A$29,"")</f>
        <v>46277</v>
      </c>
      <c r="D183" t="s">
        <v>520</v>
      </c>
      <c r="E183" t="s">
        <v>67</v>
      </c>
      <c r="F183" t="s">
        <v>453</v>
      </c>
      <c r="G183" t="str">
        <f>IF(ISNUMBER('Calibração Blaine'!$J$29),'Calibração Blaine'!$J$29,"")</f>
        <v/>
      </c>
      <c r="H183">
        <f>BD_Limites!$E$5</f>
        <v>2120</v>
      </c>
      <c r="I183" t="str">
        <f>IF(OR(G183="",H183=""),"",G183-H183)</f>
        <v/>
      </c>
      <c r="J183">
        <f>BD_Limites!$F$5</f>
        <v>2076</v>
      </c>
      <c r="K183">
        <f>BD_Limites!$G$5</f>
        <v>2164</v>
      </c>
      <c r="M183" t="str">
        <f>IF(G183="","",IF(AND(G183&gt;=J183,G183&lt;=K183),"Conforme","Não conforme"))</f>
        <v/>
      </c>
      <c r="N183" t="str">
        <f>IF('Calibração Blaine'!$N$29&amp;""="","",TRIM('Calibração Blaine'!$N$29&amp;""))</f>
        <v>GABRYELL</v>
      </c>
      <c r="O183" t="str">
        <f>IF('Calibração Blaine'!$C$29&amp;""="","",TRIM('Calibração Blaine'!$C$29&amp;""))</f>
        <v>D</v>
      </c>
      <c r="P183" t="str">
        <f>IF('Calibração Blaine'!$B$29&amp;""="","",TRIM('Calibração Blaine'!$B$29&amp;""))</f>
        <v>19x07</v>
      </c>
      <c r="Q183" t="s">
        <v>544</v>
      </c>
    </row>
    <row r="184">
      <c r="A184" t="s">
        <v>451</v>
      </c>
      <c r="B184" t="s">
        <v>6</v>
      </c>
      <c r="C184" s="912">
        <f>IF(N('Calibração Blaine'!$A$30)&gt;0,'Calibração Blaine'!$A$30,"")</f>
        <v>46278</v>
      </c>
      <c r="D184" t="s">
        <v>520</v>
      </c>
      <c r="E184" t="s">
        <v>67</v>
      </c>
      <c r="F184" t="s">
        <v>453</v>
      </c>
      <c r="G184" t="str">
        <f>IF(ISNUMBER('Calibração Blaine'!$J$30),'Calibração Blaine'!$J$30,"")</f>
        <v/>
      </c>
      <c r="H184">
        <f>BD_Limites!$E$5</f>
        <v>2120</v>
      </c>
      <c r="I184" t="str">
        <f>IF(OR(G184="",H184=""),"",G184-H184)</f>
        <v/>
      </c>
      <c r="J184">
        <f>BD_Limites!$F$5</f>
        <v>2076</v>
      </c>
      <c r="K184">
        <f>BD_Limites!$G$5</f>
        <v>2164</v>
      </c>
      <c r="M184" t="str">
        <f>IF(G184="","",IF(AND(G184&gt;=J184,G184&lt;=K184),"Conforme","Não conforme"))</f>
        <v/>
      </c>
      <c r="N184" t="str">
        <f>IF('Calibração Blaine'!$N$30&amp;""="","",TRIM('Calibração Blaine'!$N$30&amp;""))</f>
        <v>WESLEY</v>
      </c>
      <c r="O184" t="str">
        <f>IF('Calibração Blaine'!$C$30&amp;""="","",TRIM('Calibração Blaine'!$C$30&amp;""))</f>
        <v>B</v>
      </c>
      <c r="P184" t="str">
        <f>IF('Calibração Blaine'!$B$30&amp;""="","",TRIM('Calibração Blaine'!$B$30&amp;""))</f>
        <v>07x19</v>
      </c>
      <c r="Q184" t="s">
        <v>545</v>
      </c>
    </row>
    <row r="185">
      <c r="A185" t="s">
        <v>451</v>
      </c>
      <c r="B185" t="s">
        <v>6</v>
      </c>
      <c r="C185" s="912">
        <f>IF(N('Calibração Blaine'!$A$31)&gt;0,'Calibração Blaine'!$A$31,"")</f>
        <v>46278</v>
      </c>
      <c r="D185" t="s">
        <v>520</v>
      </c>
      <c r="E185" t="s">
        <v>67</v>
      </c>
      <c r="F185" t="s">
        <v>453</v>
      </c>
      <c r="G185" t="str">
        <f>IF(ISNUMBER('Calibração Blaine'!$J$31),'Calibração Blaine'!$J$31,"")</f>
        <v/>
      </c>
      <c r="H185">
        <f>BD_Limites!$E$5</f>
        <v>2120</v>
      </c>
      <c r="I185" t="str">
        <f>IF(OR(G185="",H185=""),"",G185-H185)</f>
        <v/>
      </c>
      <c r="J185">
        <f>BD_Limites!$F$5</f>
        <v>2076</v>
      </c>
      <c r="K185">
        <f>BD_Limites!$G$5</f>
        <v>2164</v>
      </c>
      <c r="M185" t="str">
        <f>IF(G185="","",IF(AND(G185&gt;=J185,G185&lt;=K185),"Conforme","Não conforme"))</f>
        <v/>
      </c>
      <c r="N185" t="str">
        <f>IF('Calibração Blaine'!$N$31&amp;""="","",TRIM('Calibração Blaine'!$N$31&amp;""))</f>
        <v>LUIS FELIPE</v>
      </c>
      <c r="O185" t="str">
        <f>IF('Calibração Blaine'!$C$31&amp;""="","",TRIM('Calibração Blaine'!$C$31&amp;""))</f>
        <v>D</v>
      </c>
      <c r="P185" t="str">
        <f>IF('Calibração Blaine'!$B$31&amp;""="","",TRIM('Calibração Blaine'!$B$31&amp;""))</f>
        <v>19x07</v>
      </c>
      <c r="Q185" t="s">
        <v>546</v>
      </c>
    </row>
    <row r="186">
      <c r="A186" t="s">
        <v>451</v>
      </c>
      <c r="B186" t="s">
        <v>6</v>
      </c>
      <c r="C186" s="912">
        <f>IF(N('Calibração Blaine'!$A$32)&gt;0,'Calibração Blaine'!$A$32,"")</f>
        <v>46279</v>
      </c>
      <c r="D186" t="s">
        <v>520</v>
      </c>
      <c r="E186" t="s">
        <v>67</v>
      </c>
      <c r="F186" t="s">
        <v>453</v>
      </c>
      <c r="G186" t="str">
        <f>IF(ISNUMBER('Calibração Blaine'!$J$32),'Calibração Blaine'!$J$32,"")</f>
        <v/>
      </c>
      <c r="H186">
        <f>BD_Limites!$E$5</f>
        <v>2120</v>
      </c>
      <c r="I186" t="str">
        <f>IF(OR(G186="",H186=""),"",G186-H186)</f>
        <v/>
      </c>
      <c r="J186">
        <f>BD_Limites!$F$5</f>
        <v>2076</v>
      </c>
      <c r="K186">
        <f>BD_Limites!$G$5</f>
        <v>2164</v>
      </c>
      <c r="M186" t="str">
        <f>IF(G186="","",IF(AND(G186&gt;=J186,G186&lt;=K186),"Conforme","Não conforme"))</f>
        <v/>
      </c>
      <c r="N186" t="str">
        <f>IF('Calibração Blaine'!$N$32&amp;""="","",TRIM('Calibração Blaine'!$N$32&amp;""))</f>
        <v>schunck</v>
      </c>
      <c r="O186" t="str">
        <f>IF('Calibração Blaine'!$C$32&amp;""="","",TRIM('Calibração Blaine'!$C$32&amp;""))</f>
        <v>A</v>
      </c>
      <c r="P186" t="str">
        <f>IF('Calibração Blaine'!$B$32&amp;""="","",TRIM('Calibração Blaine'!$B$32&amp;""))</f>
        <v>07X19</v>
      </c>
      <c r="Q186" t="s">
        <v>547</v>
      </c>
    </row>
    <row r="187">
      <c r="A187" t="s">
        <v>451</v>
      </c>
      <c r="B187" t="s">
        <v>6</v>
      </c>
      <c r="C187" s="912">
        <f>IF(N('Calibração Blaine'!$A$33)&gt;0,'Calibração Blaine'!$A$33,"")</f>
        <v>46279</v>
      </c>
      <c r="D187" t="s">
        <v>520</v>
      </c>
      <c r="E187" t="s">
        <v>67</v>
      </c>
      <c r="F187" t="s">
        <v>453</v>
      </c>
      <c r="G187" t="str">
        <f>IF(ISNUMBER('Calibração Blaine'!$J$33),'Calibração Blaine'!$J$33,"")</f>
        <v/>
      </c>
      <c r="H187">
        <f>BD_Limites!$E$5</f>
        <v>2120</v>
      </c>
      <c r="I187" t="str">
        <f>IF(OR(G187="",H187=""),"",G187-H187)</f>
        <v/>
      </c>
      <c r="J187">
        <f>BD_Limites!$F$5</f>
        <v>2076</v>
      </c>
      <c r="K187">
        <f>BD_Limites!$G$5</f>
        <v>2164</v>
      </c>
      <c r="M187" t="str">
        <f>IF(G187="","",IF(AND(G187&gt;=J187,G187&lt;=K187),"Conforme","Não conforme"))</f>
        <v/>
      </c>
      <c r="N187" t="str">
        <f>IF('Calibração Blaine'!$N$33&amp;""="","",TRIM('Calibração Blaine'!$N$33&amp;""))</f>
        <v>FELIPE</v>
      </c>
      <c r="O187" t="str">
        <f>IF('Calibração Blaine'!$C$33&amp;""="","",TRIM('Calibração Blaine'!$C$33&amp;""))</f>
        <v>B</v>
      </c>
      <c r="P187" t="str">
        <f>IF('Calibração Blaine'!$B$33&amp;""="","",TRIM('Calibração Blaine'!$B$33&amp;""))</f>
        <v>19x07</v>
      </c>
      <c r="Q187" t="s">
        <v>548</v>
      </c>
    </row>
    <row r="188">
      <c r="A188" t="s">
        <v>451</v>
      </c>
      <c r="B188" t="s">
        <v>6</v>
      </c>
      <c r="C188" s="912">
        <f>IF(N('Calibração Blaine'!$A$34)&gt;0,'Calibração Blaine'!$A$34,"")</f>
        <v>46280</v>
      </c>
      <c r="D188" t="s">
        <v>520</v>
      </c>
      <c r="E188" t="s">
        <v>67</v>
      </c>
      <c r="F188" t="s">
        <v>453</v>
      </c>
      <c r="G188" t="str">
        <f>IF(ISNUMBER('Calibração Blaine'!$J$34),'Calibração Blaine'!$J$34,"")</f>
        <v/>
      </c>
      <c r="H188">
        <f>BD_Limites!$E$5</f>
        <v>2120</v>
      </c>
      <c r="I188" t="str">
        <f>IF(OR(G188="",H188=""),"",G188-H188)</f>
        <v/>
      </c>
      <c r="J188">
        <f>BD_Limites!$F$5</f>
        <v>2076</v>
      </c>
      <c r="K188">
        <f>BD_Limites!$G$5</f>
        <v>2164</v>
      </c>
      <c r="M188" t="str">
        <f>IF(G188="","",IF(AND(G188&gt;=J188,G188&lt;=K188),"Conforme","Não conforme"))</f>
        <v/>
      </c>
      <c r="N188" t="str">
        <f>IF('Calibração Blaine'!$N$34&amp;""="","",TRIM('Calibração Blaine'!$N$34&amp;""))</f>
        <v>ALESANDRO</v>
      </c>
      <c r="O188" t="str">
        <f>IF('Calibração Blaine'!$C$34&amp;""="","",TRIM('Calibração Blaine'!$C$34&amp;""))</f>
        <v>A</v>
      </c>
      <c r="P188" t="str">
        <f>IF('Calibração Blaine'!$B$34&amp;""="","",TRIM('Calibração Blaine'!$B$34&amp;""))</f>
        <v>07x19</v>
      </c>
      <c r="Q188" t="s">
        <v>549</v>
      </c>
    </row>
    <row r="189">
      <c r="A189" t="s">
        <v>451</v>
      </c>
      <c r="B189" t="s">
        <v>6</v>
      </c>
      <c r="C189" s="912">
        <f>IF(N('Calibração Blaine'!$A$35)&gt;0,'Calibração Blaine'!$A$35,"")</f>
        <v>46280</v>
      </c>
      <c r="D189" t="s">
        <v>520</v>
      </c>
      <c r="E189" t="s">
        <v>67</v>
      </c>
      <c r="F189" t="s">
        <v>453</v>
      </c>
      <c r="G189" t="str">
        <f>IF(ISNUMBER('Calibração Blaine'!$J$35),'Calibração Blaine'!$J$35,"")</f>
        <v/>
      </c>
      <c r="H189">
        <f>BD_Limites!$E$5</f>
        <v>2120</v>
      </c>
      <c r="I189" t="str">
        <f>IF(OR(G189="",H189=""),"",G189-H189)</f>
        <v/>
      </c>
      <c r="J189">
        <f>BD_Limites!$F$5</f>
        <v>2076</v>
      </c>
      <c r="K189">
        <f>BD_Limites!$G$5</f>
        <v>2164</v>
      </c>
      <c r="M189" t="str">
        <f>IF(G189="","",IF(AND(G189&gt;=J189,G189&lt;=K189),"Conforme","Não conforme"))</f>
        <v/>
      </c>
      <c r="N189" t="str">
        <f>IF('Calibração Blaine'!$N$35&amp;""="","",TRIM('Calibração Blaine'!$N$35&amp;""))</f>
        <v>WESLEY</v>
      </c>
      <c r="O189" t="str">
        <f>IF('Calibração Blaine'!$C$35&amp;""="","",TRIM('Calibração Blaine'!$C$35&amp;""))</f>
        <v>B</v>
      </c>
      <c r="P189" t="str">
        <f>IF('Calibração Blaine'!$B$35&amp;""="","",TRIM('Calibração Blaine'!$B$35&amp;""))</f>
        <v>19x07</v>
      </c>
      <c r="Q189" t="s">
        <v>550</v>
      </c>
    </row>
    <row r="190">
      <c r="A190" t="s">
        <v>451</v>
      </c>
      <c r="B190" t="s">
        <v>6</v>
      </c>
      <c r="C190" s="912">
        <f>IF(N('Calibração Blaine'!$A$36)&gt;0,'Calibração Blaine'!$A$36,"")</f>
        <v>46281</v>
      </c>
      <c r="D190" t="s">
        <v>520</v>
      </c>
      <c r="E190" t="s">
        <v>67</v>
      </c>
      <c r="F190" t="s">
        <v>453</v>
      </c>
      <c r="G190" t="str">
        <f>IF(ISNUMBER('Calibração Blaine'!$J$36),'Calibração Blaine'!$J$36,"")</f>
        <v/>
      </c>
      <c r="H190">
        <f>BD_Limites!$E$5</f>
        <v>2120</v>
      </c>
      <c r="I190" t="str">
        <f>IF(OR(G190="",H190=""),"",G190-H190)</f>
        <v/>
      </c>
      <c r="J190">
        <f>BD_Limites!$F$5</f>
        <v>2076</v>
      </c>
      <c r="K190">
        <f>BD_Limites!$G$5</f>
        <v>2164</v>
      </c>
      <c r="M190" t="str">
        <f>IF(G190="","",IF(AND(G190&gt;=J190,G190&lt;=K190),"Conforme","Não conforme"))</f>
        <v/>
      </c>
      <c r="N190" t="str">
        <f>IF('Calibração Blaine'!$N$36&amp;""="","",TRIM('Calibração Blaine'!$N$36&amp;""))</f>
        <v>ZAINE</v>
      </c>
      <c r="O190" t="str">
        <f>IF('Calibração Blaine'!$C$36&amp;""="","",TRIM('Calibração Blaine'!$C$36&amp;""))</f>
        <v>C</v>
      </c>
      <c r="P190" t="str">
        <f>IF('Calibração Blaine'!$B$36&amp;""="","",TRIM('Calibração Blaine'!$B$36&amp;""))</f>
        <v>07x19</v>
      </c>
      <c r="Q190" t="s">
        <v>551</v>
      </c>
    </row>
    <row r="191">
      <c r="A191" t="s">
        <v>451</v>
      </c>
      <c r="B191" t="s">
        <v>6</v>
      </c>
      <c r="C191" s="912">
        <f>IF(N('Calibração Blaine'!$A$37)&gt;0,'Calibração Blaine'!$A$37,"")</f>
        <v>46281</v>
      </c>
      <c r="D191" t="s">
        <v>520</v>
      </c>
      <c r="E191" t="s">
        <v>67</v>
      </c>
      <c r="F191" t="s">
        <v>453</v>
      </c>
      <c r="G191" t="str">
        <f>IF(ISNUMBER('Calibração Blaine'!$J$37),'Calibração Blaine'!$J$37,"")</f>
        <v/>
      </c>
      <c r="H191">
        <f>BD_Limites!$E$5</f>
        <v>2120</v>
      </c>
      <c r="I191" t="str">
        <f>IF(OR(G191="",H191=""),"",G191-H191)</f>
        <v/>
      </c>
      <c r="J191">
        <f>BD_Limites!$F$5</f>
        <v>2076</v>
      </c>
      <c r="K191">
        <f>BD_Limites!$G$5</f>
        <v>2164</v>
      </c>
      <c r="M191" t="str">
        <f>IF(G191="","",IF(AND(G191&gt;=J191,G191&lt;=K191),"Conforme","Não conforme"))</f>
        <v/>
      </c>
      <c r="N191" t="str">
        <f>IF('Calibração Blaine'!$N$37&amp;""="","",TRIM('Calibração Blaine'!$N$37&amp;""))</f>
        <v>RENATO</v>
      </c>
      <c r="O191" t="str">
        <f>IF('Calibração Blaine'!$C$37&amp;""="","",TRIM('Calibração Blaine'!$C$37&amp;""))</f>
        <v>A</v>
      </c>
      <c r="P191" t="str">
        <f>IF('Calibração Blaine'!$B$37&amp;""="","",TRIM('Calibração Blaine'!$B$37&amp;""))</f>
        <v>19x07</v>
      </c>
      <c r="Q191" t="s">
        <v>552</v>
      </c>
    </row>
    <row r="192">
      <c r="A192" t="s">
        <v>451</v>
      </c>
      <c r="B192" t="s">
        <v>6</v>
      </c>
      <c r="C192" s="912" t="str">
        <f>IF(N('Calibração Blaine'!$A$38)&gt;0,'Calibração Blaine'!$A$38,"")</f>
        <v/>
      </c>
      <c r="D192" t="s">
        <v>520</v>
      </c>
      <c r="E192" t="s">
        <v>67</v>
      </c>
      <c r="F192" t="s">
        <v>453</v>
      </c>
      <c r="G192" t="str">
        <f>IF(ISNUMBER('Calibração Blaine'!$J$38),'Calibração Blaine'!$J$38,"")</f>
        <v/>
      </c>
      <c r="H192">
        <f>BD_Limites!$E$5</f>
        <v>2120</v>
      </c>
      <c r="I192" t="str">
        <f>IF(OR(G192="",H192=""),"",G192-H192)</f>
        <v/>
      </c>
      <c r="J192">
        <f>BD_Limites!$F$5</f>
        <v>2076</v>
      </c>
      <c r="K192">
        <f>BD_Limites!$G$5</f>
        <v>2164</v>
      </c>
      <c r="M192" t="str">
        <f>IF(G192="","",IF(AND(G192&gt;=J192,G192&lt;=K192),"Conforme","Não conforme"))</f>
        <v/>
      </c>
      <c r="N192" t="str">
        <f>IF('Calibração Blaine'!$N$38&amp;""="","",TRIM('Calibração Blaine'!$N$38&amp;""))</f>
        <v/>
      </c>
      <c r="O192" t="str">
        <f>IF('Calibração Blaine'!$C$38&amp;""="","",TRIM('Calibração Blaine'!$C$38&amp;""))</f>
        <v/>
      </c>
      <c r="P192" t="str">
        <f>IF('Calibração Blaine'!$B$38&amp;""="","",TRIM('Calibração Blaine'!$B$38&amp;""))</f>
        <v/>
      </c>
      <c r="Q192" t="s">
        <v>553</v>
      </c>
    </row>
    <row r="193">
      <c r="A193" t="s">
        <v>451</v>
      </c>
      <c r="B193" t="s">
        <v>6</v>
      </c>
      <c r="C193" s="912">
        <f>IF(N('Calibração Blaine'!$A$39)&gt;0,'Calibração Blaine'!$A$39,"")</f>
        <v>46282</v>
      </c>
      <c r="D193" t="s">
        <v>520</v>
      </c>
      <c r="E193" t="s">
        <v>67</v>
      </c>
      <c r="F193" t="s">
        <v>453</v>
      </c>
      <c r="G193" t="str">
        <f>IF(ISNUMBER('Calibração Blaine'!$J$39),'Calibração Blaine'!$J$39,"")</f>
        <v/>
      </c>
      <c r="H193">
        <f>BD_Limites!$E$5</f>
        <v>2120</v>
      </c>
      <c r="I193" t="str">
        <f>IF(OR(G193="",H193=""),"",G193-H193)</f>
        <v/>
      </c>
      <c r="J193">
        <f>BD_Limites!$F$5</f>
        <v>2076</v>
      </c>
      <c r="K193">
        <f>BD_Limites!$G$5</f>
        <v>2164</v>
      </c>
      <c r="M193" t="str">
        <f>IF(G193="","",IF(AND(G193&gt;=J193,G193&lt;=K193),"Conforme","Não conforme"))</f>
        <v/>
      </c>
      <c r="N193" t="str">
        <f>IF('Calibração Blaine'!$N$39&amp;""="","",TRIM('Calibração Blaine'!$N$39&amp;""))</f>
        <v>RENATO</v>
      </c>
      <c r="O193" t="str">
        <f>IF('Calibração Blaine'!$C$39&amp;""="","",TRIM('Calibração Blaine'!$C$39&amp;""))</f>
        <v>A</v>
      </c>
      <c r="P193" t="str">
        <f>IF('Calibração Blaine'!$B$39&amp;""="","",TRIM('Calibração Blaine'!$B$39&amp;""))</f>
        <v>19x07</v>
      </c>
      <c r="Q193" t="s">
        <v>554</v>
      </c>
    </row>
    <row r="194">
      <c r="A194" t="s">
        <v>451</v>
      </c>
      <c r="B194" t="s">
        <v>6</v>
      </c>
      <c r="C194" s="912">
        <f>IF(N('Calibração Blaine'!$A$40)&gt;0,'Calibração Blaine'!$A$40,"")</f>
        <v>46283</v>
      </c>
      <c r="D194" t="s">
        <v>520</v>
      </c>
      <c r="E194" t="s">
        <v>67</v>
      </c>
      <c r="F194" t="s">
        <v>453</v>
      </c>
      <c r="G194" t="str">
        <f>IF(ISNUMBER('Calibração Blaine'!$J$40),'Calibração Blaine'!$J$40,"")</f>
        <v/>
      </c>
      <c r="H194">
        <f>BD_Limites!$E$5</f>
        <v>2120</v>
      </c>
      <c r="I194" t="str">
        <f>IF(OR(G194="",H194=""),"",G194-H194)</f>
        <v/>
      </c>
      <c r="J194">
        <f>BD_Limites!$F$5</f>
        <v>2076</v>
      </c>
      <c r="K194">
        <f>BD_Limites!$G$5</f>
        <v>2164</v>
      </c>
      <c r="M194" t="str">
        <f>IF(G194="","",IF(AND(G194&gt;=J194,G194&lt;=K194),"Conforme","Não conforme"))</f>
        <v/>
      </c>
      <c r="N194" t="str">
        <f>IF('Calibração Blaine'!$N$40&amp;""="","",TRIM('Calibração Blaine'!$N$40&amp;""))</f>
        <v>EBERT</v>
      </c>
      <c r="O194" t="str">
        <f>IF('Calibração Blaine'!$C$40&amp;""="","",TRIM('Calibração Blaine'!$C$40&amp;""))</f>
        <v>D</v>
      </c>
      <c r="P194" t="str">
        <f>IF('Calibração Blaine'!$B$40&amp;""="","",TRIM('Calibração Blaine'!$B$40&amp;""))</f>
        <v>07x19</v>
      </c>
      <c r="Q194" t="s">
        <v>555</v>
      </c>
    </row>
    <row r="195">
      <c r="A195" t="s">
        <v>451</v>
      </c>
      <c r="B195" t="s">
        <v>6</v>
      </c>
      <c r="C195" s="912">
        <f>IF(N('Calibração Blaine'!$A$41)&gt;0,'Calibração Blaine'!$A$41,"")</f>
        <v>46284</v>
      </c>
      <c r="D195" t="s">
        <v>520</v>
      </c>
      <c r="E195" t="s">
        <v>67</v>
      </c>
      <c r="F195" t="s">
        <v>453</v>
      </c>
      <c r="G195" t="str">
        <f>IF(ISNUMBER('Calibração Blaine'!$J$41),'Calibração Blaine'!$J$41,"")</f>
        <v/>
      </c>
      <c r="H195">
        <f>BD_Limites!$E$5</f>
        <v>2120</v>
      </c>
      <c r="I195" t="str">
        <f>IF(OR(G195="",H195=""),"",G195-H195)</f>
        <v/>
      </c>
      <c r="J195">
        <f>BD_Limites!$F$5</f>
        <v>2076</v>
      </c>
      <c r="K195">
        <f>BD_Limites!$G$5</f>
        <v>2164</v>
      </c>
      <c r="M195" t="str">
        <f>IF(G195="","",IF(AND(G195&gt;=J195,G195&lt;=K195),"Conforme","Não conforme"))</f>
        <v/>
      </c>
      <c r="N195" t="str">
        <f>IF('Calibração Blaine'!$N$41&amp;""="","",TRIM('Calibração Blaine'!$N$41&amp;""))</f>
        <v>GABRYELL</v>
      </c>
      <c r="O195" t="str">
        <f>IF('Calibração Blaine'!$C$41&amp;""="","",TRIM('Calibração Blaine'!$C$41&amp;""))</f>
        <v>D</v>
      </c>
      <c r="P195" t="str">
        <f>IF('Calibração Blaine'!$B$41&amp;""="","",TRIM('Calibração Blaine'!$B$41&amp;""))</f>
        <v>07X19</v>
      </c>
      <c r="Q195" t="s">
        <v>556</v>
      </c>
    </row>
    <row r="196">
      <c r="A196" t="s">
        <v>451</v>
      </c>
      <c r="B196" t="s">
        <v>6</v>
      </c>
      <c r="C196" s="912">
        <f>IF(N('Calibração Blaine'!$A$42)&gt;0,'Calibração Blaine'!$A$42,"")</f>
        <v>46285</v>
      </c>
      <c r="D196" t="s">
        <v>520</v>
      </c>
      <c r="E196" t="s">
        <v>67</v>
      </c>
      <c r="F196" t="s">
        <v>453</v>
      </c>
      <c r="G196" t="str">
        <f>IF(ISNUMBER('Calibração Blaine'!$J$42),'Calibração Blaine'!$J$42,"")</f>
        <v/>
      </c>
      <c r="H196">
        <f>BD_Limites!$E$5</f>
        <v>2120</v>
      </c>
      <c r="I196" t="str">
        <f>IF(OR(G196="",H196=""),"",G196-H196)</f>
        <v/>
      </c>
      <c r="J196">
        <f>BD_Limites!$F$5</f>
        <v>2076</v>
      </c>
      <c r="K196">
        <f>BD_Limites!$G$5</f>
        <v>2164</v>
      </c>
      <c r="M196" t="str">
        <f>IF(G196="","",IF(AND(G196&gt;=J196,G196&lt;=K196),"Conforme","Não conforme"))</f>
        <v/>
      </c>
      <c r="N196" t="str">
        <f>IF('Calibração Blaine'!$N$42&amp;""="","",TRIM('Calibração Blaine'!$N$42&amp;""))</f>
        <v>fELIPE</v>
      </c>
      <c r="O196" t="str">
        <f>IF('Calibração Blaine'!$C$42&amp;""="","",TRIM('Calibração Blaine'!$C$42&amp;""))</f>
        <v>B</v>
      </c>
      <c r="P196" t="str">
        <f>IF('Calibração Blaine'!$B$42&amp;""="","",TRIM('Calibração Blaine'!$B$42&amp;""))</f>
        <v>07x19</v>
      </c>
      <c r="Q196" t="s">
        <v>557</v>
      </c>
    </row>
    <row r="197">
      <c r="A197" t="s">
        <v>451</v>
      </c>
      <c r="B197" t="s">
        <v>6</v>
      </c>
      <c r="C197" s="912">
        <f>IF(N('Calibração Blaine'!$A$43)&gt;0,'Calibração Blaine'!$A$43,"")</f>
        <v>46285</v>
      </c>
      <c r="D197" t="s">
        <v>520</v>
      </c>
      <c r="E197" t="s">
        <v>67</v>
      </c>
      <c r="F197" t="s">
        <v>453</v>
      </c>
      <c r="G197" t="str">
        <f>IF(ISNUMBER('Calibração Blaine'!$J$43),'Calibração Blaine'!$J$43,"")</f>
        <v/>
      </c>
      <c r="H197">
        <f>BD_Limites!$E$5</f>
        <v>2120</v>
      </c>
      <c r="I197" t="str">
        <f>IF(OR(G197="",H197=""),"",G197-H197)</f>
        <v/>
      </c>
      <c r="J197">
        <f>BD_Limites!$F$5</f>
        <v>2076</v>
      </c>
      <c r="K197">
        <f>BD_Limites!$G$5</f>
        <v>2164</v>
      </c>
      <c r="M197" t="str">
        <f>IF(G197="","",IF(AND(G197&gt;=J197,G197&lt;=K197),"Conforme","Não conforme"))</f>
        <v/>
      </c>
      <c r="N197" t="str">
        <f>IF('Calibração Blaine'!$N$43&amp;""="","",TRIM('Calibração Blaine'!$N$43&amp;""))</f>
        <v>EBERT</v>
      </c>
      <c r="O197" t="str">
        <f>IF('Calibração Blaine'!$C$43&amp;""="","",TRIM('Calibração Blaine'!$C$43&amp;""))</f>
        <v>D</v>
      </c>
      <c r="P197" t="str">
        <f>IF('Calibração Blaine'!$B$43&amp;""="","",TRIM('Calibração Blaine'!$B$43&amp;""))</f>
        <v>19x07</v>
      </c>
      <c r="Q197" t="s">
        <v>558</v>
      </c>
    </row>
    <row r="198">
      <c r="A198" t="s">
        <v>451</v>
      </c>
      <c r="B198" t="s">
        <v>6</v>
      </c>
      <c r="C198" s="912">
        <f>IF(N('Calibração Blaine'!$A$44)&gt;0,'Calibração Blaine'!$A$44,"")</f>
        <v>46286</v>
      </c>
      <c r="D198" t="s">
        <v>520</v>
      </c>
      <c r="E198" t="s">
        <v>67</v>
      </c>
      <c r="F198" t="s">
        <v>453</v>
      </c>
      <c r="G198" t="str">
        <f>IF(ISNUMBER('Calibração Blaine'!$J$44),'Calibração Blaine'!$J$44,"")</f>
        <v/>
      </c>
      <c r="H198">
        <f>BD_Limites!$E$5</f>
        <v>2120</v>
      </c>
      <c r="I198" t="str">
        <f>IF(OR(G198="",H198=""),"",G198-H198)</f>
        <v/>
      </c>
      <c r="J198">
        <f>BD_Limites!$F$5</f>
        <v>2076</v>
      </c>
      <c r="K198">
        <f>BD_Limites!$G$5</f>
        <v>2164</v>
      </c>
      <c r="M198" t="str">
        <f>IF(G198="","",IF(AND(G198&gt;=J198,G198&lt;=K198),"Conforme","Não conforme"))</f>
        <v/>
      </c>
      <c r="N198" t="str">
        <f>IF('Calibração Blaine'!$N$44&amp;""="","",TRIM('Calibração Blaine'!$N$44&amp;""))</f>
        <v>WESLEY</v>
      </c>
      <c r="O198" t="str">
        <f>IF('Calibração Blaine'!$C$44&amp;""="","",TRIM('Calibração Blaine'!$C$44&amp;""))</f>
        <v>B</v>
      </c>
      <c r="P198" t="str">
        <f>IF('Calibração Blaine'!$B$44&amp;""="","",TRIM('Calibração Blaine'!$B$44&amp;""))</f>
        <v>07X19</v>
      </c>
      <c r="Q198" t="s">
        <v>559</v>
      </c>
    </row>
    <row r="199">
      <c r="A199" t="s">
        <v>451</v>
      </c>
      <c r="B199" t="s">
        <v>6</v>
      </c>
      <c r="C199" s="912">
        <f>IF(N('Calibração Blaine'!$A$45)&gt;0,'Calibração Blaine'!$A$45,"")</f>
        <v>46286</v>
      </c>
      <c r="D199" t="s">
        <v>520</v>
      </c>
      <c r="E199" t="s">
        <v>67</v>
      </c>
      <c r="F199" t="s">
        <v>453</v>
      </c>
      <c r="G199" t="str">
        <f>IF(ISNUMBER('Calibração Blaine'!$J$45),'Calibração Blaine'!$J$45,"")</f>
        <v/>
      </c>
      <c r="H199">
        <f>BD_Limites!$E$5</f>
        <v>2120</v>
      </c>
      <c r="I199" t="str">
        <f>IF(OR(G199="",H199=""),"",G199-H199)</f>
        <v/>
      </c>
      <c r="J199">
        <f>BD_Limites!$F$5</f>
        <v>2076</v>
      </c>
      <c r="K199">
        <f>BD_Limites!$G$5</f>
        <v>2164</v>
      </c>
      <c r="M199" t="str">
        <f>IF(G199="","",IF(AND(G199&gt;=J199,G199&lt;=K199),"Conforme","Não conforme"))</f>
        <v/>
      </c>
      <c r="N199" t="str">
        <f>IF('Calibração Blaine'!$N$45&amp;""="","",TRIM('Calibração Blaine'!$N$45&amp;""))</f>
        <v>GABRYELL</v>
      </c>
      <c r="O199" t="str">
        <f>IF('Calibração Blaine'!$C$45&amp;""="","",TRIM('Calibração Blaine'!$C$45&amp;""))</f>
        <v>A</v>
      </c>
      <c r="P199" t="str">
        <f>IF('Calibração Blaine'!$B$45&amp;""="","",TRIM('Calibração Blaine'!$B$45&amp;""))</f>
        <v>19x07</v>
      </c>
      <c r="Q199" t="s">
        <v>560</v>
      </c>
    </row>
    <row r="200">
      <c r="A200" t="s">
        <v>451</v>
      </c>
      <c r="B200" t="s">
        <v>6</v>
      </c>
      <c r="C200" s="912">
        <f>IF(N('Calibração Blaine'!$A$46)&gt;0,'Calibração Blaine'!$A$46,"")</f>
        <v>46287</v>
      </c>
      <c r="D200" t="s">
        <v>520</v>
      </c>
      <c r="E200" t="s">
        <v>67</v>
      </c>
      <c r="F200" t="s">
        <v>453</v>
      </c>
      <c r="G200" t="str">
        <f>IF(ISNUMBER('Calibração Blaine'!$J$46),'Calibração Blaine'!$J$46,"")</f>
        <v/>
      </c>
      <c r="H200">
        <f>BD_Limites!$E$5</f>
        <v>2120</v>
      </c>
      <c r="I200" t="str">
        <f>IF(OR(G200="",H200=""),"",G200-H200)</f>
        <v/>
      </c>
      <c r="J200">
        <f>BD_Limites!$F$5</f>
        <v>2076</v>
      </c>
      <c r="K200">
        <f>BD_Limites!$G$5</f>
        <v>2164</v>
      </c>
      <c r="M200" t="str">
        <f>IF(G200="","",IF(AND(G200&gt;=J200,G200&lt;=K200),"Conforme","Não conforme"))</f>
        <v/>
      </c>
      <c r="N200" t="str">
        <f>IF('Calibração Blaine'!$N$46&amp;""="","",TRIM('Calibração Blaine'!$N$46&amp;""))</f>
        <v>RENATO</v>
      </c>
      <c r="O200" t="str">
        <f>IF('Calibração Blaine'!$C$46&amp;""="","",TRIM('Calibração Blaine'!$C$46&amp;""))</f>
        <v>A</v>
      </c>
      <c r="P200" t="str">
        <f>IF('Calibração Blaine'!$B$46&amp;""="","",TRIM('Calibração Blaine'!$B$46&amp;""))</f>
        <v>07x19</v>
      </c>
      <c r="Q200" t="s">
        <v>561</v>
      </c>
    </row>
    <row r="201">
      <c r="A201" t="s">
        <v>451</v>
      </c>
      <c r="B201" t="s">
        <v>6</v>
      </c>
      <c r="C201" s="912">
        <f>IF(N('Calibração Blaine'!$A$47)&gt;0,'Calibração Blaine'!$A$47,"")</f>
        <v>46287</v>
      </c>
      <c r="D201" t="s">
        <v>520</v>
      </c>
      <c r="E201" t="s">
        <v>67</v>
      </c>
      <c r="F201" t="s">
        <v>453</v>
      </c>
      <c r="G201" t="str">
        <f>IF(ISNUMBER('Calibração Blaine'!$J$47),'Calibração Blaine'!$J$47,"")</f>
        <v/>
      </c>
      <c r="H201">
        <f>BD_Limites!$E$5</f>
        <v>2120</v>
      </c>
      <c r="I201" t="str">
        <f>IF(OR(G201="",H201=""),"",G201-H201)</f>
        <v/>
      </c>
      <c r="J201">
        <f>BD_Limites!$F$5</f>
        <v>2076</v>
      </c>
      <c r="K201">
        <f>BD_Limites!$G$5</f>
        <v>2164</v>
      </c>
      <c r="M201" t="str">
        <f>IF(G201="","",IF(AND(G201&gt;=J201,G201&lt;=K201),"Conforme","Não conforme"))</f>
        <v/>
      </c>
      <c r="N201" t="str">
        <f>IF('Calibração Blaine'!$N$47&amp;""="","",TRIM('Calibração Blaine'!$N$47&amp;""))</f>
        <v>FELIPE</v>
      </c>
      <c r="O201" t="str">
        <f>IF('Calibração Blaine'!$C$47&amp;""="","",TRIM('Calibração Blaine'!$C$47&amp;""))</f>
        <v>B</v>
      </c>
      <c r="P201" t="str">
        <f>IF('Calibração Blaine'!$B$47&amp;""="","",TRIM('Calibração Blaine'!$B$47&amp;""))</f>
        <v>19x07</v>
      </c>
      <c r="Q201" t="s">
        <v>562</v>
      </c>
    </row>
    <row r="202">
      <c r="A202" t="s">
        <v>451</v>
      </c>
      <c r="B202" t="s">
        <v>6</v>
      </c>
      <c r="C202" s="912">
        <f>IF(N('Calibração Blaine'!$A$48)&gt;0,'Calibração Blaine'!$A$48,"")</f>
        <v>46288</v>
      </c>
      <c r="D202" t="s">
        <v>520</v>
      </c>
      <c r="E202" t="s">
        <v>67</v>
      </c>
      <c r="F202" t="s">
        <v>453</v>
      </c>
      <c r="G202" t="str">
        <f>IF(ISNUMBER('Calibração Blaine'!$J$48),'Calibração Blaine'!$J$48,"")</f>
        <v/>
      </c>
      <c r="H202">
        <f>BD_Limites!$E$5</f>
        <v>2120</v>
      </c>
      <c r="I202" t="str">
        <f>IF(OR(G202="",H202=""),"",G202-H202)</f>
        <v/>
      </c>
      <c r="J202">
        <f>BD_Limites!$F$5</f>
        <v>2076</v>
      </c>
      <c r="K202">
        <f>BD_Limites!$G$5</f>
        <v>2164</v>
      </c>
      <c r="M202" t="str">
        <f>IF(G202="","",IF(AND(G202&gt;=J202,G202&lt;=K202),"Conforme","Não conforme"))</f>
        <v/>
      </c>
      <c r="N202" t="str">
        <f>IF('Calibração Blaine'!$N$48&amp;""="","",TRIM('Calibração Blaine'!$N$48&amp;""))</f>
        <v>RENATO</v>
      </c>
      <c r="O202" t="str">
        <f>IF('Calibração Blaine'!$C$48&amp;""="","",TRIM('Calibração Blaine'!$C$48&amp;""))</f>
        <v>A</v>
      </c>
      <c r="P202" t="str">
        <f>IF('Calibração Blaine'!$B$48&amp;""="","",TRIM('Calibração Blaine'!$B$48&amp;""))</f>
        <v>07x19</v>
      </c>
      <c r="Q202" t="s">
        <v>563</v>
      </c>
    </row>
    <row r="203">
      <c r="A203" t="s">
        <v>451</v>
      </c>
      <c r="B203" t="s">
        <v>6</v>
      </c>
      <c r="C203" s="912" t="str">
        <f>IF(N('Calibração Blaine'!$A$49)&gt;0,'Calibração Blaine'!$A$49,"")</f>
        <v/>
      </c>
      <c r="D203" t="s">
        <v>520</v>
      </c>
      <c r="E203" t="s">
        <v>67</v>
      </c>
      <c r="F203" t="s">
        <v>453</v>
      </c>
      <c r="G203" t="str">
        <f>IF(ISNUMBER('Calibração Blaine'!$J$49),'Calibração Blaine'!$J$49,"")</f>
        <v/>
      </c>
      <c r="H203">
        <f>BD_Limites!$E$5</f>
        <v>2120</v>
      </c>
      <c r="I203" t="str">
        <f>IF(OR(G203="",H203=""),"",G203-H203)</f>
        <v/>
      </c>
      <c r="J203">
        <f>BD_Limites!$F$5</f>
        <v>2076</v>
      </c>
      <c r="K203">
        <f>BD_Limites!$G$5</f>
        <v>2164</v>
      </c>
      <c r="M203" t="str">
        <f>IF(G203="","",IF(AND(G203&gt;=J203,G203&lt;=K203),"Conforme","Não conforme"))</f>
        <v/>
      </c>
      <c r="N203" t="str">
        <f>IF('Calibração Blaine'!$N$49&amp;""="","",TRIM('Calibração Blaine'!$N$49&amp;""))</f>
        <v/>
      </c>
      <c r="O203" t="str">
        <f>IF('Calibração Blaine'!$C$49&amp;""="","",TRIM('Calibração Blaine'!$C$49&amp;""))</f>
        <v/>
      </c>
      <c r="P203" t="str">
        <f>IF('Calibração Blaine'!$B$49&amp;""="","",TRIM('Calibração Blaine'!$B$49&amp;""))</f>
        <v>19x07</v>
      </c>
      <c r="Q203" t="s">
        <v>564</v>
      </c>
    </row>
    <row r="204">
      <c r="A204" t="s">
        <v>451</v>
      </c>
      <c r="B204" t="s">
        <v>6</v>
      </c>
      <c r="C204" s="912" t="str">
        <f>IF(N('Calibração Blaine'!$A$50)&gt;0,'Calibração Blaine'!$A$50,"")</f>
        <v/>
      </c>
      <c r="D204" t="s">
        <v>520</v>
      </c>
      <c r="E204" t="s">
        <v>67</v>
      </c>
      <c r="F204" t="s">
        <v>453</v>
      </c>
      <c r="G204" t="str">
        <f>IF(ISNUMBER('Calibração Blaine'!$J$50),'Calibração Blaine'!$J$50,"")</f>
        <v/>
      </c>
      <c r="H204">
        <f>BD_Limites!$E$5</f>
        <v>2120</v>
      </c>
      <c r="I204" t="str">
        <f>IF(OR(G204="",H204=""),"",G204-H204)</f>
        <v/>
      </c>
      <c r="J204">
        <f>BD_Limites!$F$5</f>
        <v>2076</v>
      </c>
      <c r="K204">
        <f>BD_Limites!$G$5</f>
        <v>2164</v>
      </c>
      <c r="M204" t="str">
        <f>IF(G204="","",IF(AND(G204&gt;=J204,G204&lt;=K204),"Conforme","Não conforme"))</f>
        <v/>
      </c>
      <c r="N204" t="str">
        <f>IF('Calibração Blaine'!$N$50&amp;""="","",TRIM('Calibração Blaine'!$N$50&amp;""))</f>
        <v/>
      </c>
      <c r="O204" t="str">
        <f>IF('Calibração Blaine'!$C$50&amp;""="","",TRIM('Calibração Blaine'!$C$50&amp;""))</f>
        <v/>
      </c>
      <c r="P204" t="str">
        <f>IF('Calibração Blaine'!$B$50&amp;""="","",TRIM('Calibração Blaine'!$B$50&amp;""))</f>
        <v>07X19</v>
      </c>
      <c r="Q204" t="s">
        <v>565</v>
      </c>
    </row>
    <row r="205">
      <c r="A205" t="s">
        <v>451</v>
      </c>
      <c r="B205" t="s">
        <v>6</v>
      </c>
      <c r="C205" s="912" t="str">
        <f>IF(N('Calibração Blaine'!$A$51)&gt;0,'Calibração Blaine'!$A$51,"")</f>
        <v/>
      </c>
      <c r="D205" t="s">
        <v>520</v>
      </c>
      <c r="E205" t="s">
        <v>67</v>
      </c>
      <c r="F205" t="s">
        <v>453</v>
      </c>
      <c r="G205" t="str">
        <f>IF(ISNUMBER('Calibração Blaine'!$J$51),'Calibração Blaine'!$J$51,"")</f>
        <v/>
      </c>
      <c r="H205">
        <f>BD_Limites!$E$5</f>
        <v>2120</v>
      </c>
      <c r="I205" t="str">
        <f>IF(OR(G205="",H205=""),"",G205-H205)</f>
        <v/>
      </c>
      <c r="J205">
        <f>BD_Limites!$F$5</f>
        <v>2076</v>
      </c>
      <c r="K205">
        <f>BD_Limites!$G$5</f>
        <v>2164</v>
      </c>
      <c r="M205" t="str">
        <f>IF(G205="","",IF(AND(G205&gt;=J205,G205&lt;=K205),"Conforme","Não conforme"))</f>
        <v/>
      </c>
      <c r="N205" t="str">
        <f>IF('Calibração Blaine'!$N$51&amp;""="","",TRIM('Calibração Blaine'!$N$51&amp;""))</f>
        <v/>
      </c>
      <c r="O205" t="str">
        <f>IF('Calibração Blaine'!$C$51&amp;""="","",TRIM('Calibração Blaine'!$C$51&amp;""))</f>
        <v/>
      </c>
      <c r="P205" t="str">
        <f>IF('Calibração Blaine'!$B$51&amp;""="","",TRIM('Calibração Blaine'!$B$51&amp;""))</f>
        <v>19x07</v>
      </c>
      <c r="Q205" t="s">
        <v>566</v>
      </c>
    </row>
    <row r="206">
      <c r="A206" t="s">
        <v>451</v>
      </c>
      <c r="B206" t="s">
        <v>6</v>
      </c>
      <c r="C206" s="912" t="str">
        <f>IF(N('Calibração Blaine'!$A$52)&gt;0,'Calibração Blaine'!$A$52,"")</f>
        <v/>
      </c>
      <c r="D206" t="s">
        <v>520</v>
      </c>
      <c r="E206" t="s">
        <v>67</v>
      </c>
      <c r="F206" t="s">
        <v>453</v>
      </c>
      <c r="G206" t="str">
        <f>IF(ISNUMBER('Calibração Blaine'!$J$52),'Calibração Blaine'!$J$52,"")</f>
        <v/>
      </c>
      <c r="H206">
        <f>BD_Limites!$E$5</f>
        <v>2120</v>
      </c>
      <c r="I206" t="str">
        <f>IF(OR(G206="",H206=""),"",G206-H206)</f>
        <v/>
      </c>
      <c r="J206">
        <f>BD_Limites!$F$5</f>
        <v>2076</v>
      </c>
      <c r="K206">
        <f>BD_Limites!$G$5</f>
        <v>2164</v>
      </c>
      <c r="M206" t="str">
        <f>IF(G206="","",IF(AND(G206&gt;=J206,G206&lt;=K206),"Conforme","Não conforme"))</f>
        <v/>
      </c>
      <c r="N206" t="str">
        <f>IF('Calibração Blaine'!$N$52&amp;""="","",TRIM('Calibração Blaine'!$N$52&amp;""))</f>
        <v/>
      </c>
      <c r="O206" t="str">
        <f>IF('Calibração Blaine'!$C$52&amp;""="","",TRIM('Calibração Blaine'!$C$52&amp;""))</f>
        <v/>
      </c>
      <c r="P206" t="str">
        <f>IF('Calibração Blaine'!$B$52&amp;""="","",TRIM('Calibração Blaine'!$B$52&amp;""))</f>
        <v>07x19</v>
      </c>
      <c r="Q206" t="s">
        <v>567</v>
      </c>
    </row>
    <row r="207">
      <c r="A207" t="s">
        <v>451</v>
      </c>
      <c r="B207" t="s">
        <v>6</v>
      </c>
      <c r="C207" s="912" t="str">
        <f>IF(N('Calibração Blaine'!$A$53)&gt;0,'Calibração Blaine'!$A$53,"")</f>
        <v/>
      </c>
      <c r="D207" t="s">
        <v>520</v>
      </c>
      <c r="E207" t="s">
        <v>67</v>
      </c>
      <c r="F207" t="s">
        <v>453</v>
      </c>
      <c r="G207" t="str">
        <f>IF(ISNUMBER('Calibração Blaine'!$J$53),'Calibração Blaine'!$J$53,"")</f>
        <v/>
      </c>
      <c r="H207">
        <f>BD_Limites!$E$5</f>
        <v>2120</v>
      </c>
      <c r="I207" t="str">
        <f>IF(OR(G207="",H207=""),"",G207-H207)</f>
        <v/>
      </c>
      <c r="J207">
        <f>BD_Limites!$F$5</f>
        <v>2076</v>
      </c>
      <c r="K207">
        <f>BD_Limites!$G$5</f>
        <v>2164</v>
      </c>
      <c r="M207" t="str">
        <f>IF(G207="","",IF(AND(G207&gt;=J207,G207&lt;=K207),"Conforme","Não conforme"))</f>
        <v/>
      </c>
      <c r="N207" t="str">
        <f>IF('Calibração Blaine'!$N$53&amp;""="","",TRIM('Calibração Blaine'!$N$53&amp;""))</f>
        <v/>
      </c>
      <c r="O207" t="str">
        <f>IF('Calibração Blaine'!$C$53&amp;""="","",TRIM('Calibração Blaine'!$C$53&amp;""))</f>
        <v/>
      </c>
      <c r="P207" t="str">
        <f>IF('Calibração Blaine'!$B$53&amp;""="","",TRIM('Calibração Blaine'!$B$53&amp;""))</f>
        <v>19x07</v>
      </c>
      <c r="Q207" t="s">
        <v>568</v>
      </c>
    </row>
    <row r="208">
      <c r="A208" t="s">
        <v>451</v>
      </c>
      <c r="B208" t="s">
        <v>6</v>
      </c>
      <c r="C208" s="912" t="str">
        <f>IF(N('Calibração Blaine'!$A$54)&gt;0,'Calibração Blaine'!$A$54,"")</f>
        <v/>
      </c>
      <c r="D208" t="s">
        <v>520</v>
      </c>
      <c r="E208" t="s">
        <v>67</v>
      </c>
      <c r="F208" t="s">
        <v>453</v>
      </c>
      <c r="G208" t="str">
        <f>IF(ISNUMBER('Calibração Blaine'!$J$54),'Calibração Blaine'!$J$54,"")</f>
        <v/>
      </c>
      <c r="H208">
        <f>BD_Limites!$E$5</f>
        <v>2120</v>
      </c>
      <c r="I208" t="str">
        <f>IF(OR(G208="",H208=""),"",G208-H208)</f>
        <v/>
      </c>
      <c r="J208">
        <f>BD_Limites!$F$5</f>
        <v>2076</v>
      </c>
      <c r="K208">
        <f>BD_Limites!$G$5</f>
        <v>2164</v>
      </c>
      <c r="M208" t="str">
        <f>IF(G208="","",IF(AND(G208&gt;=J208,G208&lt;=K208),"Conforme","Não conforme"))</f>
        <v/>
      </c>
      <c r="N208" t="str">
        <f>IF('Calibração Blaine'!$N$54&amp;""="","",TRIM('Calibração Blaine'!$N$54&amp;""))</f>
        <v/>
      </c>
      <c r="O208" t="str">
        <f>IF('Calibração Blaine'!$C$54&amp;""="","",TRIM('Calibração Blaine'!$C$54&amp;""))</f>
        <v/>
      </c>
      <c r="P208" t="str">
        <f>IF('Calibração Blaine'!$B$54&amp;""="","",TRIM('Calibração Blaine'!$B$54&amp;""))</f>
        <v>07x19</v>
      </c>
      <c r="Q208" t="s">
        <v>569</v>
      </c>
    </row>
    <row r="209">
      <c r="A209" t="s">
        <v>451</v>
      </c>
      <c r="B209" t="s">
        <v>6</v>
      </c>
      <c r="C209" s="912" t="str">
        <f>IF(N('Calibração Blaine'!$A$55)&gt;0,'Calibração Blaine'!$A$55,"")</f>
        <v/>
      </c>
      <c r="D209" t="s">
        <v>520</v>
      </c>
      <c r="E209" t="s">
        <v>67</v>
      </c>
      <c r="F209" t="s">
        <v>453</v>
      </c>
      <c r="G209" t="str">
        <f>IF(ISNUMBER('Calibração Blaine'!$J$55),'Calibração Blaine'!$J$55,"")</f>
        <v/>
      </c>
      <c r="H209">
        <f>BD_Limites!$E$5</f>
        <v>2120</v>
      </c>
      <c r="I209" t="str">
        <f>IF(OR(G209="",H209=""),"",G209-H209)</f>
        <v/>
      </c>
      <c r="J209">
        <f>BD_Limites!$F$5</f>
        <v>2076</v>
      </c>
      <c r="K209">
        <f>BD_Limites!$G$5</f>
        <v>2164</v>
      </c>
      <c r="M209" t="str">
        <f>IF(G209="","",IF(AND(G209&gt;=J209,G209&lt;=K209),"Conforme","Não conforme"))</f>
        <v/>
      </c>
      <c r="N209" t="str">
        <f>IF('Calibração Blaine'!$N$55&amp;""="","",TRIM('Calibração Blaine'!$N$55&amp;""))</f>
        <v/>
      </c>
      <c r="O209" t="str">
        <f>IF('Calibração Blaine'!$C$55&amp;""="","",TRIM('Calibração Blaine'!$C$55&amp;""))</f>
        <v/>
      </c>
      <c r="P209" t="str">
        <f>IF('Calibração Blaine'!$B$55&amp;""="","",TRIM('Calibração Blaine'!$B$55&amp;""))</f>
        <v>19x07</v>
      </c>
      <c r="Q209" t="s">
        <v>570</v>
      </c>
    </row>
    <row r="210">
      <c r="A210" t="s">
        <v>451</v>
      </c>
      <c r="B210" t="s">
        <v>6</v>
      </c>
      <c r="C210" s="912" t="str">
        <f>IF(N('Calibração Blaine'!$A$56)&gt;0,'Calibração Blaine'!$A$56,"")</f>
        <v/>
      </c>
      <c r="D210" t="s">
        <v>520</v>
      </c>
      <c r="E210" t="s">
        <v>67</v>
      </c>
      <c r="F210" t="s">
        <v>453</v>
      </c>
      <c r="G210" t="str">
        <f>IF(ISNUMBER('Calibração Blaine'!$J$56),'Calibração Blaine'!$J$56,"")</f>
        <v/>
      </c>
      <c r="H210">
        <f>BD_Limites!$E$5</f>
        <v>2120</v>
      </c>
      <c r="I210" t="str">
        <f>IF(OR(G210="",H210=""),"",G210-H210)</f>
        <v/>
      </c>
      <c r="J210">
        <f>BD_Limites!$F$5</f>
        <v>2076</v>
      </c>
      <c r="K210">
        <f>BD_Limites!$G$5</f>
        <v>2164</v>
      </c>
      <c r="M210" t="str">
        <f>IF(G210="","",IF(AND(G210&gt;=J210,G210&lt;=K210),"Conforme","Não conforme"))</f>
        <v/>
      </c>
      <c r="N210" t="str">
        <f>IF('Calibração Blaine'!$N$56&amp;""="","",TRIM('Calibração Blaine'!$N$56&amp;""))</f>
        <v/>
      </c>
      <c r="O210" t="str">
        <f>IF('Calibração Blaine'!$C$56&amp;""="","",TRIM('Calibração Blaine'!$C$56&amp;""))</f>
        <v/>
      </c>
      <c r="P210" t="str">
        <f>IF('Calibração Blaine'!$B$56&amp;""="","",TRIM('Calibração Blaine'!$B$56&amp;""))</f>
        <v>07X19</v>
      </c>
      <c r="Q210" t="s">
        <v>571</v>
      </c>
    </row>
    <row r="211">
      <c r="A211" t="s">
        <v>451</v>
      </c>
      <c r="B211" t="s">
        <v>6</v>
      </c>
      <c r="C211" s="912" t="str">
        <f>IF(N('Calibração Blaine'!$A$57)&gt;0,'Calibração Blaine'!$A$57,"")</f>
        <v/>
      </c>
      <c r="D211" t="s">
        <v>520</v>
      </c>
      <c r="E211" t="s">
        <v>67</v>
      </c>
      <c r="F211" t="s">
        <v>453</v>
      </c>
      <c r="G211" t="str">
        <f>IF(ISNUMBER('Calibração Blaine'!$J$57),'Calibração Blaine'!$J$57,"")</f>
        <v/>
      </c>
      <c r="H211">
        <f>BD_Limites!$E$5</f>
        <v>2120</v>
      </c>
      <c r="I211" t="str">
        <f>IF(OR(G211="",H211=""),"",G211-H211)</f>
        <v/>
      </c>
      <c r="J211">
        <f>BD_Limites!$F$5</f>
        <v>2076</v>
      </c>
      <c r="K211">
        <f>BD_Limites!$G$5</f>
        <v>2164</v>
      </c>
      <c r="M211" t="str">
        <f>IF(G211="","",IF(AND(G211&gt;=J211,G211&lt;=K211),"Conforme","Não conforme"))</f>
        <v/>
      </c>
      <c r="N211" t="str">
        <f>IF('Calibração Blaine'!$N$57&amp;""="","",TRIM('Calibração Blaine'!$N$57&amp;""))</f>
        <v/>
      </c>
      <c r="O211" t="str">
        <f>IF('Calibração Blaine'!$C$57&amp;""="","",TRIM('Calibração Blaine'!$C$57&amp;""))</f>
        <v/>
      </c>
      <c r="P211" t="str">
        <f>IF('Calibração Blaine'!$B$57&amp;""="","",TRIM('Calibração Blaine'!$B$57&amp;""))</f>
        <v>19x07</v>
      </c>
      <c r="Q211" t="s">
        <v>572</v>
      </c>
    </row>
    <row r="212">
      <c r="A212" t="s">
        <v>451</v>
      </c>
      <c r="B212" t="s">
        <v>6</v>
      </c>
      <c r="C212" s="912" t="str">
        <f>IF(N('Calibração Blaine'!$A$58)&gt;0,'Calibração Blaine'!$A$58,"")</f>
        <v/>
      </c>
      <c r="D212" t="s">
        <v>520</v>
      </c>
      <c r="E212" t="s">
        <v>67</v>
      </c>
      <c r="F212" t="s">
        <v>453</v>
      </c>
      <c r="G212" t="str">
        <f>IF(ISNUMBER('Calibração Blaine'!$J$58),'Calibração Blaine'!$J$58,"")</f>
        <v/>
      </c>
      <c r="H212">
        <f>BD_Limites!$E$5</f>
        <v>2120</v>
      </c>
      <c r="I212" t="str">
        <f>IF(OR(G212="",H212=""),"",G212-H212)</f>
        <v/>
      </c>
      <c r="J212">
        <f>BD_Limites!$F$5</f>
        <v>2076</v>
      </c>
      <c r="K212">
        <f>BD_Limites!$G$5</f>
        <v>2164</v>
      </c>
      <c r="M212" t="str">
        <f>IF(G212="","",IF(AND(G212&gt;=J212,G212&lt;=K212),"Conforme","Não conforme"))</f>
        <v/>
      </c>
      <c r="N212" t="str">
        <f>IF('Calibração Blaine'!$N$58&amp;""="","",TRIM('Calibração Blaine'!$N$58&amp;""))</f>
        <v/>
      </c>
      <c r="O212" t="str">
        <f>IF('Calibração Blaine'!$C$58&amp;""="","",TRIM('Calibração Blaine'!$C$58&amp;""))</f>
        <v/>
      </c>
      <c r="P212" t="str">
        <f>IF('Calibração Blaine'!$B$58&amp;""="","",TRIM('Calibração Blaine'!$B$58&amp;""))</f>
        <v>07x19</v>
      </c>
      <c r="Q212" t="s">
        <v>573</v>
      </c>
    </row>
    <row r="213">
      <c r="A213" t="s">
        <v>451</v>
      </c>
      <c r="B213" t="s">
        <v>6</v>
      </c>
      <c r="C213" s="912" t="str">
        <f>IF(N('Calibração Blaine'!$A$59)&gt;0,'Calibração Blaine'!$A$59,"")</f>
        <v/>
      </c>
      <c r="D213" t="s">
        <v>520</v>
      </c>
      <c r="E213" t="s">
        <v>67</v>
      </c>
      <c r="F213" t="s">
        <v>453</v>
      </c>
      <c r="G213" t="str">
        <f>IF(ISNUMBER('Calibração Blaine'!$J$59),'Calibração Blaine'!$J$59,"")</f>
        <v/>
      </c>
      <c r="H213">
        <f>BD_Limites!$E$5</f>
        <v>2120</v>
      </c>
      <c r="I213" t="str">
        <f>IF(OR(G213="",H213=""),"",G213-H213)</f>
        <v/>
      </c>
      <c r="J213">
        <f>BD_Limites!$F$5</f>
        <v>2076</v>
      </c>
      <c r="K213">
        <f>BD_Limites!$G$5</f>
        <v>2164</v>
      </c>
      <c r="M213" t="str">
        <f>IF(G213="","",IF(AND(G213&gt;=J213,G213&lt;=K213),"Conforme","Não conforme"))</f>
        <v/>
      </c>
      <c r="N213" t="str">
        <f>IF('Calibração Blaine'!$N$59&amp;""="","",TRIM('Calibração Blaine'!$N$59&amp;""))</f>
        <v/>
      </c>
      <c r="O213" t="str">
        <f>IF('Calibração Blaine'!$C$59&amp;""="","",TRIM('Calibração Blaine'!$C$59&amp;""))</f>
        <v/>
      </c>
      <c r="P213" t="str">
        <f>IF('Calibração Blaine'!$B$59&amp;""="","",TRIM('Calibração Blaine'!$B$59&amp;""))</f>
        <v>19x07</v>
      </c>
      <c r="Q213" t="s">
        <v>574</v>
      </c>
    </row>
    <row r="214">
      <c r="A214" t="s">
        <v>451</v>
      </c>
      <c r="B214" t="s">
        <v>6</v>
      </c>
      <c r="C214" s="912" t="str">
        <f>IF(N('Calibração Blaine'!$A$60)&gt;0,'Calibração Blaine'!$A$60,"")</f>
        <v/>
      </c>
      <c r="D214" t="s">
        <v>520</v>
      </c>
      <c r="E214" t="s">
        <v>67</v>
      </c>
      <c r="F214" t="s">
        <v>453</v>
      </c>
      <c r="G214" t="str">
        <f>IF(ISNUMBER('Calibração Blaine'!$J$60),'Calibração Blaine'!$J$60,"")</f>
        <v/>
      </c>
      <c r="H214">
        <f>BD_Limites!$E$5</f>
        <v>2120</v>
      </c>
      <c r="I214" t="str">
        <f>IF(OR(G214="",H214=""),"",G214-H214)</f>
        <v/>
      </c>
      <c r="J214">
        <f>BD_Limites!$F$5</f>
        <v>2076</v>
      </c>
      <c r="K214">
        <f>BD_Limites!$G$5</f>
        <v>2164</v>
      </c>
      <c r="M214" t="str">
        <f>IF(G214="","",IF(AND(G214&gt;=J214,G214&lt;=K214),"Conforme","Não conforme"))</f>
        <v/>
      </c>
      <c r="N214" t="str">
        <f>IF('Calibração Blaine'!$N$60&amp;""="","",TRIM('Calibração Blaine'!$N$60&amp;""))</f>
        <v/>
      </c>
      <c r="O214" t="str">
        <f>IF('Calibração Blaine'!$C$60&amp;""="","",TRIM('Calibração Blaine'!$C$60&amp;""))</f>
        <v/>
      </c>
      <c r="P214" t="str">
        <f>IF('Calibração Blaine'!$B$60&amp;""="","",TRIM('Calibração Blaine'!$B$60&amp;""))</f>
        <v>07x19</v>
      </c>
      <c r="Q214" t="s">
        <v>575</v>
      </c>
    </row>
    <row r="215">
      <c r="A215" t="s">
        <v>451</v>
      </c>
      <c r="B215" t="s">
        <v>6</v>
      </c>
      <c r="C215" s="912" t="str">
        <f>IF(N('Calibração Blaine'!$A$61)&gt;0,'Calibração Blaine'!$A$61,"")</f>
        <v/>
      </c>
      <c r="D215" t="s">
        <v>520</v>
      </c>
      <c r="E215" t="s">
        <v>67</v>
      </c>
      <c r="F215" t="s">
        <v>453</v>
      </c>
      <c r="G215" t="str">
        <f>IF(ISNUMBER('Calibração Blaine'!$J$61),'Calibração Blaine'!$J$61,"")</f>
        <v/>
      </c>
      <c r="H215">
        <f>BD_Limites!$E$5</f>
        <v>2120</v>
      </c>
      <c r="I215" t="str">
        <f>IF(OR(G215="",H215=""),"",G215-H215)</f>
        <v/>
      </c>
      <c r="J215">
        <f>BD_Limites!$F$5</f>
        <v>2076</v>
      </c>
      <c r="K215">
        <f>BD_Limites!$G$5</f>
        <v>2164</v>
      </c>
      <c r="M215" t="str">
        <f>IF(G215="","",IF(AND(G215&gt;=J215,G215&lt;=K215),"Conforme","Não conforme"))</f>
        <v/>
      </c>
      <c r="N215" t="str">
        <f>IF('Calibração Blaine'!$N$61&amp;""="","",TRIM('Calibração Blaine'!$N$61&amp;""))</f>
        <v/>
      </c>
      <c r="O215" t="str">
        <f>IF('Calibração Blaine'!$C$61&amp;""="","",TRIM('Calibração Blaine'!$C$61&amp;""))</f>
        <v/>
      </c>
      <c r="P215" t="str">
        <f>IF('Calibração Blaine'!$B$61&amp;""="","",TRIM('Calibração Blaine'!$B$61&amp;""))</f>
        <v>19x07</v>
      </c>
      <c r="Q215" t="s">
        <v>576</v>
      </c>
    </row>
    <row r="216">
      <c r="A216" t="s">
        <v>451</v>
      </c>
      <c r="B216" t="s">
        <v>6</v>
      </c>
      <c r="C216" s="912" t="str">
        <f>IF(N('Calibração Blaine'!$A$62)&gt;0,'Calibração Blaine'!$A$62,"")</f>
        <v/>
      </c>
      <c r="D216" t="s">
        <v>520</v>
      </c>
      <c r="E216" t="s">
        <v>67</v>
      </c>
      <c r="F216" t="s">
        <v>453</v>
      </c>
      <c r="G216" t="str">
        <f>IF(ISNUMBER('Calibração Blaine'!$J$62),'Calibração Blaine'!$J$62,"")</f>
        <v/>
      </c>
      <c r="H216">
        <f>BD_Limites!$E$5</f>
        <v>2120</v>
      </c>
      <c r="I216" t="str">
        <f>IF(OR(G216="",H216=""),"",G216-H216)</f>
        <v/>
      </c>
      <c r="J216">
        <f>BD_Limites!$F$5</f>
        <v>2076</v>
      </c>
      <c r="K216">
        <f>BD_Limites!$G$5</f>
        <v>2164</v>
      </c>
      <c r="M216" t="str">
        <f>IF(G216="","",IF(AND(G216&gt;=J216,G216&lt;=K216),"Conforme","Não conforme"))</f>
        <v/>
      </c>
      <c r="N216" t="str">
        <f>IF('Calibração Blaine'!$N$62&amp;""="","",TRIM('Calibração Blaine'!$N$62&amp;""))</f>
        <v/>
      </c>
      <c r="O216" t="str">
        <f>IF('Calibração Blaine'!$C$62&amp;""="","",TRIM('Calibração Blaine'!$C$62&amp;""))</f>
        <v/>
      </c>
      <c r="P216" t="str">
        <f>IF('Calibração Blaine'!$B$62&amp;""="","",TRIM('Calibração Blaine'!$B$62&amp;""))</f>
        <v>07X19</v>
      </c>
      <c r="Q216" t="s">
        <v>577</v>
      </c>
    </row>
    <row r="217">
      <c r="A217" t="s">
        <v>451</v>
      </c>
      <c r="B217" t="s">
        <v>6</v>
      </c>
      <c r="C217" s="912" t="str">
        <f>IF(N('Calibração Blaine'!$A$63)&gt;0,'Calibração Blaine'!$A$63,"")</f>
        <v/>
      </c>
      <c r="D217" t="s">
        <v>520</v>
      </c>
      <c r="E217" t="s">
        <v>67</v>
      </c>
      <c r="F217" t="s">
        <v>453</v>
      </c>
      <c r="G217" t="str">
        <f>IF(ISNUMBER('Calibração Blaine'!$J$63),'Calibração Blaine'!$J$63,"")</f>
        <v/>
      </c>
      <c r="H217">
        <f>BD_Limites!$E$5</f>
        <v>2120</v>
      </c>
      <c r="I217" t="str">
        <f>IF(OR(G217="",H217=""),"",G217-H217)</f>
        <v/>
      </c>
      <c r="J217">
        <f>BD_Limites!$F$5</f>
        <v>2076</v>
      </c>
      <c r="K217">
        <f>BD_Limites!$G$5</f>
        <v>2164</v>
      </c>
      <c r="M217" t="str">
        <f>IF(G217="","",IF(AND(G217&gt;=J217,G217&lt;=K217),"Conforme","Não conforme"))</f>
        <v/>
      </c>
      <c r="N217" t="str">
        <f>IF('Calibração Blaine'!$N$63&amp;""="","",TRIM('Calibração Blaine'!$N$63&amp;""))</f>
        <v/>
      </c>
      <c r="O217" t="str">
        <f>IF('Calibração Blaine'!$C$63&amp;""="","",TRIM('Calibração Blaine'!$C$63&amp;""))</f>
        <v/>
      </c>
      <c r="P217" t="str">
        <f>IF('Calibração Blaine'!$B$63&amp;""="","",TRIM('Calibração Blaine'!$B$63&amp;""))</f>
        <v>19x07</v>
      </c>
      <c r="Q217" t="s">
        <v>578</v>
      </c>
    </row>
    <row r="218">
      <c r="A218" t="s">
        <v>451</v>
      </c>
      <c r="B218" t="s">
        <v>6</v>
      </c>
      <c r="C218" s="912" t="str">
        <f>IF(N('Calibração Blaine'!$A$64)&gt;0,'Calibração Blaine'!$A$64,"")</f>
        <v/>
      </c>
      <c r="D218" t="s">
        <v>520</v>
      </c>
      <c r="E218" t="s">
        <v>67</v>
      </c>
      <c r="F218" t="s">
        <v>453</v>
      </c>
      <c r="G218" t="str">
        <f>IF(ISNUMBER('Calibração Blaine'!$J$64),'Calibração Blaine'!$J$64,"")</f>
        <v/>
      </c>
      <c r="H218">
        <f>BD_Limites!$E$5</f>
        <v>2120</v>
      </c>
      <c r="I218" t="str">
        <f>IF(OR(G218="",H218=""),"",G218-H218)</f>
        <v/>
      </c>
      <c r="J218">
        <f>BD_Limites!$F$5</f>
        <v>2076</v>
      </c>
      <c r="K218">
        <f>BD_Limites!$G$5</f>
        <v>2164</v>
      </c>
      <c r="M218" t="str">
        <f>IF(G218="","",IF(AND(G218&gt;=J218,G218&lt;=K218),"Conforme","Não conforme"))</f>
        <v/>
      </c>
      <c r="N218" t="str">
        <f>IF('Calibração Blaine'!$N$64&amp;""="","",TRIM('Calibração Blaine'!$N$64&amp;""))</f>
        <v/>
      </c>
      <c r="O218" t="str">
        <f>IF('Calibração Blaine'!$C$64&amp;""="","",TRIM('Calibração Blaine'!$C$64&amp;""))</f>
        <v/>
      </c>
      <c r="P218" t="str">
        <f>IF('Calibração Blaine'!$B$64&amp;""="","",TRIM('Calibração Blaine'!$B$64&amp;""))</f>
        <v>07x19</v>
      </c>
      <c r="Q218" t="s">
        <v>579</v>
      </c>
    </row>
    <row r="219">
      <c r="A219" t="s">
        <v>451</v>
      </c>
      <c r="B219" t="s">
        <v>6</v>
      </c>
      <c r="C219" s="912" t="str">
        <f>IF(N('Calibração Blaine'!$A$65)&gt;0,'Calibração Blaine'!$A$65,"")</f>
        <v/>
      </c>
      <c r="D219" t="s">
        <v>520</v>
      </c>
      <c r="E219" t="s">
        <v>67</v>
      </c>
      <c r="F219" t="s">
        <v>453</v>
      </c>
      <c r="G219" t="str">
        <f>IF(ISNUMBER('Calibração Blaine'!$J$65),'Calibração Blaine'!$J$65,"")</f>
        <v/>
      </c>
      <c r="H219">
        <f>BD_Limites!$E$5</f>
        <v>2120</v>
      </c>
      <c r="I219" t="str">
        <f>IF(OR(G219="",H219=""),"",G219-H219)</f>
        <v/>
      </c>
      <c r="J219">
        <f>BD_Limites!$F$5</f>
        <v>2076</v>
      </c>
      <c r="K219">
        <f>BD_Limites!$G$5</f>
        <v>2164</v>
      </c>
      <c r="M219" t="str">
        <f>IF(G219="","",IF(AND(G219&gt;=J219,G219&lt;=K219),"Conforme","Não conforme"))</f>
        <v/>
      </c>
      <c r="N219" t="str">
        <f>IF('Calibração Blaine'!$N$65&amp;""="","",TRIM('Calibração Blaine'!$N$65&amp;""))</f>
        <v/>
      </c>
      <c r="O219" t="str">
        <f>IF('Calibração Blaine'!$C$65&amp;""="","",TRIM('Calibração Blaine'!$C$65&amp;""))</f>
        <v/>
      </c>
      <c r="P219" t="str">
        <f>IF('Calibração Blaine'!$B$65&amp;""="","",TRIM('Calibração Blaine'!$B$65&amp;""))</f>
        <v>19x07</v>
      </c>
      <c r="Q219" t="s">
        <v>580</v>
      </c>
    </row>
    <row r="220">
      <c r="A220" t="s">
        <v>451</v>
      </c>
      <c r="B220" t="s">
        <v>6</v>
      </c>
      <c r="C220" s="912" t="str">
        <f>IF(N('Calibração Blaine'!$A$66)&gt;0,'Calibração Blaine'!$A$66,"")</f>
        <v/>
      </c>
      <c r="D220" t="s">
        <v>520</v>
      </c>
      <c r="E220" t="s">
        <v>67</v>
      </c>
      <c r="F220" t="s">
        <v>453</v>
      </c>
      <c r="G220" t="str">
        <f>IF(ISNUMBER('Calibração Blaine'!$J$66),'Calibração Blaine'!$J$66,"")</f>
        <v/>
      </c>
      <c r="H220">
        <f>BD_Limites!$E$5</f>
        <v>2120</v>
      </c>
      <c r="I220" t="str">
        <f>IF(OR(G220="",H220=""),"",G220-H220)</f>
        <v/>
      </c>
      <c r="J220">
        <f>BD_Limites!$F$5</f>
        <v>2076</v>
      </c>
      <c r="K220">
        <f>BD_Limites!$G$5</f>
        <v>2164</v>
      </c>
      <c r="M220" t="str">
        <f>IF(G220="","",IF(AND(G220&gt;=J220,G220&lt;=K220),"Conforme","Não conforme"))</f>
        <v/>
      </c>
      <c r="N220" t="str">
        <f>IF('Calibração Blaine'!$N$66&amp;""="","",TRIM('Calibração Blaine'!$N$66&amp;""))</f>
        <v/>
      </c>
      <c r="O220" t="str">
        <f>IF('Calibração Blaine'!$C$66&amp;""="","",TRIM('Calibração Blaine'!$C$66&amp;""))</f>
        <v/>
      </c>
      <c r="P220" t="str">
        <f>IF('Calibração Blaine'!$B$66&amp;""="","",TRIM('Calibração Blaine'!$B$66&amp;""))</f>
        <v>07x19</v>
      </c>
      <c r="Q220" t="s">
        <v>581</v>
      </c>
    </row>
    <row r="221">
      <c r="A221" t="s">
        <v>451</v>
      </c>
      <c r="B221" t="s">
        <v>6</v>
      </c>
      <c r="C221" s="912" t="str">
        <f>IF(N('Calibração Blaine'!$A$67)&gt;0,'Calibração Blaine'!$A$67,"")</f>
        <v/>
      </c>
      <c r="D221" t="s">
        <v>520</v>
      </c>
      <c r="E221" t="s">
        <v>67</v>
      </c>
      <c r="F221" t="s">
        <v>453</v>
      </c>
      <c r="G221" t="str">
        <f>IF(ISNUMBER('Calibração Blaine'!$J$67),'Calibração Blaine'!$J$67,"")</f>
        <v/>
      </c>
      <c r="H221">
        <f>BD_Limites!$E$5</f>
        <v>2120</v>
      </c>
      <c r="I221" t="str">
        <f>IF(OR(G221="",H221=""),"",G221-H221)</f>
        <v/>
      </c>
      <c r="J221">
        <f>BD_Limites!$F$5</f>
        <v>2076</v>
      </c>
      <c r="K221">
        <f>BD_Limites!$G$5</f>
        <v>2164</v>
      </c>
      <c r="M221" t="str">
        <f>IF(G221="","",IF(AND(G221&gt;=J221,G221&lt;=K221),"Conforme","Não conforme"))</f>
        <v/>
      </c>
      <c r="N221" t="str">
        <f>IF('Calibração Blaine'!$N$67&amp;""="","",TRIM('Calibração Blaine'!$N$67&amp;""))</f>
        <v/>
      </c>
      <c r="O221" t="str">
        <f>IF('Calibração Blaine'!$C$67&amp;""="","",TRIM('Calibração Blaine'!$C$67&amp;""))</f>
        <v/>
      </c>
      <c r="P221" t="str">
        <f>IF('Calibração Blaine'!$B$67&amp;""="","",TRIM('Calibração Blaine'!$B$67&amp;""))</f>
        <v>19x07</v>
      </c>
      <c r="Q221" t="s">
        <v>582</v>
      </c>
    </row>
    <row r="222">
      <c r="A222" t="s">
        <v>451</v>
      </c>
      <c r="B222" t="s">
        <v>6</v>
      </c>
      <c r="C222" s="912" t="str">
        <f>IF(N('Calibração Blaine'!$A$68)&gt;0,'Calibração Blaine'!$A$68,"")</f>
        <v/>
      </c>
      <c r="D222" t="s">
        <v>520</v>
      </c>
      <c r="E222" t="s">
        <v>67</v>
      </c>
      <c r="F222" t="s">
        <v>453</v>
      </c>
      <c r="G222" t="str">
        <f>IF(ISNUMBER('Calibração Blaine'!$J$68),'Calibração Blaine'!$J$68,"")</f>
        <v/>
      </c>
      <c r="H222">
        <f>BD_Limites!$E$5</f>
        <v>2120</v>
      </c>
      <c r="I222" t="str">
        <f>IF(OR(G222="",H222=""),"",G222-H222)</f>
        <v/>
      </c>
      <c r="J222">
        <f>BD_Limites!$F$5</f>
        <v>2076</v>
      </c>
      <c r="K222">
        <f>BD_Limites!$G$5</f>
        <v>2164</v>
      </c>
      <c r="M222" t="str">
        <f>IF(G222="","",IF(AND(G222&gt;=J222,G222&lt;=K222),"Conforme","Não conforme"))</f>
        <v/>
      </c>
      <c r="N222" t="str">
        <f>IF('Calibração Blaine'!$N$68&amp;""="","",TRIM('Calibração Blaine'!$N$68&amp;""))</f>
        <v/>
      </c>
      <c r="O222" t="str">
        <f>IF('Calibração Blaine'!$C$68&amp;""="","",TRIM('Calibração Blaine'!$C$68&amp;""))</f>
        <v/>
      </c>
      <c r="P222" t="str">
        <f>IF('Calibração Blaine'!$B$68&amp;""="","",TRIM('Calibração Blaine'!$B$68&amp;""))</f>
        <v>07X19</v>
      </c>
      <c r="Q222" t="s">
        <v>583</v>
      </c>
    </row>
    <row r="223">
      <c r="A223" t="s">
        <v>451</v>
      </c>
      <c r="B223" t="s">
        <v>6</v>
      </c>
      <c r="C223" s="912" t="str">
        <f>IF(N('Calibração Blaine'!$A$69)&gt;0,'Calibração Blaine'!$A$69,"")</f>
        <v/>
      </c>
      <c r="D223" t="s">
        <v>520</v>
      </c>
      <c r="E223" t="s">
        <v>67</v>
      </c>
      <c r="F223" t="s">
        <v>453</v>
      </c>
      <c r="G223" t="str">
        <f>IF(ISNUMBER('Calibração Blaine'!$J$69),'Calibração Blaine'!$J$69,"")</f>
        <v/>
      </c>
      <c r="H223">
        <f>BD_Limites!$E$5</f>
        <v>2120</v>
      </c>
      <c r="I223" t="str">
        <f>IF(OR(G223="",H223=""),"",G223-H223)</f>
        <v/>
      </c>
      <c r="J223">
        <f>BD_Limites!$F$5</f>
        <v>2076</v>
      </c>
      <c r="K223">
        <f>BD_Limites!$G$5</f>
        <v>2164</v>
      </c>
      <c r="M223" t="str">
        <f>IF(G223="","",IF(AND(G223&gt;=J223,G223&lt;=K223),"Conforme","Não conforme"))</f>
        <v/>
      </c>
      <c r="N223" t="str">
        <f>IF('Calibração Blaine'!$N$69&amp;""="","",TRIM('Calibração Blaine'!$N$69&amp;""))</f>
        <v/>
      </c>
      <c r="O223" t="str">
        <f>IF('Calibração Blaine'!$C$69&amp;""="","",TRIM('Calibração Blaine'!$C$69&amp;""))</f>
        <v/>
      </c>
      <c r="P223" t="str">
        <f>IF('Calibração Blaine'!$B$69&amp;""="","",TRIM('Calibração Blaine'!$B$69&amp;""))</f>
        <v>19x07</v>
      </c>
      <c r="Q223" t="s">
        <v>584</v>
      </c>
    </row>
    <row r="224">
      <c r="A224" t="s">
        <v>451</v>
      </c>
      <c r="B224" t="s">
        <v>6</v>
      </c>
      <c r="C224" s="912" t="str">
        <f>IF(N('Calibração Blaine'!$A$70)&gt;0,'Calibração Blaine'!$A$70,"")</f>
        <v/>
      </c>
      <c r="D224" t="s">
        <v>520</v>
      </c>
      <c r="E224" t="s">
        <v>67</v>
      </c>
      <c r="F224" t="s">
        <v>453</v>
      </c>
      <c r="G224" t="str">
        <f>IF(ISNUMBER('Calibração Blaine'!$J$70),'Calibração Blaine'!$J$70,"")</f>
        <v/>
      </c>
      <c r="H224">
        <f>BD_Limites!$E$5</f>
        <v>2120</v>
      </c>
      <c r="I224" t="str">
        <f>IF(OR(G224="",H224=""),"",G224-H224)</f>
        <v/>
      </c>
      <c r="J224">
        <f>BD_Limites!$F$5</f>
        <v>2076</v>
      </c>
      <c r="K224">
        <f>BD_Limites!$G$5</f>
        <v>2164</v>
      </c>
      <c r="M224" t="str">
        <f>IF(G224="","",IF(AND(G224&gt;=J224,G224&lt;=K224),"Conforme","Não conforme"))</f>
        <v/>
      </c>
      <c r="N224" t="str">
        <f>IF('Calibração Blaine'!$N$70&amp;""="","",TRIM('Calibração Blaine'!$N$70&amp;""))</f>
        <v/>
      </c>
      <c r="O224" t="str">
        <f>IF('Calibração Blaine'!$C$70&amp;""="","",TRIM('Calibração Blaine'!$C$70&amp;""))</f>
        <v/>
      </c>
      <c r="P224" t="str">
        <f>IF('Calibração Blaine'!$B$70&amp;""="","",TRIM('Calibração Blaine'!$B$70&amp;""))</f>
        <v>07x19</v>
      </c>
      <c r="Q224" t="s">
        <v>585</v>
      </c>
    </row>
    <row r="225">
      <c r="A225" t="s">
        <v>451</v>
      </c>
      <c r="B225" t="s">
        <v>6</v>
      </c>
      <c r="C225" s="912" t="str">
        <f>IF(N('Calibração Blaine'!$A$71)&gt;0,'Calibração Blaine'!$A$71,"")</f>
        <v/>
      </c>
      <c r="D225" t="s">
        <v>520</v>
      </c>
      <c r="E225" t="s">
        <v>67</v>
      </c>
      <c r="F225" t="s">
        <v>453</v>
      </c>
      <c r="G225" t="str">
        <f>IF(ISNUMBER('Calibração Blaine'!$J$71),'Calibração Blaine'!$J$71,"")</f>
        <v/>
      </c>
      <c r="H225">
        <f>BD_Limites!$E$5</f>
        <v>2120</v>
      </c>
      <c r="I225" t="str">
        <f>IF(OR(G225="",H225=""),"",G225-H225)</f>
        <v/>
      </c>
      <c r="J225">
        <f>BD_Limites!$F$5</f>
        <v>2076</v>
      </c>
      <c r="K225">
        <f>BD_Limites!$G$5</f>
        <v>2164</v>
      </c>
      <c r="M225" t="str">
        <f>IF(G225="","",IF(AND(G225&gt;=J225,G225&lt;=K225),"Conforme","Não conforme"))</f>
        <v/>
      </c>
      <c r="N225" t="str">
        <f>IF('Calibração Blaine'!$N$71&amp;""="","",TRIM('Calibração Blaine'!$N$71&amp;""))</f>
        <v/>
      </c>
      <c r="O225" t="str">
        <f>IF('Calibração Blaine'!$C$71&amp;""="","",TRIM('Calibração Blaine'!$C$71&amp;""))</f>
        <v/>
      </c>
      <c r="P225" t="str">
        <f>IF('Calibração Blaine'!$B$71&amp;""="","",TRIM('Calibração Blaine'!$B$71&amp;""))</f>
        <v>19x07</v>
      </c>
      <c r="Q225" t="s">
        <v>586</v>
      </c>
    </row>
    <row r="226">
      <c r="A226" t="s">
        <v>451</v>
      </c>
      <c r="B226" t="s">
        <v>6</v>
      </c>
      <c r="C226" s="912">
        <f>IF(N('Calibração Blaine'!$A$6)&gt;0,'Calibração Blaine'!$A$6,"")</f>
        <v>46266</v>
      </c>
      <c r="D226" t="s">
        <v>68</v>
      </c>
      <c r="E226" t="s">
        <v>68</v>
      </c>
      <c r="F226" t="s">
        <v>453</v>
      </c>
      <c r="G226" t="str">
        <f>IF(ISNUMBER('Calibração Blaine'!$L$6),'Calibração Blaine'!$L$6,"")</f>
        <v/>
      </c>
      <c r="H226">
        <f>BD_Limites!$E$6</f>
        <v>2030</v>
      </c>
      <c r="I226" t="str">
        <f>IF(OR(G226="",H226=""),"",G226-H226)</f>
        <v/>
      </c>
      <c r="J226">
        <f>BD_Limites!$F$6</f>
        <v>1986</v>
      </c>
      <c r="K226">
        <f>BD_Limites!$G$6</f>
        <v>2074</v>
      </c>
      <c r="M226" t="str">
        <f>IF(G226="","",IF(AND(G226&gt;=J226,G226&lt;=K226),"Conforme","Não conforme"))</f>
        <v/>
      </c>
      <c r="N226" t="str">
        <f>IF('Calibração Blaine'!$N$6&amp;""="","",TRIM('Calibração Blaine'!$N$6&amp;""))</f>
        <v>AKEL</v>
      </c>
      <c r="O226" t="str">
        <f>IF('Calibração Blaine'!$C$6&amp;""="","",TRIM('Calibração Blaine'!$C$6&amp;""))</f>
        <v>C</v>
      </c>
      <c r="P226" t="str">
        <f>IF('Calibração Blaine'!$B$6&amp;""="","",TRIM('Calibração Blaine'!$B$6&amp;""))</f>
        <v>07X19</v>
      </c>
      <c r="Q226" t="s">
        <v>587</v>
      </c>
    </row>
    <row r="227">
      <c r="A227" t="s">
        <v>451</v>
      </c>
      <c r="B227" t="s">
        <v>6</v>
      </c>
      <c r="C227" s="912">
        <f>IF(N('Calibração Blaine'!$A$7)&gt;0,'Calibração Blaine'!$A$7,"")</f>
        <v>46266</v>
      </c>
      <c r="D227" t="s">
        <v>68</v>
      </c>
      <c r="E227" t="s">
        <v>68</v>
      </c>
      <c r="F227" t="s">
        <v>453</v>
      </c>
      <c r="G227" t="str">
        <f>IF(ISNUMBER('Calibração Blaine'!$L$7),'Calibração Blaine'!$L$7,"")</f>
        <v/>
      </c>
      <c r="H227">
        <f>BD_Limites!$E$6</f>
        <v>2030</v>
      </c>
      <c r="I227" t="str">
        <f>IF(OR(G227="",H227=""),"",G227-H227)</f>
        <v/>
      </c>
      <c r="J227">
        <f>BD_Limites!$F$6</f>
        <v>1986</v>
      </c>
      <c r="K227">
        <f>BD_Limites!$G$6</f>
        <v>2074</v>
      </c>
      <c r="M227" t="str">
        <f>IF(G227="","",IF(AND(G227&gt;=J227,G227&lt;=K227),"Conforme","Não conforme"))</f>
        <v/>
      </c>
      <c r="N227" t="str">
        <f>IF('Calibração Blaine'!$N$7&amp;""="","",TRIM('Calibração Blaine'!$N$7&amp;""))</f>
        <v>ALESANDRO</v>
      </c>
      <c r="O227" t="str">
        <f>IF('Calibração Blaine'!$C$7&amp;""="","",TRIM('Calibração Blaine'!$C$7&amp;""))</f>
        <v>A</v>
      </c>
      <c r="P227" t="str">
        <f>IF('Calibração Blaine'!$B$7&amp;""="","",TRIM('Calibração Blaine'!$B$7&amp;""))</f>
        <v>19x07</v>
      </c>
      <c r="Q227" t="s">
        <v>588</v>
      </c>
    </row>
    <row r="228">
      <c r="A228" t="s">
        <v>451</v>
      </c>
      <c r="B228" t="s">
        <v>6</v>
      </c>
      <c r="C228" s="912">
        <f>IF(N('Calibração Blaine'!$A$8)&gt;0,'Calibração Blaine'!$A$8,"")</f>
        <v>46267</v>
      </c>
      <c r="D228" t="s">
        <v>68</v>
      </c>
      <c r="E228" t="s">
        <v>68</v>
      </c>
      <c r="F228" t="s">
        <v>453</v>
      </c>
      <c r="G228" t="str">
        <f>IF(ISNUMBER('Calibração Blaine'!$L$8),'Calibração Blaine'!$L$8,"")</f>
        <v/>
      </c>
      <c r="H228">
        <f>BD_Limites!$E$6</f>
        <v>2030</v>
      </c>
      <c r="I228" t="str">
        <f>IF(OR(G228="",H228=""),"",G228-H228)</f>
        <v/>
      </c>
      <c r="J228">
        <f>BD_Limites!$F$6</f>
        <v>1986</v>
      </c>
      <c r="K228">
        <f>BD_Limites!$G$6</f>
        <v>2074</v>
      </c>
      <c r="M228" t="str">
        <f>IF(G228="","",IF(AND(G228&gt;=J228,G228&lt;=K228),"Conforme","Não conforme"))</f>
        <v/>
      </c>
      <c r="N228" t="str">
        <f>IF('Calibração Blaine'!$N$8&amp;""="","",TRIM('Calibração Blaine'!$N$8&amp;""))</f>
        <v>EBERT</v>
      </c>
      <c r="O228" t="str">
        <f>IF('Calibração Blaine'!$C$8&amp;""="","",TRIM('Calibração Blaine'!$C$8&amp;""))</f>
        <v>D</v>
      </c>
      <c r="P228" t="str">
        <f>IF('Calibração Blaine'!$B$8&amp;""="","",TRIM('Calibração Blaine'!$B$8&amp;""))</f>
        <v>07x19</v>
      </c>
      <c r="Q228" t="s">
        <v>589</v>
      </c>
    </row>
    <row r="229">
      <c r="A229" t="s">
        <v>451</v>
      </c>
      <c r="B229" t="s">
        <v>6</v>
      </c>
      <c r="C229" s="912">
        <f>IF(N('Calibração Blaine'!$A$9)&gt;0,'Calibração Blaine'!$A$9,"")</f>
        <v>46267</v>
      </c>
      <c r="D229" t="s">
        <v>68</v>
      </c>
      <c r="E229" t="s">
        <v>68</v>
      </c>
      <c r="F229" t="s">
        <v>453</v>
      </c>
      <c r="G229" t="str">
        <f>IF(ISNUMBER('Calibração Blaine'!$L$9),'Calibração Blaine'!$L$9,"")</f>
        <v/>
      </c>
      <c r="H229">
        <f>BD_Limites!$E$6</f>
        <v>2030</v>
      </c>
      <c r="I229" t="str">
        <f>IF(OR(G229="",H229=""),"",G229-H229)</f>
        <v/>
      </c>
      <c r="J229">
        <f>BD_Limites!$F$6</f>
        <v>1986</v>
      </c>
      <c r="K229">
        <f>BD_Limites!$G$6</f>
        <v>2074</v>
      </c>
      <c r="M229" t="str">
        <f>IF(G229="","",IF(AND(G229&gt;=J229,G229&lt;=K229),"Conforme","Não conforme"))</f>
        <v/>
      </c>
      <c r="N229" t="str">
        <f>IF('Calibração Blaine'!$N$9&amp;""="","",TRIM('Calibração Blaine'!$N$9&amp;""))</f>
        <v>TAÍS</v>
      </c>
      <c r="O229" t="str">
        <f>IF('Calibração Blaine'!$C$9&amp;""="","",TRIM('Calibração Blaine'!$C$9&amp;""))</f>
        <v>A</v>
      </c>
      <c r="P229" t="str">
        <f>IF('Calibração Blaine'!$B$9&amp;""="","",TRIM('Calibração Blaine'!$B$9&amp;""))</f>
        <v>19x07</v>
      </c>
      <c r="Q229" t="s">
        <v>590</v>
      </c>
    </row>
    <row r="230">
      <c r="A230" t="s">
        <v>451</v>
      </c>
      <c r="B230" t="s">
        <v>6</v>
      </c>
      <c r="C230" s="912">
        <f>IF(N('Calibração Blaine'!$A$10)&gt;0,'Calibração Blaine'!$A$10,"")</f>
        <v>46268</v>
      </c>
      <c r="D230" t="s">
        <v>68</v>
      </c>
      <c r="E230" t="s">
        <v>68</v>
      </c>
      <c r="F230" t="s">
        <v>453</v>
      </c>
      <c r="G230" t="str">
        <f>IF(ISNUMBER('Calibração Blaine'!$L$10),'Calibração Blaine'!$L$10,"")</f>
        <v/>
      </c>
      <c r="H230">
        <f>BD_Limites!$E$6</f>
        <v>2030</v>
      </c>
      <c r="I230" t="str">
        <f>IF(OR(G230="",H230=""),"",G230-H230)</f>
        <v/>
      </c>
      <c r="J230">
        <f>BD_Limites!$F$6</f>
        <v>1986</v>
      </c>
      <c r="K230">
        <f>BD_Limites!$G$6</f>
        <v>2074</v>
      </c>
      <c r="M230" t="str">
        <f>IF(G230="","",IF(AND(G230&gt;=J230,G230&lt;=K230),"Conforme","Não conforme"))</f>
        <v/>
      </c>
      <c r="N230" t="str">
        <f>IF('Calibração Blaine'!$N$10&amp;""="","",TRIM('Calibração Blaine'!$N$10&amp;""))</f>
        <v>ZAINE</v>
      </c>
      <c r="O230" t="str">
        <f>IF('Calibração Blaine'!$C$10&amp;""="","",TRIM('Calibração Blaine'!$C$10&amp;""))</f>
        <v>C</v>
      </c>
      <c r="P230" t="str">
        <f>IF('Calibração Blaine'!$B$10&amp;""="","",TRIM('Calibração Blaine'!$B$10&amp;""))</f>
        <v>07x19</v>
      </c>
      <c r="Q230" t="s">
        <v>591</v>
      </c>
    </row>
    <row r="231">
      <c r="A231" t="s">
        <v>451</v>
      </c>
      <c r="B231" t="s">
        <v>6</v>
      </c>
      <c r="C231" s="912">
        <f>IF(N('Calibração Blaine'!$A$11)&gt;0,'Calibração Blaine'!$A$11,"")</f>
        <v>46268</v>
      </c>
      <c r="D231" t="s">
        <v>68</v>
      </c>
      <c r="E231" t="s">
        <v>68</v>
      </c>
      <c r="F231" t="s">
        <v>453</v>
      </c>
      <c r="G231" t="str">
        <f>IF(ISNUMBER('Calibração Blaine'!$L$11),'Calibração Blaine'!$L$11,"")</f>
        <v/>
      </c>
      <c r="H231">
        <f>BD_Limites!$E$6</f>
        <v>2030</v>
      </c>
      <c r="I231" t="str">
        <f>IF(OR(G231="",H231=""),"",G231-H231)</f>
        <v/>
      </c>
      <c r="J231">
        <f>BD_Limites!$F$6</f>
        <v>1986</v>
      </c>
      <c r="K231">
        <f>BD_Limites!$G$6</f>
        <v>2074</v>
      </c>
      <c r="M231" t="str">
        <f>IF(G231="","",IF(AND(G231&gt;=J231,G231&lt;=K231),"Conforme","Não conforme"))</f>
        <v/>
      </c>
      <c r="N231" t="str">
        <f>IF('Calibração Blaine'!$N$11&amp;""="","",TRIM('Calibração Blaine'!$N$11&amp;""))</f>
        <v>LUIS FELIPE</v>
      </c>
      <c r="O231" t="str">
        <f>IF('Calibração Blaine'!$C$11&amp;""="","",TRIM('Calibração Blaine'!$C$11&amp;""))</f>
        <v>D</v>
      </c>
      <c r="P231" t="str">
        <f>IF('Calibração Blaine'!$B$11&amp;""="","",TRIM('Calibração Blaine'!$B$11&amp;""))</f>
        <v>19x07</v>
      </c>
      <c r="Q231" t="s">
        <v>592</v>
      </c>
    </row>
    <row r="232">
      <c r="A232" t="s">
        <v>451</v>
      </c>
      <c r="B232" t="s">
        <v>6</v>
      </c>
      <c r="C232" s="912">
        <f>IF(N('Calibração Blaine'!$A$12)&gt;0,'Calibração Blaine'!$A$12,"")</f>
        <v>46269</v>
      </c>
      <c r="D232" t="s">
        <v>68</v>
      </c>
      <c r="E232" t="s">
        <v>68</v>
      </c>
      <c r="F232" t="s">
        <v>453</v>
      </c>
      <c r="G232" t="str">
        <f>IF(ISNUMBER('Calibração Blaine'!$L$12),'Calibração Blaine'!$L$12,"")</f>
        <v/>
      </c>
      <c r="H232">
        <f>BD_Limites!$E$6</f>
        <v>2030</v>
      </c>
      <c r="I232" t="str">
        <f>IF(OR(G232="",H232=""),"",G232-H232)</f>
        <v/>
      </c>
      <c r="J232">
        <f>BD_Limites!$F$6</f>
        <v>1986</v>
      </c>
      <c r="K232">
        <f>BD_Limites!$G$6</f>
        <v>2074</v>
      </c>
      <c r="M232" t="str">
        <f>IF(G232="","",IF(AND(G232&gt;=J232,G232&lt;=K232),"Conforme","Não conforme"))</f>
        <v/>
      </c>
      <c r="N232" t="str">
        <f>IF('Calibração Blaine'!$N$12&amp;""="","",TRIM('Calibração Blaine'!$N$12&amp;""))</f>
        <v>RENATO</v>
      </c>
      <c r="O232" t="str">
        <f>IF('Calibração Blaine'!$C$12&amp;""="","",TRIM('Calibração Blaine'!$C$12&amp;""))</f>
        <v>A</v>
      </c>
      <c r="P232" t="str">
        <f>IF('Calibração Blaine'!$B$12&amp;""="","",TRIM('Calibração Blaine'!$B$12&amp;""))</f>
        <v>07X19</v>
      </c>
      <c r="Q232" t="s">
        <v>593</v>
      </c>
    </row>
    <row r="233">
      <c r="A233" t="s">
        <v>451</v>
      </c>
      <c r="B233" t="s">
        <v>6</v>
      </c>
      <c r="C233" s="912">
        <f>IF(N('Calibração Blaine'!$A$13)&gt;0,'Calibração Blaine'!$A$13,"")</f>
        <v>46269</v>
      </c>
      <c r="D233" t="s">
        <v>68</v>
      </c>
      <c r="E233" t="s">
        <v>68</v>
      </c>
      <c r="F233" t="s">
        <v>453</v>
      </c>
      <c r="G233" t="str">
        <f>IF(ISNUMBER('Calibração Blaine'!$L$13),'Calibração Blaine'!$L$13,"")</f>
        <v/>
      </c>
      <c r="H233">
        <f>BD_Limites!$E$6</f>
        <v>2030</v>
      </c>
      <c r="I233" t="str">
        <f>IF(OR(G233="",H233=""),"",G233-H233)</f>
        <v/>
      </c>
      <c r="J233">
        <f>BD_Limites!$F$6</f>
        <v>1986</v>
      </c>
      <c r="K233">
        <f>BD_Limites!$G$6</f>
        <v>2074</v>
      </c>
      <c r="M233" t="str">
        <f>IF(G233="","",IF(AND(G233&gt;=J233,G233&lt;=K233),"Conforme","Não conforme"))</f>
        <v/>
      </c>
      <c r="N233" t="str">
        <f>IF('Calibração Blaine'!$N$13&amp;""="","",TRIM('Calibração Blaine'!$N$13&amp;""))</f>
        <v>FELIPE</v>
      </c>
      <c r="O233" t="str">
        <f>IF('Calibração Blaine'!$C$13&amp;""="","",TRIM('Calibração Blaine'!$C$13&amp;""))</f>
        <v>B</v>
      </c>
      <c r="P233" t="str">
        <f>IF('Calibração Blaine'!$B$13&amp;""="","",TRIM('Calibração Blaine'!$B$13&amp;""))</f>
        <v>19x07</v>
      </c>
      <c r="Q233" t="s">
        <v>594</v>
      </c>
    </row>
    <row r="234">
      <c r="A234" t="s">
        <v>451</v>
      </c>
      <c r="B234" t="s">
        <v>6</v>
      </c>
      <c r="C234" s="912">
        <f>IF(N('Calibração Blaine'!$A$14)&gt;0,'Calibração Blaine'!$A$14,"")</f>
        <v>46270</v>
      </c>
      <c r="D234" t="s">
        <v>68</v>
      </c>
      <c r="E234" t="s">
        <v>68</v>
      </c>
      <c r="F234" t="s">
        <v>453</v>
      </c>
      <c r="G234" t="str">
        <f>IF(ISNUMBER('Calibração Blaine'!$L$14),'Calibração Blaine'!$L$14,"")</f>
        <v/>
      </c>
      <c r="H234">
        <f>BD_Limites!$E$6</f>
        <v>2030</v>
      </c>
      <c r="I234" t="str">
        <f>IF(OR(G234="",H234=""),"",G234-H234)</f>
        <v/>
      </c>
      <c r="J234">
        <f>BD_Limites!$F$6</f>
        <v>1986</v>
      </c>
      <c r="K234">
        <f>BD_Limites!$G$6</f>
        <v>2074</v>
      </c>
      <c r="M234" t="str">
        <f>IF(G234="","",IF(AND(G234&gt;=J234,G234&lt;=K234),"Conforme","Não conforme"))</f>
        <v/>
      </c>
      <c r="N234" t="str">
        <f>IF('Calibração Blaine'!$N$14&amp;""="","",TRIM('Calibração Blaine'!$N$14&amp;""))</f>
        <v>ALESANDRO</v>
      </c>
      <c r="O234" t="str">
        <f>IF('Calibração Blaine'!$C$14&amp;""="","",TRIM('Calibração Blaine'!$C$14&amp;""))</f>
        <v>A</v>
      </c>
      <c r="P234" t="str">
        <f>IF('Calibração Blaine'!$B$14&amp;""="","",TRIM('Calibração Blaine'!$B$14&amp;""))</f>
        <v>07x19</v>
      </c>
      <c r="Q234" t="s">
        <v>595</v>
      </c>
    </row>
    <row r="235">
      <c r="A235" t="s">
        <v>451</v>
      </c>
      <c r="B235" t="s">
        <v>6</v>
      </c>
      <c r="C235" s="912">
        <f>IF(N('Calibração Blaine'!$A$15)&gt;0,'Calibração Blaine'!$A$15,"")</f>
        <v>46270</v>
      </c>
      <c r="D235" t="s">
        <v>68</v>
      </c>
      <c r="E235" t="s">
        <v>68</v>
      </c>
      <c r="F235" t="s">
        <v>453</v>
      </c>
      <c r="G235" t="str">
        <f>IF(ISNUMBER('Calibração Blaine'!$L$15),'Calibração Blaine'!$L$15,"")</f>
        <v/>
      </c>
      <c r="H235">
        <f>BD_Limites!$E$6</f>
        <v>2030</v>
      </c>
      <c r="I235" t="str">
        <f>IF(OR(G235="",H235=""),"",G235-H235)</f>
        <v/>
      </c>
      <c r="J235">
        <f>BD_Limites!$F$6</f>
        <v>1986</v>
      </c>
      <c r="K235">
        <f>BD_Limites!$G$6</f>
        <v>2074</v>
      </c>
      <c r="M235" t="str">
        <f>IF(G235="","",IF(AND(G235&gt;=J235,G235&lt;=K235),"Conforme","Não conforme"))</f>
        <v/>
      </c>
      <c r="N235" t="str">
        <f>IF('Calibração Blaine'!$N$15&amp;""="","",TRIM('Calibração Blaine'!$N$15&amp;""))</f>
        <v>LUIS FELIPE</v>
      </c>
      <c r="O235" t="str">
        <f>IF('Calibração Blaine'!$C$15&amp;""="","",TRIM('Calibração Blaine'!$C$15&amp;""))</f>
        <v>D</v>
      </c>
      <c r="P235" t="str">
        <f>IF('Calibração Blaine'!$B$15&amp;""="","",TRIM('Calibração Blaine'!$B$15&amp;""))</f>
        <v>19x07</v>
      </c>
      <c r="Q235" t="s">
        <v>596</v>
      </c>
    </row>
    <row r="236">
      <c r="A236" t="s">
        <v>451</v>
      </c>
      <c r="B236" t="s">
        <v>6</v>
      </c>
      <c r="C236" s="912">
        <f>IF(N('Calibração Blaine'!$A$16)&gt;0,'Calibração Blaine'!$A$16,"")</f>
        <v>46271</v>
      </c>
      <c r="D236" t="s">
        <v>68</v>
      </c>
      <c r="E236" t="s">
        <v>68</v>
      </c>
      <c r="F236" t="s">
        <v>453</v>
      </c>
      <c r="G236" t="str">
        <f>IF(ISNUMBER('Calibração Blaine'!$L$16),'Calibração Blaine'!$L$16,"")</f>
        <v/>
      </c>
      <c r="H236">
        <f>BD_Limites!$E$6</f>
        <v>2030</v>
      </c>
      <c r="I236" t="str">
        <f>IF(OR(G236="",H236=""),"",G236-H236)</f>
        <v/>
      </c>
      <c r="J236">
        <f>BD_Limites!$F$6</f>
        <v>1986</v>
      </c>
      <c r="K236">
        <f>BD_Limites!$G$6</f>
        <v>2074</v>
      </c>
      <c r="M236" t="str">
        <f>IF(G236="","",IF(AND(G236&gt;=J236,G236&lt;=K236),"Conforme","Não conforme"))</f>
        <v/>
      </c>
      <c r="N236" t="str">
        <f>IF('Calibração Blaine'!$N$16&amp;""="","",TRIM('Calibração Blaine'!$N$16&amp;""))</f>
        <v>RENATO</v>
      </c>
      <c r="O236" t="str">
        <f>IF('Calibração Blaine'!$C$16&amp;""="","",TRIM('Calibração Blaine'!$C$16&amp;""))</f>
        <v>A</v>
      </c>
      <c r="P236" t="str">
        <f>IF('Calibração Blaine'!$B$16&amp;""="","",TRIM('Calibração Blaine'!$B$16&amp;""))</f>
        <v>07x19</v>
      </c>
      <c r="Q236" t="s">
        <v>597</v>
      </c>
    </row>
    <row r="237">
      <c r="A237" t="s">
        <v>451</v>
      </c>
      <c r="B237" t="s">
        <v>6</v>
      </c>
      <c r="C237" s="912">
        <f>IF(N('Calibração Blaine'!$A$17)&gt;0,'Calibração Blaine'!$A$17,"")</f>
        <v>46271</v>
      </c>
      <c r="D237" t="s">
        <v>68</v>
      </c>
      <c r="E237" t="s">
        <v>68</v>
      </c>
      <c r="F237" t="s">
        <v>453</v>
      </c>
      <c r="G237" t="str">
        <f>IF(ISNUMBER('Calibração Blaine'!$L$17),'Calibração Blaine'!$L$17,"")</f>
        <v/>
      </c>
      <c r="H237">
        <f>BD_Limites!$E$6</f>
        <v>2030</v>
      </c>
      <c r="I237" t="str">
        <f>IF(OR(G237="",H237=""),"",G237-H237)</f>
        <v/>
      </c>
      <c r="J237">
        <f>BD_Limites!$F$6</f>
        <v>1986</v>
      </c>
      <c r="K237">
        <f>BD_Limites!$G$6</f>
        <v>2074</v>
      </c>
      <c r="M237" t="str">
        <f>IF(G237="","",IF(AND(G237&gt;=J237,G237&lt;=K237),"Conforme","Não conforme"))</f>
        <v/>
      </c>
      <c r="N237" t="str">
        <f>IF('Calibração Blaine'!$N$17&amp;""="","",TRIM('Calibração Blaine'!$N$17&amp;""))</f>
        <v>FELIPE</v>
      </c>
      <c r="O237" t="str">
        <f>IF('Calibração Blaine'!$C$17&amp;""="","",TRIM('Calibração Blaine'!$C$17&amp;""))</f>
        <v>B</v>
      </c>
      <c r="P237" t="str">
        <f>IF('Calibração Blaine'!$B$17&amp;""="","",TRIM('Calibração Blaine'!$B$17&amp;""))</f>
        <v>19x07</v>
      </c>
      <c r="Q237" t="s">
        <v>598</v>
      </c>
    </row>
    <row r="238">
      <c r="A238" t="s">
        <v>451</v>
      </c>
      <c r="B238" t="s">
        <v>6</v>
      </c>
      <c r="C238" s="912">
        <f>IF(N('Calibração Blaine'!$A$18)&gt;0,'Calibração Blaine'!$A$18,"")</f>
        <v>46272</v>
      </c>
      <c r="D238" t="s">
        <v>68</v>
      </c>
      <c r="E238" t="s">
        <v>68</v>
      </c>
      <c r="F238" t="s">
        <v>453</v>
      </c>
      <c r="G238" t="str">
        <f>IF(ISNUMBER('Calibração Blaine'!$L$18),'Calibração Blaine'!$L$18,"")</f>
        <v/>
      </c>
      <c r="H238">
        <f>BD_Limites!$E$6</f>
        <v>2030</v>
      </c>
      <c r="I238" t="str">
        <f>IF(OR(G238="",H238=""),"",G238-H238)</f>
        <v/>
      </c>
      <c r="J238">
        <f>BD_Limites!$F$6</f>
        <v>1986</v>
      </c>
      <c r="K238">
        <f>BD_Limites!$G$6</f>
        <v>2074</v>
      </c>
      <c r="M238" t="str">
        <f>IF(G238="","",IF(AND(G238&gt;=J238,G238&lt;=K238),"Conforme","Não conforme"))</f>
        <v/>
      </c>
      <c r="N238" t="str">
        <f>IF('Calibração Blaine'!$N$18&amp;""="","",TRIM('Calibração Blaine'!$N$18&amp;""))</f>
        <v>ALESANDRO</v>
      </c>
      <c r="O238" t="str">
        <f>IF('Calibração Blaine'!$C$18&amp;""="","",TRIM('Calibração Blaine'!$C$18&amp;""))</f>
        <v>A</v>
      </c>
      <c r="P238" t="str">
        <f>IF('Calibração Blaine'!$B$18&amp;""="","",TRIM('Calibração Blaine'!$B$18&amp;""))</f>
        <v>07X19</v>
      </c>
      <c r="Q238" t="s">
        <v>599</v>
      </c>
    </row>
    <row r="239">
      <c r="A239" t="s">
        <v>451</v>
      </c>
      <c r="B239" t="s">
        <v>6</v>
      </c>
      <c r="C239" s="912">
        <f>IF(N('Calibração Blaine'!$A$19)&gt;0,'Calibração Blaine'!$A$19,"")</f>
        <v>46272</v>
      </c>
      <c r="D239" t="s">
        <v>68</v>
      </c>
      <c r="E239" t="s">
        <v>68</v>
      </c>
      <c r="F239" t="s">
        <v>453</v>
      </c>
      <c r="G239" t="str">
        <f>IF(ISNUMBER('Calibração Blaine'!$L$19),'Calibração Blaine'!$L$19,"")</f>
        <v/>
      </c>
      <c r="H239">
        <f>BD_Limites!$E$6</f>
        <v>2030</v>
      </c>
      <c r="I239" t="str">
        <f>IF(OR(G239="",H239=""),"",G239-H239)</f>
        <v/>
      </c>
      <c r="J239">
        <f>BD_Limites!$F$6</f>
        <v>1986</v>
      </c>
      <c r="K239">
        <f>BD_Limites!$G$6</f>
        <v>2074</v>
      </c>
      <c r="M239" t="str">
        <f>IF(G239="","",IF(AND(G239&gt;=J239,G239&lt;=K239),"Conforme","Não conforme"))</f>
        <v/>
      </c>
      <c r="N239" t="str">
        <f>IF('Calibração Blaine'!$N$19&amp;""="","",TRIM('Calibração Blaine'!$N$19&amp;""))</f>
        <v>WESLEY</v>
      </c>
      <c r="O239" t="str">
        <f>IF('Calibração Blaine'!$C$19&amp;""="","",TRIM('Calibração Blaine'!$C$19&amp;""))</f>
        <v>D</v>
      </c>
      <c r="P239" t="str">
        <f>IF('Calibração Blaine'!$B$19&amp;""="","",TRIM('Calibração Blaine'!$B$19&amp;""))</f>
        <v>19x07</v>
      </c>
      <c r="Q239" t="s">
        <v>600</v>
      </c>
    </row>
    <row r="240">
      <c r="A240" t="s">
        <v>451</v>
      </c>
      <c r="B240" t="s">
        <v>6</v>
      </c>
      <c r="C240" s="912">
        <f>IF(N('Calibração Blaine'!$A$20)&gt;0,'Calibração Blaine'!$A$20,"")</f>
        <v>46273</v>
      </c>
      <c r="D240" t="s">
        <v>68</v>
      </c>
      <c r="E240" t="s">
        <v>68</v>
      </c>
      <c r="F240" t="s">
        <v>453</v>
      </c>
      <c r="G240" t="str">
        <f>IF(ISNUMBER('Calibração Blaine'!$L$20),'Calibração Blaine'!$L$20,"")</f>
        <v/>
      </c>
      <c r="H240">
        <f>BD_Limites!$E$6</f>
        <v>2030</v>
      </c>
      <c r="I240" t="str">
        <f>IF(OR(G240="",H240=""),"",G240-H240)</f>
        <v/>
      </c>
      <c r="J240">
        <f>BD_Limites!$F$6</f>
        <v>1986</v>
      </c>
      <c r="K240">
        <f>BD_Limites!$G$6</f>
        <v>2074</v>
      </c>
      <c r="M240" t="str">
        <f>IF(G240="","",IF(AND(G240&gt;=J240,G240&lt;=K240),"Conforme","Não conforme"))</f>
        <v/>
      </c>
      <c r="N240" t="str">
        <f>IF('Calibração Blaine'!$N$20&amp;""="","",TRIM('Calibração Blaine'!$N$20&amp;""))</f>
        <v>ZAINE</v>
      </c>
      <c r="O240" t="str">
        <f>IF('Calibração Blaine'!$C$20&amp;""="","",TRIM('Calibração Blaine'!$C$20&amp;""))</f>
        <v>C</v>
      </c>
      <c r="P240" t="str">
        <f>IF('Calibração Blaine'!$B$20&amp;""="","",TRIM('Calibração Blaine'!$B$20&amp;""))</f>
        <v>07x19</v>
      </c>
      <c r="Q240" t="s">
        <v>601</v>
      </c>
    </row>
    <row r="241">
      <c r="A241" t="s">
        <v>451</v>
      </c>
      <c r="B241" t="s">
        <v>6</v>
      </c>
      <c r="C241" s="912">
        <f>IF(N('Calibração Blaine'!$A$21)&gt;0,'Calibração Blaine'!$A$21,"")</f>
        <v>46273</v>
      </c>
      <c r="D241" t="s">
        <v>68</v>
      </c>
      <c r="E241" t="s">
        <v>68</v>
      </c>
      <c r="F241" t="s">
        <v>453</v>
      </c>
      <c r="G241" t="str">
        <f>IF(ISNUMBER('Calibração Blaine'!$L$21),'Calibração Blaine'!$L$21,"")</f>
        <v/>
      </c>
      <c r="H241">
        <f>BD_Limites!$E$6</f>
        <v>2030</v>
      </c>
      <c r="I241" t="str">
        <f>IF(OR(G241="",H241=""),"",G241-H241)</f>
        <v/>
      </c>
      <c r="J241">
        <f>BD_Limites!$F$6</f>
        <v>1986</v>
      </c>
      <c r="K241">
        <f>BD_Limites!$G$6</f>
        <v>2074</v>
      </c>
      <c r="M241" t="str">
        <f>IF(G241="","",IF(AND(G241&gt;=J241,G241&lt;=K241),"Conforme","Não conforme"))</f>
        <v/>
      </c>
      <c r="N241" t="str">
        <f>IF('Calibração Blaine'!$N$21&amp;""="","",TRIM('Calibração Blaine'!$N$21&amp;""))</f>
        <v>RENATO</v>
      </c>
      <c r="O241" t="str">
        <f>IF('Calibração Blaine'!$C$21&amp;""="","",TRIM('Calibração Blaine'!$C$21&amp;""))</f>
        <v>A</v>
      </c>
      <c r="P241" t="str">
        <f>IF('Calibração Blaine'!$B$21&amp;""="","",TRIM('Calibração Blaine'!$B$21&amp;""))</f>
        <v>19x07</v>
      </c>
      <c r="Q241" t="s">
        <v>602</v>
      </c>
    </row>
    <row r="242">
      <c r="A242" t="s">
        <v>451</v>
      </c>
      <c r="B242" t="s">
        <v>6</v>
      </c>
      <c r="C242" s="912">
        <f>IF(N('Calibração Blaine'!$A$22)&gt;0,'Calibração Blaine'!$A$22,"")</f>
        <v>46274</v>
      </c>
      <c r="D242" t="s">
        <v>68</v>
      </c>
      <c r="E242" t="s">
        <v>68</v>
      </c>
      <c r="F242" t="s">
        <v>453</v>
      </c>
      <c r="G242" t="str">
        <f>IF(ISNUMBER('Calibração Blaine'!$L$22),'Calibração Blaine'!$L$22,"")</f>
        <v/>
      </c>
      <c r="H242">
        <f>BD_Limites!$E$6</f>
        <v>2030</v>
      </c>
      <c r="I242" t="str">
        <f>IF(OR(G242="",H242=""),"",G242-H242)</f>
        <v/>
      </c>
      <c r="J242">
        <f>BD_Limites!$F$6</f>
        <v>1986</v>
      </c>
      <c r="K242">
        <f>BD_Limites!$G$6</f>
        <v>2074</v>
      </c>
      <c r="M242" t="str">
        <f>IF(G242="","",IF(AND(G242&gt;=J242,G242&lt;=K242),"Conforme","Não conforme"))</f>
        <v/>
      </c>
      <c r="N242" t="str">
        <f>IF('Calibração Blaine'!$N$22&amp;""="","",TRIM('Calibração Blaine'!$N$22&amp;""))</f>
        <v>ZAINE</v>
      </c>
      <c r="O242" t="str">
        <f>IF('Calibração Blaine'!$C$22&amp;""="","",TRIM('Calibração Blaine'!$C$22&amp;""))</f>
        <v>C</v>
      </c>
      <c r="P242" t="str">
        <f>IF('Calibração Blaine'!$B$22&amp;""="","",TRIM('Calibração Blaine'!$B$22&amp;""))</f>
        <v>07x19</v>
      </c>
      <c r="Q242" t="s">
        <v>603</v>
      </c>
    </row>
    <row r="243">
      <c r="A243" t="s">
        <v>451</v>
      </c>
      <c r="B243" t="s">
        <v>6</v>
      </c>
      <c r="C243" s="912">
        <f>IF(N('Calibração Blaine'!$A$23)&gt;0,'Calibração Blaine'!$A$23,"")</f>
        <v>46274</v>
      </c>
      <c r="D243" t="s">
        <v>68</v>
      </c>
      <c r="E243" t="s">
        <v>68</v>
      </c>
      <c r="F243" t="s">
        <v>453</v>
      </c>
      <c r="G243" t="str">
        <f>IF(ISNUMBER('Calibração Blaine'!$L$23),'Calibração Blaine'!$L$23,"")</f>
        <v/>
      </c>
      <c r="H243">
        <f>BD_Limites!$E$6</f>
        <v>2030</v>
      </c>
      <c r="I243" t="str">
        <f>IF(OR(G243="",H243=""),"",G243-H243)</f>
        <v/>
      </c>
      <c r="J243">
        <f>BD_Limites!$F$6</f>
        <v>1986</v>
      </c>
      <c r="K243">
        <f>BD_Limites!$G$6</f>
        <v>2074</v>
      </c>
      <c r="M243" t="str">
        <f>IF(G243="","",IF(AND(G243&gt;=J243,G243&lt;=K243),"Conforme","Não conforme"))</f>
        <v/>
      </c>
      <c r="N243" t="str">
        <f>IF('Calibração Blaine'!$N$23&amp;""="","",TRIM('Calibração Blaine'!$N$23&amp;""))</f>
        <v>ALESANDRO</v>
      </c>
      <c r="O243" t="str">
        <f>IF('Calibração Blaine'!$C$23&amp;""="","",TRIM('Calibração Blaine'!$C$23&amp;""))</f>
        <v>A</v>
      </c>
      <c r="P243" t="str">
        <f>IF('Calibração Blaine'!$B$23&amp;""="","",TRIM('Calibração Blaine'!$B$23&amp;""))</f>
        <v>19x07</v>
      </c>
      <c r="Q243" t="s">
        <v>604</v>
      </c>
    </row>
    <row r="244">
      <c r="A244" t="s">
        <v>451</v>
      </c>
      <c r="B244" t="s">
        <v>6</v>
      </c>
      <c r="C244" s="912">
        <f>IF(N('Calibração Blaine'!$A$24)&gt;0,'Calibração Blaine'!$A$24,"")</f>
        <v>46275</v>
      </c>
      <c r="D244" t="s">
        <v>68</v>
      </c>
      <c r="E244" t="s">
        <v>68</v>
      </c>
      <c r="F244" t="s">
        <v>453</v>
      </c>
      <c r="G244" t="str">
        <f>IF(ISNUMBER('Calibração Blaine'!$L$24),'Calibração Blaine'!$L$24,"")</f>
        <v/>
      </c>
      <c r="H244">
        <f>BD_Limites!$E$6</f>
        <v>2030</v>
      </c>
      <c r="I244" t="str">
        <f>IF(OR(G244="",H244=""),"",G244-H244)</f>
        <v/>
      </c>
      <c r="J244">
        <f>BD_Limites!$F$6</f>
        <v>1986</v>
      </c>
      <c r="K244">
        <f>BD_Limites!$G$6</f>
        <v>2074</v>
      </c>
      <c r="M244" t="str">
        <f>IF(G244="","",IF(AND(G244&gt;=J244,G244&lt;=K244),"Conforme","Não conforme"))</f>
        <v/>
      </c>
      <c r="N244" t="str">
        <f>IF('Calibração Blaine'!$N$24&amp;""="","",TRIM('Calibração Blaine'!$N$24&amp;""))</f>
        <v>EBERT</v>
      </c>
      <c r="O244" t="str">
        <f>IF('Calibração Blaine'!$C$24&amp;""="","",TRIM('Calibração Blaine'!$C$24&amp;""))</f>
        <v>D</v>
      </c>
      <c r="P244" t="str">
        <f>IF('Calibração Blaine'!$B$24&amp;""="","",TRIM('Calibração Blaine'!$B$24&amp;""))</f>
        <v>07X19</v>
      </c>
      <c r="Q244" t="s">
        <v>605</v>
      </c>
    </row>
    <row r="245">
      <c r="A245" t="s">
        <v>451</v>
      </c>
      <c r="B245" t="s">
        <v>6</v>
      </c>
      <c r="C245" s="912">
        <f>IF(N('Calibração Blaine'!$A$25)&gt;0,'Calibração Blaine'!$A$25,"")</f>
        <v>46275</v>
      </c>
      <c r="D245" t="s">
        <v>68</v>
      </c>
      <c r="E245" t="s">
        <v>68</v>
      </c>
      <c r="F245" t="s">
        <v>453</v>
      </c>
      <c r="G245" t="str">
        <f>IF(ISNUMBER('Calibração Blaine'!$L$25),'Calibração Blaine'!$L$25,"")</f>
        <v/>
      </c>
      <c r="H245">
        <f>BD_Limites!$E$6</f>
        <v>2030</v>
      </c>
      <c r="I245" t="str">
        <f>IF(OR(G245="",H245=""),"",G245-H245)</f>
        <v/>
      </c>
      <c r="J245">
        <f>BD_Limites!$F$6</f>
        <v>1986</v>
      </c>
      <c r="K245">
        <f>BD_Limites!$G$6</f>
        <v>2074</v>
      </c>
      <c r="M245" t="str">
        <f>IF(G245="","",IF(AND(G245&gt;=J245,G245&lt;=K245),"Conforme","Não conforme"))</f>
        <v/>
      </c>
      <c r="N245" t="str">
        <f>IF('Calibração Blaine'!$N$25&amp;""="","",TRIM('Calibração Blaine'!$N$25&amp;""))</f>
        <v>JAC</v>
      </c>
      <c r="O245" t="str">
        <f>IF('Calibração Blaine'!$C$25&amp;""="","",TRIM('Calibração Blaine'!$C$25&amp;""))</f>
        <v>C</v>
      </c>
      <c r="P245" t="str">
        <f>IF('Calibração Blaine'!$B$25&amp;""="","",TRIM('Calibração Blaine'!$B$25&amp;""))</f>
        <v>19x07</v>
      </c>
      <c r="Q245" t="s">
        <v>606</v>
      </c>
    </row>
    <row r="246">
      <c r="A246" t="s">
        <v>451</v>
      </c>
      <c r="B246" t="s">
        <v>6</v>
      </c>
      <c r="C246" s="912">
        <f>IF(N('Calibração Blaine'!$A$26)&gt;0,'Calibração Blaine'!$A$26,"")</f>
        <v>46276</v>
      </c>
      <c r="D246" t="s">
        <v>68</v>
      </c>
      <c r="E246" t="s">
        <v>68</v>
      </c>
      <c r="F246" t="s">
        <v>453</v>
      </c>
      <c r="G246" t="str">
        <f>IF(ISNUMBER('Calibração Blaine'!$L$26),'Calibração Blaine'!$L$26,"")</f>
        <v/>
      </c>
      <c r="H246">
        <f>BD_Limites!$E$6</f>
        <v>2030</v>
      </c>
      <c r="I246" t="str">
        <f>IF(OR(G246="",H246=""),"",G246-H246)</f>
        <v/>
      </c>
      <c r="J246">
        <f>BD_Limites!$F$6</f>
        <v>1986</v>
      </c>
      <c r="K246">
        <f>BD_Limites!$G$6</f>
        <v>2074</v>
      </c>
      <c r="M246" t="str">
        <f>IF(G246="","",IF(AND(G246&gt;=J246,G246&lt;=K246),"Conforme","Não conforme"))</f>
        <v/>
      </c>
      <c r="N246" t="str">
        <f>IF('Calibração Blaine'!$N$26&amp;""="","",TRIM('Calibração Blaine'!$N$26&amp;""))</f>
        <v>EBERT</v>
      </c>
      <c r="O246" t="str">
        <f>IF('Calibração Blaine'!$C$26&amp;""="","",TRIM('Calibração Blaine'!$C$26&amp;""))</f>
        <v>D</v>
      </c>
      <c r="P246" t="str">
        <f>IF('Calibração Blaine'!$B$26&amp;""="","",TRIM('Calibração Blaine'!$B$26&amp;""))</f>
        <v>07x19</v>
      </c>
      <c r="Q246" t="s">
        <v>607</v>
      </c>
    </row>
    <row r="247">
      <c r="A247" t="s">
        <v>451</v>
      </c>
      <c r="B247" t="s">
        <v>6</v>
      </c>
      <c r="C247" s="912">
        <f>IF(N('Calibração Blaine'!$A$27)&gt;0,'Calibração Blaine'!$A$27,"")</f>
        <v>46276</v>
      </c>
      <c r="D247" t="s">
        <v>68</v>
      </c>
      <c r="E247" t="s">
        <v>68</v>
      </c>
      <c r="F247" t="s">
        <v>453</v>
      </c>
      <c r="G247" t="str">
        <f>IF(ISNUMBER('Calibração Blaine'!$L$27),'Calibração Blaine'!$L$27,"")</f>
        <v/>
      </c>
      <c r="H247">
        <f>BD_Limites!$E$6</f>
        <v>2030</v>
      </c>
      <c r="I247" t="str">
        <f>IF(OR(G247="",H247=""),"",G247-H247)</f>
        <v/>
      </c>
      <c r="J247">
        <f>BD_Limites!$F$6</f>
        <v>1986</v>
      </c>
      <c r="K247">
        <f>BD_Limites!$G$6</f>
        <v>2074</v>
      </c>
      <c r="M247" t="str">
        <f>IF(G247="","",IF(AND(G247&gt;=J247,G247&lt;=K247),"Conforme","Não conforme"))</f>
        <v/>
      </c>
      <c r="N247" t="str">
        <f>IF('Calibração Blaine'!$N$27&amp;""="","",TRIM('Calibração Blaine'!$N$27&amp;""))</f>
        <v>ZAINE</v>
      </c>
      <c r="O247" t="str">
        <f>IF('Calibração Blaine'!$C$27&amp;""="","",TRIM('Calibração Blaine'!$C$27&amp;""))</f>
        <v>C</v>
      </c>
      <c r="P247" t="str">
        <f>IF('Calibração Blaine'!$B$27&amp;""="","",TRIM('Calibração Blaine'!$B$27&amp;""))</f>
        <v>19x07</v>
      </c>
      <c r="Q247" t="s">
        <v>608</v>
      </c>
    </row>
    <row r="248">
      <c r="A248" t="s">
        <v>451</v>
      </c>
      <c r="B248" t="s">
        <v>6</v>
      </c>
      <c r="C248" s="912">
        <f>IF(N('Calibração Blaine'!$A$28)&gt;0,'Calibração Blaine'!$A$28,"")</f>
        <v>46277</v>
      </c>
      <c r="D248" t="s">
        <v>68</v>
      </c>
      <c r="E248" t="s">
        <v>68</v>
      </c>
      <c r="F248" t="s">
        <v>453</v>
      </c>
      <c r="G248" t="str">
        <f>IF(ISNUMBER('Calibração Blaine'!$L$28),'Calibração Blaine'!$L$28,"")</f>
        <v/>
      </c>
      <c r="H248">
        <f>BD_Limites!$E$6</f>
        <v>2030</v>
      </c>
      <c r="I248" t="str">
        <f>IF(OR(G248="",H248=""),"",G248-H248)</f>
        <v/>
      </c>
      <c r="J248">
        <f>BD_Limites!$F$6</f>
        <v>1986</v>
      </c>
      <c r="K248">
        <f>BD_Limites!$G$6</f>
        <v>2074</v>
      </c>
      <c r="M248" t="str">
        <f>IF(G248="","",IF(AND(G248&gt;=J248,G248&lt;=K248),"Conforme","Não conforme"))</f>
        <v/>
      </c>
      <c r="N248" t="str">
        <f>IF('Calibração Blaine'!$N$28&amp;""="","",TRIM('Calibração Blaine'!$N$28&amp;""))</f>
        <v>FELIPE</v>
      </c>
      <c r="O248" t="str">
        <f>IF('Calibração Blaine'!$C$28&amp;""="","",TRIM('Calibração Blaine'!$C$28&amp;""))</f>
        <v>B</v>
      </c>
      <c r="P248" t="str">
        <f>IF('Calibração Blaine'!$B$28&amp;""="","",TRIM('Calibração Blaine'!$B$28&amp;""))</f>
        <v>07x19</v>
      </c>
      <c r="Q248" t="s">
        <v>609</v>
      </c>
    </row>
    <row r="249">
      <c r="A249" t="s">
        <v>451</v>
      </c>
      <c r="B249" t="s">
        <v>6</v>
      </c>
      <c r="C249" s="912">
        <f>IF(N('Calibração Blaine'!$A$29)&gt;0,'Calibração Blaine'!$A$29,"")</f>
        <v>46277</v>
      </c>
      <c r="D249" t="s">
        <v>68</v>
      </c>
      <c r="E249" t="s">
        <v>68</v>
      </c>
      <c r="F249" t="s">
        <v>453</v>
      </c>
      <c r="G249" t="str">
        <f>IF(ISNUMBER('Calibração Blaine'!$L$29),'Calibração Blaine'!$L$29,"")</f>
        <v/>
      </c>
      <c r="H249">
        <f>BD_Limites!$E$6</f>
        <v>2030</v>
      </c>
      <c r="I249" t="str">
        <f>IF(OR(G249="",H249=""),"",G249-H249)</f>
        <v/>
      </c>
      <c r="J249">
        <f>BD_Limites!$F$6</f>
        <v>1986</v>
      </c>
      <c r="K249">
        <f>BD_Limites!$G$6</f>
        <v>2074</v>
      </c>
      <c r="M249" t="str">
        <f>IF(G249="","",IF(AND(G249&gt;=J249,G249&lt;=K249),"Conforme","Não conforme"))</f>
        <v/>
      </c>
      <c r="N249" t="str">
        <f>IF('Calibração Blaine'!$N$29&amp;""="","",TRIM('Calibração Blaine'!$N$29&amp;""))</f>
        <v>GABRYELL</v>
      </c>
      <c r="O249" t="str">
        <f>IF('Calibração Blaine'!$C$29&amp;""="","",TRIM('Calibração Blaine'!$C$29&amp;""))</f>
        <v>D</v>
      </c>
      <c r="P249" t="str">
        <f>IF('Calibração Blaine'!$B$29&amp;""="","",TRIM('Calibração Blaine'!$B$29&amp;""))</f>
        <v>19x07</v>
      </c>
      <c r="Q249" t="s">
        <v>610</v>
      </c>
    </row>
    <row r="250">
      <c r="A250" t="s">
        <v>451</v>
      </c>
      <c r="B250" t="s">
        <v>6</v>
      </c>
      <c r="C250" s="912">
        <f>IF(N('Calibração Blaine'!$A$30)&gt;0,'Calibração Blaine'!$A$30,"")</f>
        <v>46278</v>
      </c>
      <c r="D250" t="s">
        <v>68</v>
      </c>
      <c r="E250" t="s">
        <v>68</v>
      </c>
      <c r="F250" t="s">
        <v>453</v>
      </c>
      <c r="G250" t="str">
        <f>IF(ISNUMBER('Calibração Blaine'!$L$30),'Calibração Blaine'!$L$30,"")</f>
        <v/>
      </c>
      <c r="H250">
        <f>BD_Limites!$E$6</f>
        <v>2030</v>
      </c>
      <c r="I250" t="str">
        <f>IF(OR(G250="",H250=""),"",G250-H250)</f>
        <v/>
      </c>
      <c r="J250">
        <f>BD_Limites!$F$6</f>
        <v>1986</v>
      </c>
      <c r="K250">
        <f>BD_Limites!$G$6</f>
        <v>2074</v>
      </c>
      <c r="M250" t="str">
        <f>IF(G250="","",IF(AND(G250&gt;=J250,G250&lt;=K250),"Conforme","Não conforme"))</f>
        <v/>
      </c>
      <c r="N250" t="str">
        <f>IF('Calibração Blaine'!$N$30&amp;""="","",TRIM('Calibração Blaine'!$N$30&amp;""))</f>
        <v>WESLEY</v>
      </c>
      <c r="O250" t="str">
        <f>IF('Calibração Blaine'!$C$30&amp;""="","",TRIM('Calibração Blaine'!$C$30&amp;""))</f>
        <v>B</v>
      </c>
      <c r="P250" t="str">
        <f>IF('Calibração Blaine'!$B$30&amp;""="","",TRIM('Calibração Blaine'!$B$30&amp;""))</f>
        <v>07x19</v>
      </c>
      <c r="Q250" t="s">
        <v>611</v>
      </c>
    </row>
    <row r="251">
      <c r="A251" t="s">
        <v>451</v>
      </c>
      <c r="B251" t="s">
        <v>6</v>
      </c>
      <c r="C251" s="912">
        <f>IF(N('Calibração Blaine'!$A$31)&gt;0,'Calibração Blaine'!$A$31,"")</f>
        <v>46278</v>
      </c>
      <c r="D251" t="s">
        <v>68</v>
      </c>
      <c r="E251" t="s">
        <v>68</v>
      </c>
      <c r="F251" t="s">
        <v>453</v>
      </c>
      <c r="G251" t="str">
        <f>IF(ISNUMBER('Calibração Blaine'!$L$31),'Calibração Blaine'!$L$31,"")</f>
        <v/>
      </c>
      <c r="H251">
        <f>BD_Limites!$E$6</f>
        <v>2030</v>
      </c>
      <c r="I251" t="str">
        <f>IF(OR(G251="",H251=""),"",G251-H251)</f>
        <v/>
      </c>
      <c r="J251">
        <f>BD_Limites!$F$6</f>
        <v>1986</v>
      </c>
      <c r="K251">
        <f>BD_Limites!$G$6</f>
        <v>2074</v>
      </c>
      <c r="M251" t="str">
        <f>IF(G251="","",IF(AND(G251&gt;=J251,G251&lt;=K251),"Conforme","Não conforme"))</f>
        <v/>
      </c>
      <c r="N251" t="str">
        <f>IF('Calibração Blaine'!$N$31&amp;""="","",TRIM('Calibração Blaine'!$N$31&amp;""))</f>
        <v>LUIS FELIPE</v>
      </c>
      <c r="O251" t="str">
        <f>IF('Calibração Blaine'!$C$31&amp;""="","",TRIM('Calibração Blaine'!$C$31&amp;""))</f>
        <v>D</v>
      </c>
      <c r="P251" t="str">
        <f>IF('Calibração Blaine'!$B$31&amp;""="","",TRIM('Calibração Blaine'!$B$31&amp;""))</f>
        <v>19x07</v>
      </c>
      <c r="Q251" t="s">
        <v>612</v>
      </c>
    </row>
    <row r="252">
      <c r="A252" t="s">
        <v>451</v>
      </c>
      <c r="B252" t="s">
        <v>6</v>
      </c>
      <c r="C252" s="912">
        <f>IF(N('Calibração Blaine'!$A$32)&gt;0,'Calibração Blaine'!$A$32,"")</f>
        <v>46279</v>
      </c>
      <c r="D252" t="s">
        <v>68</v>
      </c>
      <c r="E252" t="s">
        <v>68</v>
      </c>
      <c r="F252" t="s">
        <v>453</v>
      </c>
      <c r="G252" t="str">
        <f>IF(ISNUMBER('Calibração Blaine'!$L$32),'Calibração Blaine'!$L$32,"")</f>
        <v/>
      </c>
      <c r="H252">
        <f>BD_Limites!$E$6</f>
        <v>2030</v>
      </c>
      <c r="I252" t="str">
        <f>IF(OR(G252="",H252=""),"",G252-H252)</f>
        <v/>
      </c>
      <c r="J252">
        <f>BD_Limites!$F$6</f>
        <v>1986</v>
      </c>
      <c r="K252">
        <f>BD_Limites!$G$6</f>
        <v>2074</v>
      </c>
      <c r="M252" t="str">
        <f>IF(G252="","",IF(AND(G252&gt;=J252,G252&lt;=K252),"Conforme","Não conforme"))</f>
        <v/>
      </c>
      <c r="N252" t="str">
        <f>IF('Calibração Blaine'!$N$32&amp;""="","",TRIM('Calibração Blaine'!$N$32&amp;""))</f>
        <v>schunck</v>
      </c>
      <c r="O252" t="str">
        <f>IF('Calibração Blaine'!$C$32&amp;""="","",TRIM('Calibração Blaine'!$C$32&amp;""))</f>
        <v>A</v>
      </c>
      <c r="P252" t="str">
        <f>IF('Calibração Blaine'!$B$32&amp;""="","",TRIM('Calibração Blaine'!$B$32&amp;""))</f>
        <v>07X19</v>
      </c>
      <c r="Q252" t="s">
        <v>613</v>
      </c>
    </row>
    <row r="253">
      <c r="A253" t="s">
        <v>451</v>
      </c>
      <c r="B253" t="s">
        <v>6</v>
      </c>
      <c r="C253" s="912">
        <f>IF(N('Calibração Blaine'!$A$33)&gt;0,'Calibração Blaine'!$A$33,"")</f>
        <v>46279</v>
      </c>
      <c r="D253" t="s">
        <v>68</v>
      </c>
      <c r="E253" t="s">
        <v>68</v>
      </c>
      <c r="F253" t="s">
        <v>453</v>
      </c>
      <c r="G253" t="str">
        <f>IF(ISNUMBER('Calibração Blaine'!$L$33),'Calibração Blaine'!$L$33,"")</f>
        <v/>
      </c>
      <c r="H253">
        <f>BD_Limites!$E$6</f>
        <v>2030</v>
      </c>
      <c r="I253" t="str">
        <f>IF(OR(G253="",H253=""),"",G253-H253)</f>
        <v/>
      </c>
      <c r="J253">
        <f>BD_Limites!$F$6</f>
        <v>1986</v>
      </c>
      <c r="K253">
        <f>BD_Limites!$G$6</f>
        <v>2074</v>
      </c>
      <c r="M253" t="str">
        <f>IF(G253="","",IF(AND(G253&gt;=J253,G253&lt;=K253),"Conforme","Não conforme"))</f>
        <v/>
      </c>
      <c r="N253" t="str">
        <f>IF('Calibração Blaine'!$N$33&amp;""="","",TRIM('Calibração Blaine'!$N$33&amp;""))</f>
        <v>FELIPE</v>
      </c>
      <c r="O253" t="str">
        <f>IF('Calibração Blaine'!$C$33&amp;""="","",TRIM('Calibração Blaine'!$C$33&amp;""))</f>
        <v>B</v>
      </c>
      <c r="P253" t="str">
        <f>IF('Calibração Blaine'!$B$33&amp;""="","",TRIM('Calibração Blaine'!$B$33&amp;""))</f>
        <v>19x07</v>
      </c>
      <c r="Q253" t="s">
        <v>614</v>
      </c>
    </row>
    <row r="254">
      <c r="A254" t="s">
        <v>451</v>
      </c>
      <c r="B254" t="s">
        <v>6</v>
      </c>
      <c r="C254" s="912">
        <f>IF(N('Calibração Blaine'!$A$34)&gt;0,'Calibração Blaine'!$A$34,"")</f>
        <v>46280</v>
      </c>
      <c r="D254" t="s">
        <v>68</v>
      </c>
      <c r="E254" t="s">
        <v>68</v>
      </c>
      <c r="F254" t="s">
        <v>453</v>
      </c>
      <c r="G254" t="str">
        <f>IF(ISNUMBER('Calibração Blaine'!$L$34),'Calibração Blaine'!$L$34,"")</f>
        <v/>
      </c>
      <c r="H254">
        <f>BD_Limites!$E$6</f>
        <v>2030</v>
      </c>
      <c r="I254" t="str">
        <f>IF(OR(G254="",H254=""),"",G254-H254)</f>
        <v/>
      </c>
      <c r="J254">
        <f>BD_Limites!$F$6</f>
        <v>1986</v>
      </c>
      <c r="K254">
        <f>BD_Limites!$G$6</f>
        <v>2074</v>
      </c>
      <c r="M254" t="str">
        <f>IF(G254="","",IF(AND(G254&gt;=J254,G254&lt;=K254),"Conforme","Não conforme"))</f>
        <v/>
      </c>
      <c r="N254" t="str">
        <f>IF('Calibração Blaine'!$N$34&amp;""="","",TRIM('Calibração Blaine'!$N$34&amp;""))</f>
        <v>ALESANDRO</v>
      </c>
      <c r="O254" t="str">
        <f>IF('Calibração Blaine'!$C$34&amp;""="","",TRIM('Calibração Blaine'!$C$34&amp;""))</f>
        <v>A</v>
      </c>
      <c r="P254" t="str">
        <f>IF('Calibração Blaine'!$B$34&amp;""="","",TRIM('Calibração Blaine'!$B$34&amp;""))</f>
        <v>07x19</v>
      </c>
      <c r="Q254" t="s">
        <v>615</v>
      </c>
    </row>
    <row r="255">
      <c r="A255" t="s">
        <v>451</v>
      </c>
      <c r="B255" t="s">
        <v>6</v>
      </c>
      <c r="C255" s="912">
        <f>IF(N('Calibração Blaine'!$A$35)&gt;0,'Calibração Blaine'!$A$35,"")</f>
        <v>46280</v>
      </c>
      <c r="D255" t="s">
        <v>68</v>
      </c>
      <c r="E255" t="s">
        <v>68</v>
      </c>
      <c r="F255" t="s">
        <v>453</v>
      </c>
      <c r="G255" t="str">
        <f>IF(ISNUMBER('Calibração Blaine'!$L$35),'Calibração Blaine'!$L$35,"")</f>
        <v/>
      </c>
      <c r="H255">
        <f>BD_Limites!$E$6</f>
        <v>2030</v>
      </c>
      <c r="I255" t="str">
        <f>IF(OR(G255="",H255=""),"",G255-H255)</f>
        <v/>
      </c>
      <c r="J255">
        <f>BD_Limites!$F$6</f>
        <v>1986</v>
      </c>
      <c r="K255">
        <f>BD_Limites!$G$6</f>
        <v>2074</v>
      </c>
      <c r="M255" t="str">
        <f>IF(G255="","",IF(AND(G255&gt;=J255,G255&lt;=K255),"Conforme","Não conforme"))</f>
        <v/>
      </c>
      <c r="N255" t="str">
        <f>IF('Calibração Blaine'!$N$35&amp;""="","",TRIM('Calibração Blaine'!$N$35&amp;""))</f>
        <v>WESLEY</v>
      </c>
      <c r="O255" t="str">
        <f>IF('Calibração Blaine'!$C$35&amp;""="","",TRIM('Calibração Blaine'!$C$35&amp;""))</f>
        <v>B</v>
      </c>
      <c r="P255" t="str">
        <f>IF('Calibração Blaine'!$B$35&amp;""="","",TRIM('Calibração Blaine'!$B$35&amp;""))</f>
        <v>19x07</v>
      </c>
      <c r="Q255" t="s">
        <v>616</v>
      </c>
    </row>
    <row r="256">
      <c r="A256" t="s">
        <v>451</v>
      </c>
      <c r="B256" t="s">
        <v>6</v>
      </c>
      <c r="C256" s="912">
        <f>IF(N('Calibração Blaine'!$A$36)&gt;0,'Calibração Blaine'!$A$36,"")</f>
        <v>46281</v>
      </c>
      <c r="D256" t="s">
        <v>68</v>
      </c>
      <c r="E256" t="s">
        <v>68</v>
      </c>
      <c r="F256" t="s">
        <v>453</v>
      </c>
      <c r="G256" t="str">
        <f>IF(ISNUMBER('Calibração Blaine'!$L$36),'Calibração Blaine'!$L$36,"")</f>
        <v/>
      </c>
      <c r="H256">
        <f>BD_Limites!$E$6</f>
        <v>2030</v>
      </c>
      <c r="I256" t="str">
        <f>IF(OR(G256="",H256=""),"",G256-H256)</f>
        <v/>
      </c>
      <c r="J256">
        <f>BD_Limites!$F$6</f>
        <v>1986</v>
      </c>
      <c r="K256">
        <f>BD_Limites!$G$6</f>
        <v>2074</v>
      </c>
      <c r="M256" t="str">
        <f>IF(G256="","",IF(AND(G256&gt;=J256,G256&lt;=K256),"Conforme","Não conforme"))</f>
        <v/>
      </c>
      <c r="N256" t="str">
        <f>IF('Calibração Blaine'!$N$36&amp;""="","",TRIM('Calibração Blaine'!$N$36&amp;""))</f>
        <v>ZAINE</v>
      </c>
      <c r="O256" t="str">
        <f>IF('Calibração Blaine'!$C$36&amp;""="","",TRIM('Calibração Blaine'!$C$36&amp;""))</f>
        <v>C</v>
      </c>
      <c r="P256" t="str">
        <f>IF('Calibração Blaine'!$B$36&amp;""="","",TRIM('Calibração Blaine'!$B$36&amp;""))</f>
        <v>07x19</v>
      </c>
      <c r="Q256" t="s">
        <v>617</v>
      </c>
    </row>
    <row r="257">
      <c r="A257" t="s">
        <v>451</v>
      </c>
      <c r="B257" t="s">
        <v>6</v>
      </c>
      <c r="C257" s="912">
        <f>IF(N('Calibração Blaine'!$A$37)&gt;0,'Calibração Blaine'!$A$37,"")</f>
        <v>46281</v>
      </c>
      <c r="D257" t="s">
        <v>68</v>
      </c>
      <c r="E257" t="s">
        <v>68</v>
      </c>
      <c r="F257" t="s">
        <v>453</v>
      </c>
      <c r="G257" t="str">
        <f>IF(ISNUMBER('Calibração Blaine'!$L$37),'Calibração Blaine'!$L$37,"")</f>
        <v/>
      </c>
      <c r="H257">
        <f>BD_Limites!$E$6</f>
        <v>2030</v>
      </c>
      <c r="I257" t="str">
        <f>IF(OR(G257="",H257=""),"",G257-H257)</f>
        <v/>
      </c>
      <c r="J257">
        <f>BD_Limites!$F$6</f>
        <v>1986</v>
      </c>
      <c r="K257">
        <f>BD_Limites!$G$6</f>
        <v>2074</v>
      </c>
      <c r="M257" t="str">
        <f>IF(G257="","",IF(AND(G257&gt;=J257,G257&lt;=K257),"Conforme","Não conforme"))</f>
        <v/>
      </c>
      <c r="N257" t="str">
        <f>IF('Calibração Blaine'!$N$37&amp;""="","",TRIM('Calibração Blaine'!$N$37&amp;""))</f>
        <v>RENATO</v>
      </c>
      <c r="O257" t="str">
        <f>IF('Calibração Blaine'!$C$37&amp;""="","",TRIM('Calibração Blaine'!$C$37&amp;""))</f>
        <v>A</v>
      </c>
      <c r="P257" t="str">
        <f>IF('Calibração Blaine'!$B$37&amp;""="","",TRIM('Calibração Blaine'!$B$37&amp;""))</f>
        <v>19x07</v>
      </c>
      <c r="Q257" t="s">
        <v>618</v>
      </c>
    </row>
    <row r="258">
      <c r="A258" t="s">
        <v>451</v>
      </c>
      <c r="B258" t="s">
        <v>6</v>
      </c>
      <c r="C258" s="912" t="str">
        <f>IF(N('Calibração Blaine'!$A$38)&gt;0,'Calibração Blaine'!$A$38,"")</f>
        <v/>
      </c>
      <c r="D258" t="s">
        <v>68</v>
      </c>
      <c r="E258" t="s">
        <v>68</v>
      </c>
      <c r="F258" t="s">
        <v>453</v>
      </c>
      <c r="G258" t="str">
        <f>IF(ISNUMBER('Calibração Blaine'!$L$38),'Calibração Blaine'!$L$38,"")</f>
        <v/>
      </c>
      <c r="H258">
        <f>BD_Limites!$E$6</f>
        <v>2030</v>
      </c>
      <c r="I258" t="str">
        <f>IF(OR(G258="",H258=""),"",G258-H258)</f>
        <v/>
      </c>
      <c r="J258">
        <f>BD_Limites!$F$6</f>
        <v>1986</v>
      </c>
      <c r="K258">
        <f>BD_Limites!$G$6</f>
        <v>2074</v>
      </c>
      <c r="M258" t="str">
        <f>IF(G258="","",IF(AND(G258&gt;=J258,G258&lt;=K258),"Conforme","Não conforme"))</f>
        <v/>
      </c>
      <c r="N258" t="str">
        <f>IF('Calibração Blaine'!$N$38&amp;""="","",TRIM('Calibração Blaine'!$N$38&amp;""))</f>
        <v/>
      </c>
      <c r="O258" t="str">
        <f>IF('Calibração Blaine'!$C$38&amp;""="","",TRIM('Calibração Blaine'!$C$38&amp;""))</f>
        <v/>
      </c>
      <c r="P258" t="str">
        <f>IF('Calibração Blaine'!$B$38&amp;""="","",TRIM('Calibração Blaine'!$B$38&amp;""))</f>
        <v/>
      </c>
      <c r="Q258" t="s">
        <v>619</v>
      </c>
    </row>
    <row r="259">
      <c r="A259" t="s">
        <v>451</v>
      </c>
      <c r="B259" t="s">
        <v>6</v>
      </c>
      <c r="C259" s="912">
        <f>IF(N('Calibração Blaine'!$A$39)&gt;0,'Calibração Blaine'!$A$39,"")</f>
        <v>46282</v>
      </c>
      <c r="D259" t="s">
        <v>68</v>
      </c>
      <c r="E259" t="s">
        <v>68</v>
      </c>
      <c r="F259" t="s">
        <v>453</v>
      </c>
      <c r="G259" t="str">
        <f>IF(ISNUMBER('Calibração Blaine'!$L$39),'Calibração Blaine'!$L$39,"")</f>
        <v/>
      </c>
      <c r="H259">
        <f>BD_Limites!$E$6</f>
        <v>2030</v>
      </c>
      <c r="I259" t="str">
        <f>IF(OR(G259="",H259=""),"",G259-H259)</f>
        <v/>
      </c>
      <c r="J259">
        <f>BD_Limites!$F$6</f>
        <v>1986</v>
      </c>
      <c r="K259">
        <f>BD_Limites!$G$6</f>
        <v>2074</v>
      </c>
      <c r="M259" t="str">
        <f>IF(G259="","",IF(AND(G259&gt;=J259,G259&lt;=K259),"Conforme","Não conforme"))</f>
        <v/>
      </c>
      <c r="N259" t="str">
        <f>IF('Calibração Blaine'!$N$39&amp;""="","",TRIM('Calibração Blaine'!$N$39&amp;""))</f>
        <v>RENATO</v>
      </c>
      <c r="O259" t="str">
        <f>IF('Calibração Blaine'!$C$39&amp;""="","",TRIM('Calibração Blaine'!$C$39&amp;""))</f>
        <v>A</v>
      </c>
      <c r="P259" t="str">
        <f>IF('Calibração Blaine'!$B$39&amp;""="","",TRIM('Calibração Blaine'!$B$39&amp;""))</f>
        <v>19x07</v>
      </c>
      <c r="Q259" t="s">
        <v>620</v>
      </c>
    </row>
    <row r="260">
      <c r="A260" t="s">
        <v>451</v>
      </c>
      <c r="B260" t="s">
        <v>6</v>
      </c>
      <c r="C260" s="912">
        <f>IF(N('Calibração Blaine'!$A$40)&gt;0,'Calibração Blaine'!$A$40,"")</f>
        <v>46283</v>
      </c>
      <c r="D260" t="s">
        <v>68</v>
      </c>
      <c r="E260" t="s">
        <v>68</v>
      </c>
      <c r="F260" t="s">
        <v>453</v>
      </c>
      <c r="G260" t="str">
        <f>IF(ISNUMBER('Calibração Blaine'!$L$40),'Calibração Blaine'!$L$40,"")</f>
        <v/>
      </c>
      <c r="H260">
        <f>BD_Limites!$E$6</f>
        <v>2030</v>
      </c>
      <c r="I260" t="str">
        <f>IF(OR(G260="",H260=""),"",G260-H260)</f>
        <v/>
      </c>
      <c r="J260">
        <f>BD_Limites!$F$6</f>
        <v>1986</v>
      </c>
      <c r="K260">
        <f>BD_Limites!$G$6</f>
        <v>2074</v>
      </c>
      <c r="M260" t="str">
        <f>IF(G260="","",IF(AND(G260&gt;=J260,G260&lt;=K260),"Conforme","Não conforme"))</f>
        <v/>
      </c>
      <c r="N260" t="str">
        <f>IF('Calibração Blaine'!$N$40&amp;""="","",TRIM('Calibração Blaine'!$N$40&amp;""))</f>
        <v>EBERT</v>
      </c>
      <c r="O260" t="str">
        <f>IF('Calibração Blaine'!$C$40&amp;""="","",TRIM('Calibração Blaine'!$C$40&amp;""))</f>
        <v>D</v>
      </c>
      <c r="P260" t="str">
        <f>IF('Calibração Blaine'!$B$40&amp;""="","",TRIM('Calibração Blaine'!$B$40&amp;""))</f>
        <v>07x19</v>
      </c>
      <c r="Q260" t="s">
        <v>621</v>
      </c>
    </row>
    <row r="261">
      <c r="A261" t="s">
        <v>451</v>
      </c>
      <c r="B261" t="s">
        <v>6</v>
      </c>
      <c r="C261" s="912">
        <f>IF(N('Calibração Blaine'!$A$41)&gt;0,'Calibração Blaine'!$A$41,"")</f>
        <v>46284</v>
      </c>
      <c r="D261" t="s">
        <v>68</v>
      </c>
      <c r="E261" t="s">
        <v>68</v>
      </c>
      <c r="F261" t="s">
        <v>453</v>
      </c>
      <c r="G261" t="str">
        <f>IF(ISNUMBER('Calibração Blaine'!$L$41),'Calibração Blaine'!$L$41,"")</f>
        <v/>
      </c>
      <c r="H261">
        <f>BD_Limites!$E$6</f>
        <v>2030</v>
      </c>
      <c r="I261" t="str">
        <f>IF(OR(G261="",H261=""),"",G261-H261)</f>
        <v/>
      </c>
      <c r="J261">
        <f>BD_Limites!$F$6</f>
        <v>1986</v>
      </c>
      <c r="K261">
        <f>BD_Limites!$G$6</f>
        <v>2074</v>
      </c>
      <c r="M261" t="str">
        <f>IF(G261="","",IF(AND(G261&gt;=J261,G261&lt;=K261),"Conforme","Não conforme"))</f>
        <v/>
      </c>
      <c r="N261" t="str">
        <f>IF('Calibração Blaine'!$N$41&amp;""="","",TRIM('Calibração Blaine'!$N$41&amp;""))</f>
        <v>GABRYELL</v>
      </c>
      <c r="O261" t="str">
        <f>IF('Calibração Blaine'!$C$41&amp;""="","",TRIM('Calibração Blaine'!$C$41&amp;""))</f>
        <v>D</v>
      </c>
      <c r="P261" t="str">
        <f>IF('Calibração Blaine'!$B$41&amp;""="","",TRIM('Calibração Blaine'!$B$41&amp;""))</f>
        <v>07X19</v>
      </c>
      <c r="Q261" t="s">
        <v>622</v>
      </c>
    </row>
    <row r="262">
      <c r="A262" t="s">
        <v>451</v>
      </c>
      <c r="B262" t="s">
        <v>6</v>
      </c>
      <c r="C262" s="912">
        <f>IF(N('Calibração Blaine'!$A$42)&gt;0,'Calibração Blaine'!$A$42,"")</f>
        <v>46285</v>
      </c>
      <c r="D262" t="s">
        <v>68</v>
      </c>
      <c r="E262" t="s">
        <v>68</v>
      </c>
      <c r="F262" t="s">
        <v>453</v>
      </c>
      <c r="G262" t="str">
        <f>IF(ISNUMBER('Calibração Blaine'!$L$42),'Calibração Blaine'!$L$42,"")</f>
        <v/>
      </c>
      <c r="H262">
        <f>BD_Limites!$E$6</f>
        <v>2030</v>
      </c>
      <c r="I262" t="str">
        <f>IF(OR(G262="",H262=""),"",G262-H262)</f>
        <v/>
      </c>
      <c r="J262">
        <f>BD_Limites!$F$6</f>
        <v>1986</v>
      </c>
      <c r="K262">
        <f>BD_Limites!$G$6</f>
        <v>2074</v>
      </c>
      <c r="M262" t="str">
        <f>IF(G262="","",IF(AND(G262&gt;=J262,G262&lt;=K262),"Conforme","Não conforme"))</f>
        <v/>
      </c>
      <c r="N262" t="str">
        <f>IF('Calibração Blaine'!$N$42&amp;""="","",TRIM('Calibração Blaine'!$N$42&amp;""))</f>
        <v>fELIPE</v>
      </c>
      <c r="O262" t="str">
        <f>IF('Calibração Blaine'!$C$42&amp;""="","",TRIM('Calibração Blaine'!$C$42&amp;""))</f>
        <v>B</v>
      </c>
      <c r="P262" t="str">
        <f>IF('Calibração Blaine'!$B$42&amp;""="","",TRIM('Calibração Blaine'!$B$42&amp;""))</f>
        <v>07x19</v>
      </c>
      <c r="Q262" t="s">
        <v>623</v>
      </c>
    </row>
    <row r="263">
      <c r="A263" t="s">
        <v>451</v>
      </c>
      <c r="B263" t="s">
        <v>6</v>
      </c>
      <c r="C263" s="912">
        <f>IF(N('Calibração Blaine'!$A$43)&gt;0,'Calibração Blaine'!$A$43,"")</f>
        <v>46285</v>
      </c>
      <c r="D263" t="s">
        <v>68</v>
      </c>
      <c r="E263" t="s">
        <v>68</v>
      </c>
      <c r="F263" t="s">
        <v>453</v>
      </c>
      <c r="G263" t="str">
        <f>IF(ISNUMBER('Calibração Blaine'!$L$43),'Calibração Blaine'!$L$43,"")</f>
        <v/>
      </c>
      <c r="H263">
        <f>BD_Limites!$E$6</f>
        <v>2030</v>
      </c>
      <c r="I263" t="str">
        <f>IF(OR(G263="",H263=""),"",G263-H263)</f>
        <v/>
      </c>
      <c r="J263">
        <f>BD_Limites!$F$6</f>
        <v>1986</v>
      </c>
      <c r="K263">
        <f>BD_Limites!$G$6</f>
        <v>2074</v>
      </c>
      <c r="M263" t="str">
        <f>IF(G263="","",IF(AND(G263&gt;=J263,G263&lt;=K263),"Conforme","Não conforme"))</f>
        <v/>
      </c>
      <c r="N263" t="str">
        <f>IF('Calibração Blaine'!$N$43&amp;""="","",TRIM('Calibração Blaine'!$N$43&amp;""))</f>
        <v>EBERT</v>
      </c>
      <c r="O263" t="str">
        <f>IF('Calibração Blaine'!$C$43&amp;""="","",TRIM('Calibração Blaine'!$C$43&amp;""))</f>
        <v>D</v>
      </c>
      <c r="P263" t="str">
        <f>IF('Calibração Blaine'!$B$43&amp;""="","",TRIM('Calibração Blaine'!$B$43&amp;""))</f>
        <v>19x07</v>
      </c>
      <c r="Q263" t="s">
        <v>624</v>
      </c>
    </row>
    <row r="264">
      <c r="A264" t="s">
        <v>451</v>
      </c>
      <c r="B264" t="s">
        <v>6</v>
      </c>
      <c r="C264" s="912">
        <f>IF(N('Calibração Blaine'!$A$44)&gt;0,'Calibração Blaine'!$A$44,"")</f>
        <v>46286</v>
      </c>
      <c r="D264" t="s">
        <v>68</v>
      </c>
      <c r="E264" t="s">
        <v>68</v>
      </c>
      <c r="F264" t="s">
        <v>453</v>
      </c>
      <c r="G264" t="str">
        <f>IF(ISNUMBER('Calibração Blaine'!$L$44),'Calibração Blaine'!$L$44,"")</f>
        <v/>
      </c>
      <c r="H264">
        <f>BD_Limites!$E$6</f>
        <v>2030</v>
      </c>
      <c r="I264" t="str">
        <f>IF(OR(G264="",H264=""),"",G264-H264)</f>
        <v/>
      </c>
      <c r="J264">
        <f>BD_Limites!$F$6</f>
        <v>1986</v>
      </c>
      <c r="K264">
        <f>BD_Limites!$G$6</f>
        <v>2074</v>
      </c>
      <c r="M264" t="str">
        <f>IF(G264="","",IF(AND(G264&gt;=J264,G264&lt;=K264),"Conforme","Não conforme"))</f>
        <v/>
      </c>
      <c r="N264" t="str">
        <f>IF('Calibração Blaine'!$N$44&amp;""="","",TRIM('Calibração Blaine'!$N$44&amp;""))</f>
        <v>WESLEY</v>
      </c>
      <c r="O264" t="str">
        <f>IF('Calibração Blaine'!$C$44&amp;""="","",TRIM('Calibração Blaine'!$C$44&amp;""))</f>
        <v>B</v>
      </c>
      <c r="P264" t="str">
        <f>IF('Calibração Blaine'!$B$44&amp;""="","",TRIM('Calibração Blaine'!$B$44&amp;""))</f>
        <v>07X19</v>
      </c>
      <c r="Q264" t="s">
        <v>625</v>
      </c>
    </row>
    <row r="265">
      <c r="A265" t="s">
        <v>451</v>
      </c>
      <c r="B265" t="s">
        <v>6</v>
      </c>
      <c r="C265" s="912">
        <f>IF(N('Calibração Blaine'!$A$45)&gt;0,'Calibração Blaine'!$A$45,"")</f>
        <v>46286</v>
      </c>
      <c r="D265" t="s">
        <v>68</v>
      </c>
      <c r="E265" t="s">
        <v>68</v>
      </c>
      <c r="F265" t="s">
        <v>453</v>
      </c>
      <c r="G265" t="str">
        <f>IF(ISNUMBER('Calibração Blaine'!$L$45),'Calibração Blaine'!$L$45,"")</f>
        <v/>
      </c>
      <c r="H265">
        <f>BD_Limites!$E$6</f>
        <v>2030</v>
      </c>
      <c r="I265" t="str">
        <f>IF(OR(G265="",H265=""),"",G265-H265)</f>
        <v/>
      </c>
      <c r="J265">
        <f>BD_Limites!$F$6</f>
        <v>1986</v>
      </c>
      <c r="K265">
        <f>BD_Limites!$G$6</f>
        <v>2074</v>
      </c>
      <c r="M265" t="str">
        <f>IF(G265="","",IF(AND(G265&gt;=J265,G265&lt;=K265),"Conforme","Não conforme"))</f>
        <v/>
      </c>
      <c r="N265" t="str">
        <f>IF('Calibração Blaine'!$N$45&amp;""="","",TRIM('Calibração Blaine'!$N$45&amp;""))</f>
        <v>GABRYELL</v>
      </c>
      <c r="O265" t="str">
        <f>IF('Calibração Blaine'!$C$45&amp;""="","",TRIM('Calibração Blaine'!$C$45&amp;""))</f>
        <v>A</v>
      </c>
      <c r="P265" t="str">
        <f>IF('Calibração Blaine'!$B$45&amp;""="","",TRIM('Calibração Blaine'!$B$45&amp;""))</f>
        <v>19x07</v>
      </c>
      <c r="Q265" t="s">
        <v>626</v>
      </c>
    </row>
    <row r="266">
      <c r="A266" t="s">
        <v>451</v>
      </c>
      <c r="B266" t="s">
        <v>6</v>
      </c>
      <c r="C266" s="912">
        <f>IF(N('Calibração Blaine'!$A$46)&gt;0,'Calibração Blaine'!$A$46,"")</f>
        <v>46287</v>
      </c>
      <c r="D266" t="s">
        <v>68</v>
      </c>
      <c r="E266" t="s">
        <v>68</v>
      </c>
      <c r="F266" t="s">
        <v>453</v>
      </c>
      <c r="G266" t="str">
        <f>IF(ISNUMBER('Calibração Blaine'!$L$46),'Calibração Blaine'!$L$46,"")</f>
        <v/>
      </c>
      <c r="H266">
        <f>BD_Limites!$E$6</f>
        <v>2030</v>
      </c>
      <c r="I266" t="str">
        <f>IF(OR(G266="",H266=""),"",G266-H266)</f>
        <v/>
      </c>
      <c r="J266">
        <f>BD_Limites!$F$6</f>
        <v>1986</v>
      </c>
      <c r="K266">
        <f>BD_Limites!$G$6</f>
        <v>2074</v>
      </c>
      <c r="M266" t="str">
        <f>IF(G266="","",IF(AND(G266&gt;=J266,G266&lt;=K266),"Conforme","Não conforme"))</f>
        <v/>
      </c>
      <c r="N266" t="str">
        <f>IF('Calibração Blaine'!$N$46&amp;""="","",TRIM('Calibração Blaine'!$N$46&amp;""))</f>
        <v>RENATO</v>
      </c>
      <c r="O266" t="str">
        <f>IF('Calibração Blaine'!$C$46&amp;""="","",TRIM('Calibração Blaine'!$C$46&amp;""))</f>
        <v>A</v>
      </c>
      <c r="P266" t="str">
        <f>IF('Calibração Blaine'!$B$46&amp;""="","",TRIM('Calibração Blaine'!$B$46&amp;""))</f>
        <v>07x19</v>
      </c>
      <c r="Q266" t="s">
        <v>627</v>
      </c>
    </row>
    <row r="267">
      <c r="A267" t="s">
        <v>451</v>
      </c>
      <c r="B267" t="s">
        <v>6</v>
      </c>
      <c r="C267" s="912">
        <f>IF(N('Calibração Blaine'!$A$47)&gt;0,'Calibração Blaine'!$A$47,"")</f>
        <v>46287</v>
      </c>
      <c r="D267" t="s">
        <v>68</v>
      </c>
      <c r="E267" t="s">
        <v>68</v>
      </c>
      <c r="F267" t="s">
        <v>453</v>
      </c>
      <c r="G267" t="str">
        <f>IF(ISNUMBER('Calibração Blaine'!$L$47),'Calibração Blaine'!$L$47,"")</f>
        <v/>
      </c>
      <c r="H267">
        <f>BD_Limites!$E$6</f>
        <v>2030</v>
      </c>
      <c r="I267" t="str">
        <f>IF(OR(G267="",H267=""),"",G267-H267)</f>
        <v/>
      </c>
      <c r="J267">
        <f>BD_Limites!$F$6</f>
        <v>1986</v>
      </c>
      <c r="K267">
        <f>BD_Limites!$G$6</f>
        <v>2074</v>
      </c>
      <c r="M267" t="str">
        <f>IF(G267="","",IF(AND(G267&gt;=J267,G267&lt;=K267),"Conforme","Não conforme"))</f>
        <v/>
      </c>
      <c r="N267" t="str">
        <f>IF('Calibração Blaine'!$N$47&amp;""="","",TRIM('Calibração Blaine'!$N$47&amp;""))</f>
        <v>FELIPE</v>
      </c>
      <c r="O267" t="str">
        <f>IF('Calibração Blaine'!$C$47&amp;""="","",TRIM('Calibração Blaine'!$C$47&amp;""))</f>
        <v>B</v>
      </c>
      <c r="P267" t="str">
        <f>IF('Calibração Blaine'!$B$47&amp;""="","",TRIM('Calibração Blaine'!$B$47&amp;""))</f>
        <v>19x07</v>
      </c>
      <c r="Q267" t="s">
        <v>628</v>
      </c>
    </row>
    <row r="268">
      <c r="A268" t="s">
        <v>451</v>
      </c>
      <c r="B268" t="s">
        <v>6</v>
      </c>
      <c r="C268" s="912">
        <f>IF(N('Calibração Blaine'!$A$48)&gt;0,'Calibração Blaine'!$A$48,"")</f>
        <v>46288</v>
      </c>
      <c r="D268" t="s">
        <v>68</v>
      </c>
      <c r="E268" t="s">
        <v>68</v>
      </c>
      <c r="F268" t="s">
        <v>453</v>
      </c>
      <c r="G268" t="str">
        <f>IF(ISNUMBER('Calibração Blaine'!$L$48),'Calibração Blaine'!$L$48,"")</f>
        <v/>
      </c>
      <c r="H268">
        <f>BD_Limites!$E$6</f>
        <v>2030</v>
      </c>
      <c r="I268" t="str">
        <f>IF(OR(G268="",H268=""),"",G268-H268)</f>
        <v/>
      </c>
      <c r="J268">
        <f>BD_Limites!$F$6</f>
        <v>1986</v>
      </c>
      <c r="K268">
        <f>BD_Limites!$G$6</f>
        <v>2074</v>
      </c>
      <c r="M268" t="str">
        <f>IF(G268="","",IF(AND(G268&gt;=J268,G268&lt;=K268),"Conforme","Não conforme"))</f>
        <v/>
      </c>
      <c r="N268" t="str">
        <f>IF('Calibração Blaine'!$N$48&amp;""="","",TRIM('Calibração Blaine'!$N$48&amp;""))</f>
        <v>RENATO</v>
      </c>
      <c r="O268" t="str">
        <f>IF('Calibração Blaine'!$C$48&amp;""="","",TRIM('Calibração Blaine'!$C$48&amp;""))</f>
        <v>A</v>
      </c>
      <c r="P268" t="str">
        <f>IF('Calibração Blaine'!$B$48&amp;""="","",TRIM('Calibração Blaine'!$B$48&amp;""))</f>
        <v>07x19</v>
      </c>
      <c r="Q268" t="s">
        <v>629</v>
      </c>
    </row>
    <row r="269">
      <c r="A269" t="s">
        <v>451</v>
      </c>
      <c r="B269" t="s">
        <v>6</v>
      </c>
      <c r="C269" s="912" t="str">
        <f>IF(N('Calibração Blaine'!$A$49)&gt;0,'Calibração Blaine'!$A$49,"")</f>
        <v/>
      </c>
      <c r="D269" t="s">
        <v>68</v>
      </c>
      <c r="E269" t="s">
        <v>68</v>
      </c>
      <c r="F269" t="s">
        <v>453</v>
      </c>
      <c r="G269" t="str">
        <f>IF(ISNUMBER('Calibração Blaine'!$L$49),'Calibração Blaine'!$L$49,"")</f>
        <v/>
      </c>
      <c r="H269">
        <f>BD_Limites!$E$6</f>
        <v>2030</v>
      </c>
      <c r="I269" t="str">
        <f>IF(OR(G269="",H269=""),"",G269-H269)</f>
        <v/>
      </c>
      <c r="J269">
        <f>BD_Limites!$F$6</f>
        <v>1986</v>
      </c>
      <c r="K269">
        <f>BD_Limites!$G$6</f>
        <v>2074</v>
      </c>
      <c r="M269" t="str">
        <f>IF(G269="","",IF(AND(G269&gt;=J269,G269&lt;=K269),"Conforme","Não conforme"))</f>
        <v/>
      </c>
      <c r="N269" t="str">
        <f>IF('Calibração Blaine'!$N$49&amp;""="","",TRIM('Calibração Blaine'!$N$49&amp;""))</f>
        <v/>
      </c>
      <c r="O269" t="str">
        <f>IF('Calibração Blaine'!$C$49&amp;""="","",TRIM('Calibração Blaine'!$C$49&amp;""))</f>
        <v/>
      </c>
      <c r="P269" t="str">
        <f>IF('Calibração Blaine'!$B$49&amp;""="","",TRIM('Calibração Blaine'!$B$49&amp;""))</f>
        <v>19x07</v>
      </c>
      <c r="Q269" t="s">
        <v>630</v>
      </c>
    </row>
    <row r="270">
      <c r="A270" t="s">
        <v>451</v>
      </c>
      <c r="B270" t="s">
        <v>6</v>
      </c>
      <c r="C270" s="912" t="str">
        <f>IF(N('Calibração Blaine'!$A$50)&gt;0,'Calibração Blaine'!$A$50,"")</f>
        <v/>
      </c>
      <c r="D270" t="s">
        <v>68</v>
      </c>
      <c r="E270" t="s">
        <v>68</v>
      </c>
      <c r="F270" t="s">
        <v>453</v>
      </c>
      <c r="G270" t="str">
        <f>IF(ISNUMBER('Calibração Blaine'!$L$50),'Calibração Blaine'!$L$50,"")</f>
        <v/>
      </c>
      <c r="H270">
        <f>BD_Limites!$E$6</f>
        <v>2030</v>
      </c>
      <c r="I270" t="str">
        <f>IF(OR(G270="",H270=""),"",G270-H270)</f>
        <v/>
      </c>
      <c r="J270">
        <f>BD_Limites!$F$6</f>
        <v>1986</v>
      </c>
      <c r="K270">
        <f>BD_Limites!$G$6</f>
        <v>2074</v>
      </c>
      <c r="M270" t="str">
        <f>IF(G270="","",IF(AND(G270&gt;=J270,G270&lt;=K270),"Conforme","Não conforme"))</f>
        <v/>
      </c>
      <c r="N270" t="str">
        <f>IF('Calibração Blaine'!$N$50&amp;""="","",TRIM('Calibração Blaine'!$N$50&amp;""))</f>
        <v/>
      </c>
      <c r="O270" t="str">
        <f>IF('Calibração Blaine'!$C$50&amp;""="","",TRIM('Calibração Blaine'!$C$50&amp;""))</f>
        <v/>
      </c>
      <c r="P270" t="str">
        <f>IF('Calibração Blaine'!$B$50&amp;""="","",TRIM('Calibração Blaine'!$B$50&amp;""))</f>
        <v>07X19</v>
      </c>
      <c r="Q270" t="s">
        <v>631</v>
      </c>
    </row>
    <row r="271">
      <c r="A271" t="s">
        <v>451</v>
      </c>
      <c r="B271" t="s">
        <v>6</v>
      </c>
      <c r="C271" s="912" t="str">
        <f>IF(N('Calibração Blaine'!$A$51)&gt;0,'Calibração Blaine'!$A$51,"")</f>
        <v/>
      </c>
      <c r="D271" t="s">
        <v>68</v>
      </c>
      <c r="E271" t="s">
        <v>68</v>
      </c>
      <c r="F271" t="s">
        <v>453</v>
      </c>
      <c r="G271" t="str">
        <f>IF(ISNUMBER('Calibração Blaine'!$L$51),'Calibração Blaine'!$L$51,"")</f>
        <v/>
      </c>
      <c r="H271">
        <f>BD_Limites!$E$6</f>
        <v>2030</v>
      </c>
      <c r="I271" t="str">
        <f>IF(OR(G271="",H271=""),"",G271-H271)</f>
        <v/>
      </c>
      <c r="J271">
        <f>BD_Limites!$F$6</f>
        <v>1986</v>
      </c>
      <c r="K271">
        <f>BD_Limites!$G$6</f>
        <v>2074</v>
      </c>
      <c r="M271" t="str">
        <f>IF(G271="","",IF(AND(G271&gt;=J271,G271&lt;=K271),"Conforme","Não conforme"))</f>
        <v/>
      </c>
      <c r="N271" t="str">
        <f>IF('Calibração Blaine'!$N$51&amp;""="","",TRIM('Calibração Blaine'!$N$51&amp;""))</f>
        <v/>
      </c>
      <c r="O271" t="str">
        <f>IF('Calibração Blaine'!$C$51&amp;""="","",TRIM('Calibração Blaine'!$C$51&amp;""))</f>
        <v/>
      </c>
      <c r="P271" t="str">
        <f>IF('Calibração Blaine'!$B$51&amp;""="","",TRIM('Calibração Blaine'!$B$51&amp;""))</f>
        <v>19x07</v>
      </c>
      <c r="Q271" t="s">
        <v>632</v>
      </c>
    </row>
    <row r="272">
      <c r="A272" t="s">
        <v>451</v>
      </c>
      <c r="B272" t="s">
        <v>6</v>
      </c>
      <c r="C272" s="912" t="str">
        <f>IF(N('Calibração Blaine'!$A$52)&gt;0,'Calibração Blaine'!$A$52,"")</f>
        <v/>
      </c>
      <c r="D272" t="s">
        <v>68</v>
      </c>
      <c r="E272" t="s">
        <v>68</v>
      </c>
      <c r="F272" t="s">
        <v>453</v>
      </c>
      <c r="G272" t="str">
        <f>IF(ISNUMBER('Calibração Blaine'!$L$52),'Calibração Blaine'!$L$52,"")</f>
        <v/>
      </c>
      <c r="H272">
        <f>BD_Limites!$E$6</f>
        <v>2030</v>
      </c>
      <c r="I272" t="str">
        <f>IF(OR(G272="",H272=""),"",G272-H272)</f>
        <v/>
      </c>
      <c r="J272">
        <f>BD_Limites!$F$6</f>
        <v>1986</v>
      </c>
      <c r="K272">
        <f>BD_Limites!$G$6</f>
        <v>2074</v>
      </c>
      <c r="M272" t="str">
        <f>IF(G272="","",IF(AND(G272&gt;=J272,G272&lt;=K272),"Conforme","Não conforme"))</f>
        <v/>
      </c>
      <c r="N272" t="str">
        <f>IF('Calibração Blaine'!$N$52&amp;""="","",TRIM('Calibração Blaine'!$N$52&amp;""))</f>
        <v/>
      </c>
      <c r="O272" t="str">
        <f>IF('Calibração Blaine'!$C$52&amp;""="","",TRIM('Calibração Blaine'!$C$52&amp;""))</f>
        <v/>
      </c>
      <c r="P272" t="str">
        <f>IF('Calibração Blaine'!$B$52&amp;""="","",TRIM('Calibração Blaine'!$B$52&amp;""))</f>
        <v>07x19</v>
      </c>
      <c r="Q272" t="s">
        <v>633</v>
      </c>
    </row>
    <row r="273">
      <c r="A273" t="s">
        <v>451</v>
      </c>
      <c r="B273" t="s">
        <v>6</v>
      </c>
      <c r="C273" s="912" t="str">
        <f>IF(N('Calibração Blaine'!$A$53)&gt;0,'Calibração Blaine'!$A$53,"")</f>
        <v/>
      </c>
      <c r="D273" t="s">
        <v>68</v>
      </c>
      <c r="E273" t="s">
        <v>68</v>
      </c>
      <c r="F273" t="s">
        <v>453</v>
      </c>
      <c r="G273" t="str">
        <f>IF(ISNUMBER('Calibração Blaine'!$L$53),'Calibração Blaine'!$L$53,"")</f>
        <v/>
      </c>
      <c r="H273">
        <f>BD_Limites!$E$6</f>
        <v>2030</v>
      </c>
      <c r="I273" t="str">
        <f>IF(OR(G273="",H273=""),"",G273-H273)</f>
        <v/>
      </c>
      <c r="J273">
        <f>BD_Limites!$F$6</f>
        <v>1986</v>
      </c>
      <c r="K273">
        <f>BD_Limites!$G$6</f>
        <v>2074</v>
      </c>
      <c r="M273" t="str">
        <f>IF(G273="","",IF(AND(G273&gt;=J273,G273&lt;=K273),"Conforme","Não conforme"))</f>
        <v/>
      </c>
      <c r="N273" t="str">
        <f>IF('Calibração Blaine'!$N$53&amp;""="","",TRIM('Calibração Blaine'!$N$53&amp;""))</f>
        <v/>
      </c>
      <c r="O273" t="str">
        <f>IF('Calibração Blaine'!$C$53&amp;""="","",TRIM('Calibração Blaine'!$C$53&amp;""))</f>
        <v/>
      </c>
      <c r="P273" t="str">
        <f>IF('Calibração Blaine'!$B$53&amp;""="","",TRIM('Calibração Blaine'!$B$53&amp;""))</f>
        <v>19x07</v>
      </c>
      <c r="Q273" t="s">
        <v>634</v>
      </c>
    </row>
    <row r="274">
      <c r="A274" t="s">
        <v>451</v>
      </c>
      <c r="B274" t="s">
        <v>6</v>
      </c>
      <c r="C274" s="912" t="str">
        <f>IF(N('Calibração Blaine'!$A$54)&gt;0,'Calibração Blaine'!$A$54,"")</f>
        <v/>
      </c>
      <c r="D274" t="s">
        <v>68</v>
      </c>
      <c r="E274" t="s">
        <v>68</v>
      </c>
      <c r="F274" t="s">
        <v>453</v>
      </c>
      <c r="G274" t="str">
        <f>IF(ISNUMBER('Calibração Blaine'!$L$54),'Calibração Blaine'!$L$54,"")</f>
        <v/>
      </c>
      <c r="H274">
        <f>BD_Limites!$E$6</f>
        <v>2030</v>
      </c>
      <c r="I274" t="str">
        <f>IF(OR(G274="",H274=""),"",G274-H274)</f>
        <v/>
      </c>
      <c r="J274">
        <f>BD_Limites!$F$6</f>
        <v>1986</v>
      </c>
      <c r="K274">
        <f>BD_Limites!$G$6</f>
        <v>2074</v>
      </c>
      <c r="M274" t="str">
        <f>IF(G274="","",IF(AND(G274&gt;=J274,G274&lt;=K274),"Conforme","Não conforme"))</f>
        <v/>
      </c>
      <c r="N274" t="str">
        <f>IF('Calibração Blaine'!$N$54&amp;""="","",TRIM('Calibração Blaine'!$N$54&amp;""))</f>
        <v/>
      </c>
      <c r="O274" t="str">
        <f>IF('Calibração Blaine'!$C$54&amp;""="","",TRIM('Calibração Blaine'!$C$54&amp;""))</f>
        <v/>
      </c>
      <c r="P274" t="str">
        <f>IF('Calibração Blaine'!$B$54&amp;""="","",TRIM('Calibração Blaine'!$B$54&amp;""))</f>
        <v>07x19</v>
      </c>
      <c r="Q274" t="s">
        <v>635</v>
      </c>
    </row>
    <row r="275">
      <c r="A275" t="s">
        <v>451</v>
      </c>
      <c r="B275" t="s">
        <v>6</v>
      </c>
      <c r="C275" s="912" t="str">
        <f>IF(N('Calibração Blaine'!$A$55)&gt;0,'Calibração Blaine'!$A$55,"")</f>
        <v/>
      </c>
      <c r="D275" t="s">
        <v>68</v>
      </c>
      <c r="E275" t="s">
        <v>68</v>
      </c>
      <c r="F275" t="s">
        <v>453</v>
      </c>
      <c r="G275" t="str">
        <f>IF(ISNUMBER('Calibração Blaine'!$L$55),'Calibração Blaine'!$L$55,"")</f>
        <v/>
      </c>
      <c r="H275">
        <f>BD_Limites!$E$6</f>
        <v>2030</v>
      </c>
      <c r="I275" t="str">
        <f>IF(OR(G275="",H275=""),"",G275-H275)</f>
        <v/>
      </c>
      <c r="J275">
        <f>BD_Limites!$F$6</f>
        <v>1986</v>
      </c>
      <c r="K275">
        <f>BD_Limites!$G$6</f>
        <v>2074</v>
      </c>
      <c r="M275" t="str">
        <f>IF(G275="","",IF(AND(G275&gt;=J275,G275&lt;=K275),"Conforme","Não conforme"))</f>
        <v/>
      </c>
      <c r="N275" t="str">
        <f>IF('Calibração Blaine'!$N$55&amp;""="","",TRIM('Calibração Blaine'!$N$55&amp;""))</f>
        <v/>
      </c>
      <c r="O275" t="str">
        <f>IF('Calibração Blaine'!$C$55&amp;""="","",TRIM('Calibração Blaine'!$C$55&amp;""))</f>
        <v/>
      </c>
      <c r="P275" t="str">
        <f>IF('Calibração Blaine'!$B$55&amp;""="","",TRIM('Calibração Blaine'!$B$55&amp;""))</f>
        <v>19x07</v>
      </c>
      <c r="Q275" t="s">
        <v>636</v>
      </c>
    </row>
    <row r="276">
      <c r="A276" t="s">
        <v>451</v>
      </c>
      <c r="B276" t="s">
        <v>6</v>
      </c>
      <c r="C276" s="912" t="str">
        <f>IF(N('Calibração Blaine'!$A$56)&gt;0,'Calibração Blaine'!$A$56,"")</f>
        <v/>
      </c>
      <c r="D276" t="s">
        <v>68</v>
      </c>
      <c r="E276" t="s">
        <v>68</v>
      </c>
      <c r="F276" t="s">
        <v>453</v>
      </c>
      <c r="G276" t="str">
        <f>IF(ISNUMBER('Calibração Blaine'!$L$56),'Calibração Blaine'!$L$56,"")</f>
        <v/>
      </c>
      <c r="H276">
        <f>BD_Limites!$E$6</f>
        <v>2030</v>
      </c>
      <c r="I276" t="str">
        <f>IF(OR(G276="",H276=""),"",G276-H276)</f>
        <v/>
      </c>
      <c r="J276">
        <f>BD_Limites!$F$6</f>
        <v>1986</v>
      </c>
      <c r="K276">
        <f>BD_Limites!$G$6</f>
        <v>2074</v>
      </c>
      <c r="M276" t="str">
        <f>IF(G276="","",IF(AND(G276&gt;=J276,G276&lt;=K276),"Conforme","Não conforme"))</f>
        <v/>
      </c>
      <c r="N276" t="str">
        <f>IF('Calibração Blaine'!$N$56&amp;""="","",TRIM('Calibração Blaine'!$N$56&amp;""))</f>
        <v/>
      </c>
      <c r="O276" t="str">
        <f>IF('Calibração Blaine'!$C$56&amp;""="","",TRIM('Calibração Blaine'!$C$56&amp;""))</f>
        <v/>
      </c>
      <c r="P276" t="str">
        <f>IF('Calibração Blaine'!$B$56&amp;""="","",TRIM('Calibração Blaine'!$B$56&amp;""))</f>
        <v>07X19</v>
      </c>
      <c r="Q276" t="s">
        <v>637</v>
      </c>
    </row>
    <row r="277">
      <c r="A277" t="s">
        <v>451</v>
      </c>
      <c r="B277" t="s">
        <v>6</v>
      </c>
      <c r="C277" s="912" t="str">
        <f>IF(N('Calibração Blaine'!$A$57)&gt;0,'Calibração Blaine'!$A$57,"")</f>
        <v/>
      </c>
      <c r="D277" t="s">
        <v>68</v>
      </c>
      <c r="E277" t="s">
        <v>68</v>
      </c>
      <c r="F277" t="s">
        <v>453</v>
      </c>
      <c r="G277" t="str">
        <f>IF(ISNUMBER('Calibração Blaine'!$L$57),'Calibração Blaine'!$L$57,"")</f>
        <v/>
      </c>
      <c r="H277">
        <f>BD_Limites!$E$6</f>
        <v>2030</v>
      </c>
      <c r="I277" t="str">
        <f>IF(OR(G277="",H277=""),"",G277-H277)</f>
        <v/>
      </c>
      <c r="J277">
        <f>BD_Limites!$F$6</f>
        <v>1986</v>
      </c>
      <c r="K277">
        <f>BD_Limites!$G$6</f>
        <v>2074</v>
      </c>
      <c r="M277" t="str">
        <f>IF(G277="","",IF(AND(G277&gt;=J277,G277&lt;=K277),"Conforme","Não conforme"))</f>
        <v/>
      </c>
      <c r="N277" t="str">
        <f>IF('Calibração Blaine'!$N$57&amp;""="","",TRIM('Calibração Blaine'!$N$57&amp;""))</f>
        <v/>
      </c>
      <c r="O277" t="str">
        <f>IF('Calibração Blaine'!$C$57&amp;""="","",TRIM('Calibração Blaine'!$C$57&amp;""))</f>
        <v/>
      </c>
      <c r="P277" t="str">
        <f>IF('Calibração Blaine'!$B$57&amp;""="","",TRIM('Calibração Blaine'!$B$57&amp;""))</f>
        <v>19x07</v>
      </c>
      <c r="Q277" t="s">
        <v>638</v>
      </c>
    </row>
    <row r="278">
      <c r="A278" t="s">
        <v>451</v>
      </c>
      <c r="B278" t="s">
        <v>6</v>
      </c>
      <c r="C278" s="912" t="str">
        <f>IF(N('Calibração Blaine'!$A$58)&gt;0,'Calibração Blaine'!$A$58,"")</f>
        <v/>
      </c>
      <c r="D278" t="s">
        <v>68</v>
      </c>
      <c r="E278" t="s">
        <v>68</v>
      </c>
      <c r="F278" t="s">
        <v>453</v>
      </c>
      <c r="G278" t="str">
        <f>IF(ISNUMBER('Calibração Blaine'!$L$58),'Calibração Blaine'!$L$58,"")</f>
        <v/>
      </c>
      <c r="H278">
        <f>BD_Limites!$E$6</f>
        <v>2030</v>
      </c>
      <c r="I278" t="str">
        <f>IF(OR(G278="",H278=""),"",G278-H278)</f>
        <v/>
      </c>
      <c r="J278">
        <f>BD_Limites!$F$6</f>
        <v>1986</v>
      </c>
      <c r="K278">
        <f>BD_Limites!$G$6</f>
        <v>2074</v>
      </c>
      <c r="M278" t="str">
        <f>IF(G278="","",IF(AND(G278&gt;=J278,G278&lt;=K278),"Conforme","Não conforme"))</f>
        <v/>
      </c>
      <c r="N278" t="str">
        <f>IF('Calibração Blaine'!$N$58&amp;""="","",TRIM('Calibração Blaine'!$N$58&amp;""))</f>
        <v/>
      </c>
      <c r="O278" t="str">
        <f>IF('Calibração Blaine'!$C$58&amp;""="","",TRIM('Calibração Blaine'!$C$58&amp;""))</f>
        <v/>
      </c>
      <c r="P278" t="str">
        <f>IF('Calibração Blaine'!$B$58&amp;""="","",TRIM('Calibração Blaine'!$B$58&amp;""))</f>
        <v>07x19</v>
      </c>
      <c r="Q278" t="s">
        <v>639</v>
      </c>
    </row>
    <row r="279">
      <c r="A279" t="s">
        <v>451</v>
      </c>
      <c r="B279" t="s">
        <v>6</v>
      </c>
      <c r="C279" s="912" t="str">
        <f>IF(N('Calibração Blaine'!$A$59)&gt;0,'Calibração Blaine'!$A$59,"")</f>
        <v/>
      </c>
      <c r="D279" t="s">
        <v>68</v>
      </c>
      <c r="E279" t="s">
        <v>68</v>
      </c>
      <c r="F279" t="s">
        <v>453</v>
      </c>
      <c r="G279" t="str">
        <f>IF(ISNUMBER('Calibração Blaine'!$L$59),'Calibração Blaine'!$L$59,"")</f>
        <v/>
      </c>
      <c r="H279">
        <f>BD_Limites!$E$6</f>
        <v>2030</v>
      </c>
      <c r="I279" t="str">
        <f>IF(OR(G279="",H279=""),"",G279-H279)</f>
        <v/>
      </c>
      <c r="J279">
        <f>BD_Limites!$F$6</f>
        <v>1986</v>
      </c>
      <c r="K279">
        <f>BD_Limites!$G$6</f>
        <v>2074</v>
      </c>
      <c r="M279" t="str">
        <f>IF(G279="","",IF(AND(G279&gt;=J279,G279&lt;=K279),"Conforme","Não conforme"))</f>
        <v/>
      </c>
      <c r="N279" t="str">
        <f>IF('Calibração Blaine'!$N$59&amp;""="","",TRIM('Calibração Blaine'!$N$59&amp;""))</f>
        <v/>
      </c>
      <c r="O279" t="str">
        <f>IF('Calibração Blaine'!$C$59&amp;""="","",TRIM('Calibração Blaine'!$C$59&amp;""))</f>
        <v/>
      </c>
      <c r="P279" t="str">
        <f>IF('Calibração Blaine'!$B$59&amp;""="","",TRIM('Calibração Blaine'!$B$59&amp;""))</f>
        <v>19x07</v>
      </c>
      <c r="Q279" t="s">
        <v>640</v>
      </c>
    </row>
    <row r="280">
      <c r="A280" t="s">
        <v>451</v>
      </c>
      <c r="B280" t="s">
        <v>6</v>
      </c>
      <c r="C280" s="912" t="str">
        <f>IF(N('Calibração Blaine'!$A$60)&gt;0,'Calibração Blaine'!$A$60,"")</f>
        <v/>
      </c>
      <c r="D280" t="s">
        <v>68</v>
      </c>
      <c r="E280" t="s">
        <v>68</v>
      </c>
      <c r="F280" t="s">
        <v>453</v>
      </c>
      <c r="G280" t="str">
        <f>IF(ISNUMBER('Calibração Blaine'!$L$60),'Calibração Blaine'!$L$60,"")</f>
        <v/>
      </c>
      <c r="H280">
        <f>BD_Limites!$E$6</f>
        <v>2030</v>
      </c>
      <c r="I280" t="str">
        <f>IF(OR(G280="",H280=""),"",G280-H280)</f>
        <v/>
      </c>
      <c r="J280">
        <f>BD_Limites!$F$6</f>
        <v>1986</v>
      </c>
      <c r="K280">
        <f>BD_Limites!$G$6</f>
        <v>2074</v>
      </c>
      <c r="M280" t="str">
        <f>IF(G280="","",IF(AND(G280&gt;=J280,G280&lt;=K280),"Conforme","Não conforme"))</f>
        <v/>
      </c>
      <c r="N280" t="str">
        <f>IF('Calibração Blaine'!$N$60&amp;""="","",TRIM('Calibração Blaine'!$N$60&amp;""))</f>
        <v/>
      </c>
      <c r="O280" t="str">
        <f>IF('Calibração Blaine'!$C$60&amp;""="","",TRIM('Calibração Blaine'!$C$60&amp;""))</f>
        <v/>
      </c>
      <c r="P280" t="str">
        <f>IF('Calibração Blaine'!$B$60&amp;""="","",TRIM('Calibração Blaine'!$B$60&amp;""))</f>
        <v>07x19</v>
      </c>
      <c r="Q280" t="s">
        <v>641</v>
      </c>
    </row>
    <row r="281">
      <c r="A281" t="s">
        <v>451</v>
      </c>
      <c r="B281" t="s">
        <v>6</v>
      </c>
      <c r="C281" s="912" t="str">
        <f>IF(N('Calibração Blaine'!$A$61)&gt;0,'Calibração Blaine'!$A$61,"")</f>
        <v/>
      </c>
      <c r="D281" t="s">
        <v>68</v>
      </c>
      <c r="E281" t="s">
        <v>68</v>
      </c>
      <c r="F281" t="s">
        <v>453</v>
      </c>
      <c r="G281" t="str">
        <f>IF(ISNUMBER('Calibração Blaine'!$L$61),'Calibração Blaine'!$L$61,"")</f>
        <v/>
      </c>
      <c r="H281">
        <f>BD_Limites!$E$6</f>
        <v>2030</v>
      </c>
      <c r="I281" t="str">
        <f>IF(OR(G281="",H281=""),"",G281-H281)</f>
        <v/>
      </c>
      <c r="J281">
        <f>BD_Limites!$F$6</f>
        <v>1986</v>
      </c>
      <c r="K281">
        <f>BD_Limites!$G$6</f>
        <v>2074</v>
      </c>
      <c r="M281" t="str">
        <f>IF(G281="","",IF(AND(G281&gt;=J281,G281&lt;=K281),"Conforme","Não conforme"))</f>
        <v/>
      </c>
      <c r="N281" t="str">
        <f>IF('Calibração Blaine'!$N$61&amp;""="","",TRIM('Calibração Blaine'!$N$61&amp;""))</f>
        <v/>
      </c>
      <c r="O281" t="str">
        <f>IF('Calibração Blaine'!$C$61&amp;""="","",TRIM('Calibração Blaine'!$C$61&amp;""))</f>
        <v/>
      </c>
      <c r="P281" t="str">
        <f>IF('Calibração Blaine'!$B$61&amp;""="","",TRIM('Calibração Blaine'!$B$61&amp;""))</f>
        <v>19x07</v>
      </c>
      <c r="Q281" t="s">
        <v>642</v>
      </c>
    </row>
    <row r="282">
      <c r="A282" t="s">
        <v>451</v>
      </c>
      <c r="B282" t="s">
        <v>6</v>
      </c>
      <c r="C282" s="912" t="str">
        <f>IF(N('Calibração Blaine'!$A$62)&gt;0,'Calibração Blaine'!$A$62,"")</f>
        <v/>
      </c>
      <c r="D282" t="s">
        <v>68</v>
      </c>
      <c r="E282" t="s">
        <v>68</v>
      </c>
      <c r="F282" t="s">
        <v>453</v>
      </c>
      <c r="G282" t="str">
        <f>IF(ISNUMBER('Calibração Blaine'!$L$62),'Calibração Blaine'!$L$62,"")</f>
        <v/>
      </c>
      <c r="H282">
        <f>BD_Limites!$E$6</f>
        <v>2030</v>
      </c>
      <c r="I282" t="str">
        <f>IF(OR(G282="",H282=""),"",G282-H282)</f>
        <v/>
      </c>
      <c r="J282">
        <f>BD_Limites!$F$6</f>
        <v>1986</v>
      </c>
      <c r="K282">
        <f>BD_Limites!$G$6</f>
        <v>2074</v>
      </c>
      <c r="M282" t="str">
        <f>IF(G282="","",IF(AND(G282&gt;=J282,G282&lt;=K282),"Conforme","Não conforme"))</f>
        <v/>
      </c>
      <c r="N282" t="str">
        <f>IF('Calibração Blaine'!$N$62&amp;""="","",TRIM('Calibração Blaine'!$N$62&amp;""))</f>
        <v/>
      </c>
      <c r="O282" t="str">
        <f>IF('Calibração Blaine'!$C$62&amp;""="","",TRIM('Calibração Blaine'!$C$62&amp;""))</f>
        <v/>
      </c>
      <c r="P282" t="str">
        <f>IF('Calibração Blaine'!$B$62&amp;""="","",TRIM('Calibração Blaine'!$B$62&amp;""))</f>
        <v>07X19</v>
      </c>
      <c r="Q282" t="s">
        <v>643</v>
      </c>
    </row>
    <row r="283">
      <c r="A283" t="s">
        <v>451</v>
      </c>
      <c r="B283" t="s">
        <v>6</v>
      </c>
      <c r="C283" s="912" t="str">
        <f>IF(N('Calibração Blaine'!$A$63)&gt;0,'Calibração Blaine'!$A$63,"")</f>
        <v/>
      </c>
      <c r="D283" t="s">
        <v>68</v>
      </c>
      <c r="E283" t="s">
        <v>68</v>
      </c>
      <c r="F283" t="s">
        <v>453</v>
      </c>
      <c r="G283" t="str">
        <f>IF(ISNUMBER('Calibração Blaine'!$L$63),'Calibração Blaine'!$L$63,"")</f>
        <v/>
      </c>
      <c r="H283">
        <f>BD_Limites!$E$6</f>
        <v>2030</v>
      </c>
      <c r="I283" t="str">
        <f>IF(OR(G283="",H283=""),"",G283-H283)</f>
        <v/>
      </c>
      <c r="J283">
        <f>BD_Limites!$F$6</f>
        <v>1986</v>
      </c>
      <c r="K283">
        <f>BD_Limites!$G$6</f>
        <v>2074</v>
      </c>
      <c r="M283" t="str">
        <f>IF(G283="","",IF(AND(G283&gt;=J283,G283&lt;=K283),"Conforme","Não conforme"))</f>
        <v/>
      </c>
      <c r="N283" t="str">
        <f>IF('Calibração Blaine'!$N$63&amp;""="","",TRIM('Calibração Blaine'!$N$63&amp;""))</f>
        <v/>
      </c>
      <c r="O283" t="str">
        <f>IF('Calibração Blaine'!$C$63&amp;""="","",TRIM('Calibração Blaine'!$C$63&amp;""))</f>
        <v/>
      </c>
      <c r="P283" t="str">
        <f>IF('Calibração Blaine'!$B$63&amp;""="","",TRIM('Calibração Blaine'!$B$63&amp;""))</f>
        <v>19x07</v>
      </c>
      <c r="Q283" t="s">
        <v>644</v>
      </c>
    </row>
    <row r="284">
      <c r="A284" t="s">
        <v>451</v>
      </c>
      <c r="B284" t="s">
        <v>6</v>
      </c>
      <c r="C284" s="912" t="str">
        <f>IF(N('Calibração Blaine'!$A$64)&gt;0,'Calibração Blaine'!$A$64,"")</f>
        <v/>
      </c>
      <c r="D284" t="s">
        <v>68</v>
      </c>
      <c r="E284" t="s">
        <v>68</v>
      </c>
      <c r="F284" t="s">
        <v>453</v>
      </c>
      <c r="G284" t="str">
        <f>IF(ISNUMBER('Calibração Blaine'!$L$64),'Calibração Blaine'!$L$64,"")</f>
        <v/>
      </c>
      <c r="H284">
        <f>BD_Limites!$E$6</f>
        <v>2030</v>
      </c>
      <c r="I284" t="str">
        <f>IF(OR(G284="",H284=""),"",G284-H284)</f>
        <v/>
      </c>
      <c r="J284">
        <f>BD_Limites!$F$6</f>
        <v>1986</v>
      </c>
      <c r="K284">
        <f>BD_Limites!$G$6</f>
        <v>2074</v>
      </c>
      <c r="M284" t="str">
        <f>IF(G284="","",IF(AND(G284&gt;=J284,G284&lt;=K284),"Conforme","Não conforme"))</f>
        <v/>
      </c>
      <c r="N284" t="str">
        <f>IF('Calibração Blaine'!$N$64&amp;""="","",TRIM('Calibração Blaine'!$N$64&amp;""))</f>
        <v/>
      </c>
      <c r="O284" t="str">
        <f>IF('Calibração Blaine'!$C$64&amp;""="","",TRIM('Calibração Blaine'!$C$64&amp;""))</f>
        <v/>
      </c>
      <c r="P284" t="str">
        <f>IF('Calibração Blaine'!$B$64&amp;""="","",TRIM('Calibração Blaine'!$B$64&amp;""))</f>
        <v>07x19</v>
      </c>
      <c r="Q284" t="s">
        <v>645</v>
      </c>
    </row>
    <row r="285">
      <c r="A285" t="s">
        <v>451</v>
      </c>
      <c r="B285" t="s">
        <v>6</v>
      </c>
      <c r="C285" s="912" t="str">
        <f>IF(N('Calibração Blaine'!$A$65)&gt;0,'Calibração Blaine'!$A$65,"")</f>
        <v/>
      </c>
      <c r="D285" t="s">
        <v>68</v>
      </c>
      <c r="E285" t="s">
        <v>68</v>
      </c>
      <c r="F285" t="s">
        <v>453</v>
      </c>
      <c r="G285" t="str">
        <f>IF(ISNUMBER('Calibração Blaine'!$L$65),'Calibração Blaine'!$L$65,"")</f>
        <v/>
      </c>
      <c r="H285">
        <f>BD_Limites!$E$6</f>
        <v>2030</v>
      </c>
      <c r="I285" t="str">
        <f>IF(OR(G285="",H285=""),"",G285-H285)</f>
        <v/>
      </c>
      <c r="J285">
        <f>BD_Limites!$F$6</f>
        <v>1986</v>
      </c>
      <c r="K285">
        <f>BD_Limites!$G$6</f>
        <v>2074</v>
      </c>
      <c r="M285" t="str">
        <f>IF(G285="","",IF(AND(G285&gt;=J285,G285&lt;=K285),"Conforme","Não conforme"))</f>
        <v/>
      </c>
      <c r="N285" t="str">
        <f>IF('Calibração Blaine'!$N$65&amp;""="","",TRIM('Calibração Blaine'!$N$65&amp;""))</f>
        <v/>
      </c>
      <c r="O285" t="str">
        <f>IF('Calibração Blaine'!$C$65&amp;""="","",TRIM('Calibração Blaine'!$C$65&amp;""))</f>
        <v/>
      </c>
      <c r="P285" t="str">
        <f>IF('Calibração Blaine'!$B$65&amp;""="","",TRIM('Calibração Blaine'!$B$65&amp;""))</f>
        <v>19x07</v>
      </c>
      <c r="Q285" t="s">
        <v>646</v>
      </c>
    </row>
    <row r="286">
      <c r="A286" t="s">
        <v>451</v>
      </c>
      <c r="B286" t="s">
        <v>6</v>
      </c>
      <c r="C286" s="912" t="str">
        <f>IF(N('Calibração Blaine'!$A$66)&gt;0,'Calibração Blaine'!$A$66,"")</f>
        <v/>
      </c>
      <c r="D286" t="s">
        <v>68</v>
      </c>
      <c r="E286" t="s">
        <v>68</v>
      </c>
      <c r="F286" t="s">
        <v>453</v>
      </c>
      <c r="G286" t="str">
        <f>IF(ISNUMBER('Calibração Blaine'!$L$66),'Calibração Blaine'!$L$66,"")</f>
        <v/>
      </c>
      <c r="H286">
        <f>BD_Limites!$E$6</f>
        <v>2030</v>
      </c>
      <c r="I286" t="str">
        <f>IF(OR(G286="",H286=""),"",G286-H286)</f>
        <v/>
      </c>
      <c r="J286">
        <f>BD_Limites!$F$6</f>
        <v>1986</v>
      </c>
      <c r="K286">
        <f>BD_Limites!$G$6</f>
        <v>2074</v>
      </c>
      <c r="M286" t="str">
        <f>IF(G286="","",IF(AND(G286&gt;=J286,G286&lt;=K286),"Conforme","Não conforme"))</f>
        <v/>
      </c>
      <c r="N286" t="str">
        <f>IF('Calibração Blaine'!$N$66&amp;""="","",TRIM('Calibração Blaine'!$N$66&amp;""))</f>
        <v/>
      </c>
      <c r="O286" t="str">
        <f>IF('Calibração Blaine'!$C$66&amp;""="","",TRIM('Calibração Blaine'!$C$66&amp;""))</f>
        <v/>
      </c>
      <c r="P286" t="str">
        <f>IF('Calibração Blaine'!$B$66&amp;""="","",TRIM('Calibração Blaine'!$B$66&amp;""))</f>
        <v>07x19</v>
      </c>
      <c r="Q286" t="s">
        <v>647</v>
      </c>
    </row>
    <row r="287">
      <c r="A287" t="s">
        <v>451</v>
      </c>
      <c r="B287" t="s">
        <v>6</v>
      </c>
      <c r="C287" s="912" t="str">
        <f>IF(N('Calibração Blaine'!$A$67)&gt;0,'Calibração Blaine'!$A$67,"")</f>
        <v/>
      </c>
      <c r="D287" t="s">
        <v>68</v>
      </c>
      <c r="E287" t="s">
        <v>68</v>
      </c>
      <c r="F287" t="s">
        <v>453</v>
      </c>
      <c r="G287" t="str">
        <f>IF(ISNUMBER('Calibração Blaine'!$L$67),'Calibração Blaine'!$L$67,"")</f>
        <v/>
      </c>
      <c r="H287">
        <f>BD_Limites!$E$6</f>
        <v>2030</v>
      </c>
      <c r="I287" t="str">
        <f>IF(OR(G287="",H287=""),"",G287-H287)</f>
        <v/>
      </c>
      <c r="J287">
        <f>BD_Limites!$F$6</f>
        <v>1986</v>
      </c>
      <c r="K287">
        <f>BD_Limites!$G$6</f>
        <v>2074</v>
      </c>
      <c r="M287" t="str">
        <f>IF(G287="","",IF(AND(G287&gt;=J287,G287&lt;=K287),"Conforme","Não conforme"))</f>
        <v/>
      </c>
      <c r="N287" t="str">
        <f>IF('Calibração Blaine'!$N$67&amp;""="","",TRIM('Calibração Blaine'!$N$67&amp;""))</f>
        <v/>
      </c>
      <c r="O287" t="str">
        <f>IF('Calibração Blaine'!$C$67&amp;""="","",TRIM('Calibração Blaine'!$C$67&amp;""))</f>
        <v/>
      </c>
      <c r="P287" t="str">
        <f>IF('Calibração Blaine'!$B$67&amp;""="","",TRIM('Calibração Blaine'!$B$67&amp;""))</f>
        <v>19x07</v>
      </c>
      <c r="Q287" t="s">
        <v>648</v>
      </c>
    </row>
    <row r="288">
      <c r="A288" t="s">
        <v>451</v>
      </c>
      <c r="B288" t="s">
        <v>6</v>
      </c>
      <c r="C288" s="912" t="str">
        <f>IF(N('Calibração Blaine'!$A$68)&gt;0,'Calibração Blaine'!$A$68,"")</f>
        <v/>
      </c>
      <c r="D288" t="s">
        <v>68</v>
      </c>
      <c r="E288" t="s">
        <v>68</v>
      </c>
      <c r="F288" t="s">
        <v>453</v>
      </c>
      <c r="G288" t="str">
        <f>IF(ISNUMBER('Calibração Blaine'!$L$68),'Calibração Blaine'!$L$68,"")</f>
        <v/>
      </c>
      <c r="H288">
        <f>BD_Limites!$E$6</f>
        <v>2030</v>
      </c>
      <c r="I288" t="str">
        <f>IF(OR(G288="",H288=""),"",G288-H288)</f>
        <v/>
      </c>
      <c r="J288">
        <f>BD_Limites!$F$6</f>
        <v>1986</v>
      </c>
      <c r="K288">
        <f>BD_Limites!$G$6</f>
        <v>2074</v>
      </c>
      <c r="M288" t="str">
        <f>IF(G288="","",IF(AND(G288&gt;=J288,G288&lt;=K288),"Conforme","Não conforme"))</f>
        <v/>
      </c>
      <c r="N288" t="str">
        <f>IF('Calibração Blaine'!$N$68&amp;""="","",TRIM('Calibração Blaine'!$N$68&amp;""))</f>
        <v/>
      </c>
      <c r="O288" t="str">
        <f>IF('Calibração Blaine'!$C$68&amp;""="","",TRIM('Calibração Blaine'!$C$68&amp;""))</f>
        <v/>
      </c>
      <c r="P288" t="str">
        <f>IF('Calibração Blaine'!$B$68&amp;""="","",TRIM('Calibração Blaine'!$B$68&amp;""))</f>
        <v>07X19</v>
      </c>
      <c r="Q288" t="s">
        <v>649</v>
      </c>
    </row>
    <row r="289">
      <c r="A289" t="s">
        <v>451</v>
      </c>
      <c r="B289" t="s">
        <v>6</v>
      </c>
      <c r="C289" s="912" t="str">
        <f>IF(N('Calibração Blaine'!$A$69)&gt;0,'Calibração Blaine'!$A$69,"")</f>
        <v/>
      </c>
      <c r="D289" t="s">
        <v>68</v>
      </c>
      <c r="E289" t="s">
        <v>68</v>
      </c>
      <c r="F289" t="s">
        <v>453</v>
      </c>
      <c r="G289" t="str">
        <f>IF(ISNUMBER('Calibração Blaine'!$L$69),'Calibração Blaine'!$L$69,"")</f>
        <v/>
      </c>
      <c r="H289">
        <f>BD_Limites!$E$6</f>
        <v>2030</v>
      </c>
      <c r="I289" t="str">
        <f>IF(OR(G289="",H289=""),"",G289-H289)</f>
        <v/>
      </c>
      <c r="J289">
        <f>BD_Limites!$F$6</f>
        <v>1986</v>
      </c>
      <c r="K289">
        <f>BD_Limites!$G$6</f>
        <v>2074</v>
      </c>
      <c r="M289" t="str">
        <f>IF(G289="","",IF(AND(G289&gt;=J289,G289&lt;=K289),"Conforme","Não conforme"))</f>
        <v/>
      </c>
      <c r="N289" t="str">
        <f>IF('Calibração Blaine'!$N$69&amp;""="","",TRIM('Calibração Blaine'!$N$69&amp;""))</f>
        <v/>
      </c>
      <c r="O289" t="str">
        <f>IF('Calibração Blaine'!$C$69&amp;""="","",TRIM('Calibração Blaine'!$C$69&amp;""))</f>
        <v/>
      </c>
      <c r="P289" t="str">
        <f>IF('Calibração Blaine'!$B$69&amp;""="","",TRIM('Calibração Blaine'!$B$69&amp;""))</f>
        <v>19x07</v>
      </c>
      <c r="Q289" t="s">
        <v>650</v>
      </c>
    </row>
    <row r="290">
      <c r="A290" t="s">
        <v>451</v>
      </c>
      <c r="B290" t="s">
        <v>6</v>
      </c>
      <c r="C290" s="912" t="str">
        <f>IF(N('Calibração Blaine'!$A$70)&gt;0,'Calibração Blaine'!$A$70,"")</f>
        <v/>
      </c>
      <c r="D290" t="s">
        <v>68</v>
      </c>
      <c r="E290" t="s">
        <v>68</v>
      </c>
      <c r="F290" t="s">
        <v>453</v>
      </c>
      <c r="G290" t="str">
        <f>IF(ISNUMBER('Calibração Blaine'!$L$70),'Calibração Blaine'!$L$70,"")</f>
        <v/>
      </c>
      <c r="H290">
        <f>BD_Limites!$E$6</f>
        <v>2030</v>
      </c>
      <c r="I290" t="str">
        <f>IF(OR(G290="",H290=""),"",G290-H290)</f>
        <v/>
      </c>
      <c r="J290">
        <f>BD_Limites!$F$6</f>
        <v>1986</v>
      </c>
      <c r="K290">
        <f>BD_Limites!$G$6</f>
        <v>2074</v>
      </c>
      <c r="M290" t="str">
        <f>IF(G290="","",IF(AND(G290&gt;=J290,G290&lt;=K290),"Conforme","Não conforme"))</f>
        <v/>
      </c>
      <c r="N290" t="str">
        <f>IF('Calibração Blaine'!$N$70&amp;""="","",TRIM('Calibração Blaine'!$N$70&amp;""))</f>
        <v/>
      </c>
      <c r="O290" t="str">
        <f>IF('Calibração Blaine'!$C$70&amp;""="","",TRIM('Calibração Blaine'!$C$70&amp;""))</f>
        <v/>
      </c>
      <c r="P290" t="str">
        <f>IF('Calibração Blaine'!$B$70&amp;""="","",TRIM('Calibração Blaine'!$B$70&amp;""))</f>
        <v>07x19</v>
      </c>
      <c r="Q290" t="s">
        <v>651</v>
      </c>
    </row>
    <row r="291">
      <c r="A291" t="s">
        <v>451</v>
      </c>
      <c r="B291" t="s">
        <v>6</v>
      </c>
      <c r="C291" s="912" t="str">
        <f>IF(N('Calibração Blaine'!$A$71)&gt;0,'Calibração Blaine'!$A$71,"")</f>
        <v/>
      </c>
      <c r="D291" t="s">
        <v>68</v>
      </c>
      <c r="E291" t="s">
        <v>68</v>
      </c>
      <c r="F291" t="s">
        <v>453</v>
      </c>
      <c r="G291" t="str">
        <f>IF(ISNUMBER('Calibração Blaine'!$L$71),'Calibração Blaine'!$L$71,"")</f>
        <v/>
      </c>
      <c r="H291">
        <f>BD_Limites!$E$6</f>
        <v>2030</v>
      </c>
      <c r="I291" t="str">
        <f>IF(OR(G291="",H291=""),"",G291-H291)</f>
        <v/>
      </c>
      <c r="J291">
        <f>BD_Limites!$F$6</f>
        <v>1986</v>
      </c>
      <c r="K291">
        <f>BD_Limites!$G$6</f>
        <v>2074</v>
      </c>
      <c r="M291" t="str">
        <f>IF(G291="","",IF(AND(G291&gt;=J291,G291&lt;=K291),"Conforme","Não conforme"))</f>
        <v/>
      </c>
      <c r="N291" t="str">
        <f>IF('Calibração Blaine'!$N$71&amp;""="","",TRIM('Calibração Blaine'!$N$71&amp;""))</f>
        <v/>
      </c>
      <c r="O291" t="str">
        <f>IF('Calibração Blaine'!$C$71&amp;""="","",TRIM('Calibração Blaine'!$C$71&amp;""))</f>
        <v/>
      </c>
      <c r="P291" t="str">
        <f>IF('Calibração Blaine'!$B$71&amp;""="","",TRIM('Calibração Blaine'!$B$71&amp;""))</f>
        <v>19x07</v>
      </c>
      <c r="Q291" t="s">
        <v>652</v>
      </c>
    </row>
    <row r="292">
      <c r="A292" t="s">
        <v>653</v>
      </c>
      <c r="B292" t="s">
        <v>654</v>
      </c>
      <c r="C292" s="912" t="str">
        <f>IF(N('Comparativo Fisher'!$A$8)&gt;0,'Comparativo Fisher'!$A$8,"")</f>
        <v/>
      </c>
      <c r="D292" t="s">
        <v>655</v>
      </c>
      <c r="E292" t="s">
        <v>656</v>
      </c>
      <c r="F292" t="s">
        <v>453</v>
      </c>
      <c r="G292" t="str">
        <f>IF(ISNUMBER('Comparativo Fisher'!$D$8),'Comparativo Fisher'!$D$8,"")</f>
        <v/>
      </c>
      <c r="H292" t="str">
        <f>IF(ISNUMBER('Comparativo Fisher'!$E$8),'Comparativo Fisher'!$E$8,"")</f>
        <v/>
      </c>
      <c r="I292" t="str">
        <f>IF(OR(G292="",H292=""),"",G292-H292)</f>
        <v/>
      </c>
      <c r="L292">
        <f>BD_Limites!$H$7</f>
        <v>300</v>
      </c>
      <c r="M292" t="str">
        <f>IF(I292="","",IF(ROUND(ABS(I292),6)&lt;=L292,"Conforme","Não conforme"))</f>
        <v/>
      </c>
      <c r="N292" t="str">
        <f>IF('Comparativo Fisher'!$B$8&amp;""="","",TRIM('Comparativo Fisher'!$B$8&amp;""))</f>
        <v/>
      </c>
      <c r="Q292" t="s">
        <v>657</v>
      </c>
    </row>
    <row r="293">
      <c r="A293" t="s">
        <v>653</v>
      </c>
      <c r="B293" t="s">
        <v>654</v>
      </c>
      <c r="C293" s="912" t="str">
        <f>IF(N('Comparativo Fisher'!$A$9)&gt;0,'Comparativo Fisher'!$A$9,"")</f>
        <v/>
      </c>
      <c r="D293" t="s">
        <v>655</v>
      </c>
      <c r="E293" t="s">
        <v>656</v>
      </c>
      <c r="F293" t="s">
        <v>453</v>
      </c>
      <c r="G293" t="str">
        <f>IF(ISNUMBER('Comparativo Fisher'!$D$9),'Comparativo Fisher'!$D$9,"")</f>
        <v/>
      </c>
      <c r="H293" t="str">
        <f>IF(ISNUMBER('Comparativo Fisher'!$E$9),'Comparativo Fisher'!$E$9,"")</f>
        <v/>
      </c>
      <c r="I293" t="str">
        <f>IF(OR(G293="",H293=""),"",G293-H293)</f>
        <v/>
      </c>
      <c r="L293">
        <f>BD_Limites!$H$7</f>
        <v>300</v>
      </c>
      <c r="M293" t="str">
        <f>IF(I293="","",IF(ROUND(ABS(I293),6)&lt;=L293,"Conforme","Não conforme"))</f>
        <v/>
      </c>
      <c r="N293" t="str">
        <f>IF('Comparativo Fisher'!$B$9&amp;""="","",TRIM('Comparativo Fisher'!$B$9&amp;""))</f>
        <v/>
      </c>
      <c r="Q293" t="s">
        <v>658</v>
      </c>
    </row>
    <row r="294">
      <c r="A294" t="s">
        <v>653</v>
      </c>
      <c r="B294" t="s">
        <v>654</v>
      </c>
      <c r="C294" s="912" t="str">
        <f>IF(N('Comparativo Fisher'!$A$10)&gt;0,'Comparativo Fisher'!$A$10,"")</f>
        <v/>
      </c>
      <c r="D294" t="s">
        <v>655</v>
      </c>
      <c r="E294" t="s">
        <v>656</v>
      </c>
      <c r="F294" t="s">
        <v>453</v>
      </c>
      <c r="G294" t="str">
        <f>IF(ISNUMBER('Comparativo Fisher'!$D$10),'Comparativo Fisher'!$D$10,"")</f>
        <v/>
      </c>
      <c r="H294" t="str">
        <f>IF(ISNUMBER('Comparativo Fisher'!$E$10),'Comparativo Fisher'!$E$10,"")</f>
        <v/>
      </c>
      <c r="I294" t="str">
        <f>IF(OR(G294="",H294=""),"",G294-H294)</f>
        <v/>
      </c>
      <c r="L294">
        <f>BD_Limites!$H$7</f>
        <v>300</v>
      </c>
      <c r="M294" t="str">
        <f>IF(I294="","",IF(ROUND(ABS(I294),6)&lt;=L294,"Conforme","Não conforme"))</f>
        <v/>
      </c>
      <c r="N294" t="str">
        <f>IF('Comparativo Fisher'!$B$10&amp;""="","",TRIM('Comparativo Fisher'!$B$10&amp;""))</f>
        <v/>
      </c>
      <c r="Q294" t="s">
        <v>659</v>
      </c>
    </row>
    <row r="295">
      <c r="A295" t="s">
        <v>653</v>
      </c>
      <c r="B295" t="s">
        <v>654</v>
      </c>
      <c r="C295" s="912" t="str">
        <f>IF(N('Comparativo Fisher'!$A$11)&gt;0,'Comparativo Fisher'!$A$11,"")</f>
        <v/>
      </c>
      <c r="D295" t="s">
        <v>655</v>
      </c>
      <c r="E295" t="s">
        <v>656</v>
      </c>
      <c r="F295" t="s">
        <v>453</v>
      </c>
      <c r="G295" t="str">
        <f>IF(ISNUMBER('Comparativo Fisher'!$D$11),'Comparativo Fisher'!$D$11,"")</f>
        <v/>
      </c>
      <c r="H295" t="str">
        <f>IF(ISNUMBER('Comparativo Fisher'!$E$11),'Comparativo Fisher'!$E$11,"")</f>
        <v/>
      </c>
      <c r="I295" t="str">
        <f>IF(OR(G295="",H295=""),"",G295-H295)</f>
        <v/>
      </c>
      <c r="L295">
        <f>BD_Limites!$H$7</f>
        <v>300</v>
      </c>
      <c r="M295" t="str">
        <f>IF(I295="","",IF(ROUND(ABS(I295),6)&lt;=L295,"Conforme","Não conforme"))</f>
        <v/>
      </c>
      <c r="N295" t="str">
        <f>IF('Comparativo Fisher'!$B$11&amp;""="","",TRIM('Comparativo Fisher'!$B$11&amp;""))</f>
        <v/>
      </c>
      <c r="Q295" t="s">
        <v>660</v>
      </c>
    </row>
    <row r="296">
      <c r="A296" t="s">
        <v>653</v>
      </c>
      <c r="B296" t="s">
        <v>654</v>
      </c>
      <c r="C296" s="912" t="str">
        <f>IF(N('Comparativo Fisher'!$A$12)&gt;0,'Comparativo Fisher'!$A$12,"")</f>
        <v/>
      </c>
      <c r="D296" t="s">
        <v>655</v>
      </c>
      <c r="E296" t="s">
        <v>656</v>
      </c>
      <c r="F296" t="s">
        <v>453</v>
      </c>
      <c r="G296" t="str">
        <f>IF(ISNUMBER('Comparativo Fisher'!$D$12),'Comparativo Fisher'!$D$12,"")</f>
        <v/>
      </c>
      <c r="H296" t="str">
        <f>IF(ISNUMBER('Comparativo Fisher'!$E$12),'Comparativo Fisher'!$E$12,"")</f>
        <v/>
      </c>
      <c r="I296" t="str">
        <f>IF(OR(G296="",H296=""),"",G296-H296)</f>
        <v/>
      </c>
      <c r="L296">
        <f>BD_Limites!$H$7</f>
        <v>300</v>
      </c>
      <c r="M296" t="str">
        <f>IF(I296="","",IF(ROUND(ABS(I296),6)&lt;=L296,"Conforme","Não conforme"))</f>
        <v/>
      </c>
      <c r="N296" t="str">
        <f>IF('Comparativo Fisher'!$B$12&amp;""="","",TRIM('Comparativo Fisher'!$B$12&amp;""))</f>
        <v/>
      </c>
      <c r="Q296" t="s">
        <v>661</v>
      </c>
    </row>
    <row r="297">
      <c r="A297" t="s">
        <v>662</v>
      </c>
      <c r="B297" t="s">
        <v>654</v>
      </c>
      <c r="C297" s="912">
        <f>IF(N(Compressão!$B$6)&gt;0,Compressão!$B$6,"")</f>
        <v>46273</v>
      </c>
      <c r="D297" t="s">
        <v>663</v>
      </c>
      <c r="E297" t="s">
        <v>664</v>
      </c>
      <c r="F297" t="s">
        <v>665</v>
      </c>
      <c r="G297">
        <f>IF(ISNUMBER(Compressão!$C$6),Compressão!$C$6,"")</f>
        <v>361</v>
      </c>
      <c r="H297">
        <f>BD_Limites!$E$8</f>
        <v>355</v>
      </c>
      <c r="I297">
        <f>IF(OR(G297="",H297=""),"",G297-H297)</f>
        <v>6</v>
      </c>
      <c r="L297">
        <f>BD_Limites!$H$8</f>
        <v>20</v>
      </c>
      <c r="M297" t="str">
        <f>IF(I297="","",IF(ROUND(ABS(I297),6)&lt;=L297,"Conforme","Não conforme"))</f>
        <v>Conforme</v>
      </c>
      <c r="N297" t="str">
        <f>IF(Compressão!$W$6&amp;""="","",TRIM(Compressão!$W$6&amp;""))</f>
        <v/>
      </c>
      <c r="P297" t="str">
        <f>IF(ISTEXT(Compressão!$C$6),TRIM(Compressão!$C$6),"")&amp;IF(Compressão!$X$6&amp;""="","",IF(ISTEXT(Compressão!$C$6)," - ","")&amp;TRIM(Compressão!$X$6&amp;""))</f>
        <v/>
      </c>
      <c r="Q297" t="s">
        <v>666</v>
      </c>
    </row>
    <row r="298">
      <c r="A298" t="s">
        <v>662</v>
      </c>
      <c r="B298" t="s">
        <v>667</v>
      </c>
      <c r="C298" s="912">
        <f>IF(N(Compressão!$B$6)&gt;0,Compressão!$B$6,"")</f>
        <v>46273</v>
      </c>
      <c r="D298" t="s">
        <v>663</v>
      </c>
      <c r="E298" t="s">
        <v>668</v>
      </c>
      <c r="F298" t="s">
        <v>669</v>
      </c>
      <c r="G298">
        <f>IF(ISNUMBER(Compressão!$E$6),Compressão!$E$6,"")</f>
        <v>14.1</v>
      </c>
      <c r="H298">
        <f>BD_Limites!$E$10</f>
        <v>15</v>
      </c>
      <c r="I298">
        <f>IF(OR(G298="",H298=""),"",G298-H298)</f>
        <v>-0.9000000000000004</v>
      </c>
      <c r="J298">
        <f>BD_Limites!$F$10</f>
        <v>13</v>
      </c>
      <c r="K298">
        <f>BD_Limites!$G$10</f>
        <v>17</v>
      </c>
      <c r="M298" t="str">
        <f>IF(G298="","",IF(AND(G298&gt;=J298,G298&lt;=K298),"Conforme","Não conforme"))</f>
        <v>Conforme</v>
      </c>
      <c r="N298" t="str">
        <f>IF(Compressão!$W$6&amp;""="","",TRIM(Compressão!$W$6&amp;""))</f>
        <v/>
      </c>
      <c r="Q298" t="s">
        <v>670</v>
      </c>
    </row>
    <row r="299">
      <c r="A299" t="s">
        <v>662</v>
      </c>
      <c r="B299" t="s">
        <v>654</v>
      </c>
      <c r="C299" s="912">
        <f>IF(N(Compressão!$B$6)&gt;0,Compressão!$B$6,"")</f>
        <v>46273</v>
      </c>
      <c r="D299" t="s">
        <v>671</v>
      </c>
      <c r="E299" t="s">
        <v>664</v>
      </c>
      <c r="F299" t="s">
        <v>665</v>
      </c>
      <c r="G299">
        <f>IF(ISNUMBER(Compressão!$F$6),Compressão!$F$6,"")</f>
        <v>355</v>
      </c>
      <c r="H299">
        <f>BD_Limites!$E$8</f>
        <v>355</v>
      </c>
      <c r="I299">
        <f>IF(OR(G299="",H299=""),"",G299-H299)</f>
        <v>0</v>
      </c>
      <c r="L299">
        <f>BD_Limites!$H$8</f>
        <v>20</v>
      </c>
      <c r="M299" t="str">
        <f>IF(I299="","",IF(ROUND(ABS(I299),6)&lt;=L299,"Conforme","Não conforme"))</f>
        <v>Conforme</v>
      </c>
      <c r="N299" t="str">
        <f>IF(Compressão!$W$6&amp;""="","",TRIM(Compressão!$W$6&amp;""))</f>
        <v/>
      </c>
      <c r="P299" t="str">
        <f>IF(ISTEXT(Compressão!$F$6),TRIM(Compressão!$F$6),"")&amp;IF(Compressão!$X$6&amp;""="","",IF(ISTEXT(Compressão!$F$6)," - ","")&amp;TRIM(Compressão!$X$6&amp;""))</f>
        <v/>
      </c>
      <c r="Q299" t="s">
        <v>672</v>
      </c>
    </row>
    <row r="300">
      <c r="A300" t="s">
        <v>662</v>
      </c>
      <c r="B300" t="s">
        <v>667</v>
      </c>
      <c r="C300" s="912">
        <f>IF(N(Compressão!$B$6)&gt;0,Compressão!$B$6,"")</f>
        <v>46273</v>
      </c>
      <c r="D300" t="s">
        <v>671</v>
      </c>
      <c r="E300" t="s">
        <v>668</v>
      </c>
      <c r="F300" t="s">
        <v>669</v>
      </c>
      <c r="G300">
        <f>IF(ISNUMBER(Compressão!$H$6),Compressão!$H$6,"")</f>
        <v>17</v>
      </c>
      <c r="H300">
        <f>BD_Limites!$E$10</f>
        <v>15</v>
      </c>
      <c r="I300">
        <f>IF(OR(G300="",H300=""),"",G300-H300)</f>
        <v>2</v>
      </c>
      <c r="J300">
        <f>BD_Limites!$F$10</f>
        <v>13</v>
      </c>
      <c r="K300">
        <f>BD_Limites!$G$10</f>
        <v>17</v>
      </c>
      <c r="M300" t="str">
        <f>IF(G300="","",IF(AND(G300&gt;=J300,G300&lt;=K300),"Conforme","Não conforme"))</f>
        <v>Conforme</v>
      </c>
      <c r="N300" t="str">
        <f>IF(Compressão!$W$6&amp;""="","",TRIM(Compressão!$W$6&amp;""))</f>
        <v/>
      </c>
      <c r="Q300" t="s">
        <v>673</v>
      </c>
    </row>
    <row r="301">
      <c r="A301" t="s">
        <v>662</v>
      </c>
      <c r="B301" t="s">
        <v>654</v>
      </c>
      <c r="C301" s="912">
        <f>IF(N(Compressão!$B$6)&gt;0,Compressão!$B$6,"")</f>
        <v>46273</v>
      </c>
      <c r="D301" t="s">
        <v>674</v>
      </c>
      <c r="E301" t="s">
        <v>664</v>
      </c>
      <c r="F301" t="s">
        <v>665</v>
      </c>
      <c r="G301">
        <f>IF(ISNUMBER(Compressão!$I$6),Compressão!$I$6,"")</f>
        <v>363</v>
      </c>
      <c r="H301">
        <f>BD_Limites!$E$8</f>
        <v>355</v>
      </c>
      <c r="I301">
        <f>IF(OR(G301="",H301=""),"",G301-H301)</f>
        <v>8</v>
      </c>
      <c r="L301">
        <f>BD_Limites!$H$8</f>
        <v>20</v>
      </c>
      <c r="M301" t="str">
        <f>IF(I301="","",IF(ROUND(ABS(I301),6)&lt;=L301,"Conforme","Não conforme"))</f>
        <v>Conforme</v>
      </c>
      <c r="N301" t="str">
        <f>IF(Compressão!$W$6&amp;""="","",TRIM(Compressão!$W$6&amp;""))</f>
        <v/>
      </c>
      <c r="P301" t="str">
        <f>IF(ISTEXT(Compressão!$I$6),TRIM(Compressão!$I$6),"")&amp;IF(Compressão!$X$6&amp;""="","",IF(ISTEXT(Compressão!$I$6)," - ","")&amp;TRIM(Compressão!$X$6&amp;""))</f>
        <v/>
      </c>
      <c r="Q301" t="s">
        <v>675</v>
      </c>
    </row>
    <row r="302">
      <c r="A302" t="s">
        <v>662</v>
      </c>
      <c r="B302" t="s">
        <v>667</v>
      </c>
      <c r="C302" s="912">
        <f>IF(N(Compressão!$B$6)&gt;0,Compressão!$B$6,"")</f>
        <v>46273</v>
      </c>
      <c r="D302" t="s">
        <v>674</v>
      </c>
      <c r="E302" t="s">
        <v>668</v>
      </c>
      <c r="F302" t="s">
        <v>669</v>
      </c>
      <c r="G302">
        <f>IF(ISNUMBER(Compressão!$K$6),Compressão!$K$6,"")</f>
        <v>15.2</v>
      </c>
      <c r="H302">
        <f>BD_Limites!$E$10</f>
        <v>15</v>
      </c>
      <c r="I302">
        <f>IF(OR(G302="",H302=""),"",G302-H302)</f>
        <v>0.1999999999999993</v>
      </c>
      <c r="J302">
        <f>BD_Limites!$F$10</f>
        <v>13</v>
      </c>
      <c r="K302">
        <f>BD_Limites!$G$10</f>
        <v>17</v>
      </c>
      <c r="M302" t="str">
        <f>IF(G302="","",IF(AND(G302&gt;=J302,G302&lt;=K302),"Conforme","Não conforme"))</f>
        <v>Conforme</v>
      </c>
      <c r="N302" t="str">
        <f>IF(Compressão!$W$6&amp;""="","",TRIM(Compressão!$W$6&amp;""))</f>
        <v/>
      </c>
      <c r="Q302" t="s">
        <v>676</v>
      </c>
    </row>
    <row r="303">
      <c r="A303" t="s">
        <v>662</v>
      </c>
      <c r="B303" t="s">
        <v>654</v>
      </c>
      <c r="C303" s="912">
        <f>IF(N(Compressão!$B$6)&gt;0,Compressão!$B$6,"")</f>
        <v>46273</v>
      </c>
      <c r="D303" t="s">
        <v>677</v>
      </c>
      <c r="E303" t="s">
        <v>664</v>
      </c>
      <c r="F303" t="s">
        <v>665</v>
      </c>
      <c r="G303" t="str">
        <f>IF(ISNUMBER(Compressão!$L$6),Compressão!$L$6,"")</f>
        <v/>
      </c>
      <c r="H303">
        <f>BD_Limites!$E$8</f>
        <v>355</v>
      </c>
      <c r="I303" t="str">
        <f>IF(OR(G303="",H303=""),"",G303-H303)</f>
        <v/>
      </c>
      <c r="L303">
        <f>BD_Limites!$H$8</f>
        <v>20</v>
      </c>
      <c r="M303" t="str">
        <f>IF(I303="","",IF(ROUND(ABS(I303),6)&lt;=L303,"Conforme","Não conforme"))</f>
        <v/>
      </c>
      <c r="N303" t="str">
        <f>IF(Compressão!$W$6&amp;""="","",TRIM(Compressão!$W$6&amp;""))</f>
        <v/>
      </c>
      <c r="P303" t="str">
        <f>IF(ISTEXT(Compressão!$L$6),TRIM(Compressão!$L$6),"")&amp;IF(Compressão!$X$6&amp;""="","",IF(ISTEXT(Compressão!$L$6)," - ","")&amp;TRIM(Compressão!$X$6&amp;""))</f>
        <v/>
      </c>
      <c r="Q303" t="s">
        <v>678</v>
      </c>
    </row>
    <row r="304">
      <c r="A304" t="s">
        <v>662</v>
      </c>
      <c r="B304" t="s">
        <v>654</v>
      </c>
      <c r="C304" s="912">
        <f>IF(N(Compressão!$B$6)&gt;0,Compressão!$B$6,"")</f>
        <v>46273</v>
      </c>
      <c r="D304" t="s">
        <v>679</v>
      </c>
      <c r="E304" t="s">
        <v>664</v>
      </c>
      <c r="F304" t="s">
        <v>665</v>
      </c>
      <c r="G304">
        <f>IF(ISNUMBER(Compressão!$N$6),Compressão!$N$6,"")</f>
        <v>354</v>
      </c>
      <c r="H304">
        <f>BD_Limites!$E$8</f>
        <v>355</v>
      </c>
      <c r="I304">
        <f>IF(OR(G304="",H304=""),"",G304-H304)</f>
        <v>-1</v>
      </c>
      <c r="L304">
        <f>BD_Limites!$H$8</f>
        <v>20</v>
      </c>
      <c r="M304" t="str">
        <f>IF(I304="","",IF(ROUND(ABS(I304),6)&lt;=L304,"Conforme","Não conforme"))</f>
        <v>Conforme</v>
      </c>
      <c r="N304" t="str">
        <f>IF(Compressão!$W$6&amp;""="","",TRIM(Compressão!$W$6&amp;""))</f>
        <v/>
      </c>
      <c r="P304" t="str">
        <f>IF(ISTEXT(Compressão!$N$6),TRIM(Compressão!$N$6),"")&amp;IF(Compressão!$X$6&amp;""="","",IF(ISTEXT(Compressão!$N$6)," - ","")&amp;TRIM(Compressão!$X$6&amp;""))</f>
        <v/>
      </c>
      <c r="Q304" t="s">
        <v>680</v>
      </c>
    </row>
    <row r="305">
      <c r="A305" t="s">
        <v>662</v>
      </c>
      <c r="B305" t="s">
        <v>667</v>
      </c>
      <c r="C305" s="912">
        <f>IF(N(Compressão!$B$6)&gt;0,Compressão!$B$6,"")</f>
        <v>46273</v>
      </c>
      <c r="D305" t="s">
        <v>679</v>
      </c>
      <c r="E305" t="s">
        <v>668</v>
      </c>
      <c r="F305" t="s">
        <v>669</v>
      </c>
      <c r="G305" t="str">
        <f>IF(ISNUMBER(Compressão!$P$6),Compressão!$P$6,"")</f>
        <v/>
      </c>
      <c r="H305">
        <f>BD_Limites!$E$10</f>
        <v>15</v>
      </c>
      <c r="I305" t="str">
        <f>IF(OR(G305="",H305=""),"",G305-H305)</f>
        <v/>
      </c>
      <c r="J305">
        <f>BD_Limites!$F$10</f>
        <v>13</v>
      </c>
      <c r="K305">
        <f>BD_Limites!$G$10</f>
        <v>17</v>
      </c>
      <c r="M305" t="str">
        <f>IF(G305="","",IF(AND(G305&gt;=J305,G305&lt;=K305),"Conforme","Não conforme"))</f>
        <v/>
      </c>
      <c r="N305" t="str">
        <f>IF(Compressão!$W$6&amp;""="","",TRIM(Compressão!$W$6&amp;""))</f>
        <v/>
      </c>
      <c r="Q305" t="s">
        <v>681</v>
      </c>
    </row>
    <row r="306">
      <c r="A306" t="s">
        <v>662</v>
      </c>
      <c r="B306" t="s">
        <v>654</v>
      </c>
      <c r="C306" s="912">
        <f>IF(N(Compressão!$B$7)&gt;0,Compressão!$B$7,"")</f>
        <v>46279</v>
      </c>
      <c r="D306" t="s">
        <v>663</v>
      </c>
      <c r="E306" t="s">
        <v>664</v>
      </c>
      <c r="F306" t="s">
        <v>665</v>
      </c>
      <c r="G306">
        <f>IF(ISNUMBER(Compressão!$C$7),Compressão!$C$7,"")</f>
        <v>378</v>
      </c>
      <c r="H306">
        <f>BD_Limites!$E$8</f>
        <v>355</v>
      </c>
      <c r="I306">
        <f>IF(OR(G306="",H306=""),"",G306-H306)</f>
        <v>23</v>
      </c>
      <c r="L306">
        <f>BD_Limites!$H$8</f>
        <v>20</v>
      </c>
      <c r="M306" t="str">
        <f>IF(I306="","",IF(ROUND(ABS(I306),6)&lt;=L306,"Conforme","Não conforme"))</f>
        <v>Não conforme</v>
      </c>
      <c r="N306" t="str">
        <f>IF(Compressão!$W$7&amp;""="","",TRIM(Compressão!$W$7&amp;""))</f>
        <v/>
      </c>
      <c r="P306" t="str">
        <f>IF(ISTEXT(Compressão!$C$7),TRIM(Compressão!$C$7),"")&amp;IF(Compressão!$X$7&amp;""="","",IF(ISTEXT(Compressão!$C$7)," - ","")&amp;TRIM(Compressão!$X$7&amp;""))</f>
        <v/>
      </c>
      <c r="Q306" t="s">
        <v>682</v>
      </c>
    </row>
    <row r="307">
      <c r="A307" t="s">
        <v>662</v>
      </c>
      <c r="B307" t="s">
        <v>667</v>
      </c>
      <c r="C307" s="912">
        <f>IF(N(Compressão!$B$7)&gt;0,Compressão!$B$7,"")</f>
        <v>46279</v>
      </c>
      <c r="D307" t="s">
        <v>663</v>
      </c>
      <c r="E307" t="s">
        <v>668</v>
      </c>
      <c r="F307" t="s">
        <v>669</v>
      </c>
      <c r="G307">
        <f>IF(ISNUMBER(Compressão!$E$7),Compressão!$E$7,"")</f>
        <v>14.8</v>
      </c>
      <c r="H307">
        <f>BD_Limites!$E$10</f>
        <v>15</v>
      </c>
      <c r="I307">
        <f>IF(OR(G307="",H307=""),"",G307-H307)</f>
        <v>-0.1999999999999993</v>
      </c>
      <c r="J307">
        <f>BD_Limites!$F$10</f>
        <v>13</v>
      </c>
      <c r="K307">
        <f>BD_Limites!$G$10</f>
        <v>17</v>
      </c>
      <c r="M307" t="str">
        <f>IF(G307="","",IF(AND(G307&gt;=J307,G307&lt;=K307),"Conforme","Não conforme"))</f>
        <v>Conforme</v>
      </c>
      <c r="N307" t="str">
        <f>IF(Compressão!$W$7&amp;""="","",TRIM(Compressão!$W$7&amp;""))</f>
        <v/>
      </c>
      <c r="Q307" t="s">
        <v>683</v>
      </c>
    </row>
    <row r="308">
      <c r="A308" t="s">
        <v>662</v>
      </c>
      <c r="B308" t="s">
        <v>654</v>
      </c>
      <c r="C308" s="912">
        <f>IF(N(Compressão!$B$7)&gt;0,Compressão!$B$7,"")</f>
        <v>46279</v>
      </c>
      <c r="D308" t="s">
        <v>671</v>
      </c>
      <c r="E308" t="s">
        <v>664</v>
      </c>
      <c r="F308" t="s">
        <v>665</v>
      </c>
      <c r="G308">
        <f>IF(ISNUMBER(Compressão!$F$7),Compressão!$F$7,"")</f>
        <v>360</v>
      </c>
      <c r="H308">
        <f>BD_Limites!$E$8</f>
        <v>355</v>
      </c>
      <c r="I308">
        <f>IF(OR(G308="",H308=""),"",G308-H308)</f>
        <v>5</v>
      </c>
      <c r="L308">
        <f>BD_Limites!$H$8</f>
        <v>20</v>
      </c>
      <c r="M308" t="str">
        <f>IF(I308="","",IF(ROUND(ABS(I308),6)&lt;=L308,"Conforme","Não conforme"))</f>
        <v>Conforme</v>
      </c>
      <c r="N308" t="str">
        <f>IF(Compressão!$W$7&amp;""="","",TRIM(Compressão!$W$7&amp;""))</f>
        <v/>
      </c>
      <c r="P308" t="str">
        <f>IF(ISTEXT(Compressão!$F$7),TRIM(Compressão!$F$7),"")&amp;IF(Compressão!$X$7&amp;""="","",IF(ISTEXT(Compressão!$F$7)," - ","")&amp;TRIM(Compressão!$X$7&amp;""))</f>
        <v/>
      </c>
      <c r="Q308" t="s">
        <v>684</v>
      </c>
    </row>
    <row r="309">
      <c r="A309" t="s">
        <v>662</v>
      </c>
      <c r="B309" t="s">
        <v>667</v>
      </c>
      <c r="C309" s="912">
        <f>IF(N(Compressão!$B$7)&gt;0,Compressão!$B$7,"")</f>
        <v>46279</v>
      </c>
      <c r="D309" t="s">
        <v>671</v>
      </c>
      <c r="E309" t="s">
        <v>668</v>
      </c>
      <c r="F309" t="s">
        <v>669</v>
      </c>
      <c r="G309">
        <f>IF(ISNUMBER(Compressão!$H$7),Compressão!$H$7,"")</f>
        <v>16.2</v>
      </c>
      <c r="H309">
        <f>BD_Limites!$E$10</f>
        <v>15</v>
      </c>
      <c r="I309">
        <f>IF(OR(G309="",H309=""),"",G309-H309)</f>
        <v>1.1999999999999993</v>
      </c>
      <c r="J309">
        <f>BD_Limites!$F$10</f>
        <v>13</v>
      </c>
      <c r="K309">
        <f>BD_Limites!$G$10</f>
        <v>17</v>
      </c>
      <c r="M309" t="str">
        <f>IF(G309="","",IF(AND(G309&gt;=J309,G309&lt;=K309),"Conforme","Não conforme"))</f>
        <v>Conforme</v>
      </c>
      <c r="N309" t="str">
        <f>IF(Compressão!$W$7&amp;""="","",TRIM(Compressão!$W$7&amp;""))</f>
        <v/>
      </c>
      <c r="Q309" t="s">
        <v>685</v>
      </c>
    </row>
    <row r="310">
      <c r="A310" t="s">
        <v>662</v>
      </c>
      <c r="B310" t="s">
        <v>654</v>
      </c>
      <c r="C310" s="912">
        <f>IF(N(Compressão!$B$7)&gt;0,Compressão!$B$7,"")</f>
        <v>46279</v>
      </c>
      <c r="D310" t="s">
        <v>674</v>
      </c>
      <c r="E310" t="s">
        <v>664</v>
      </c>
      <c r="F310" t="s">
        <v>665</v>
      </c>
      <c r="G310">
        <f>IF(ISNUMBER(Compressão!$I$7),Compressão!$I$7,"")</f>
        <v>374</v>
      </c>
      <c r="H310">
        <f>BD_Limites!$E$8</f>
        <v>355</v>
      </c>
      <c r="I310">
        <f>IF(OR(G310="",H310=""),"",G310-H310)</f>
        <v>19</v>
      </c>
      <c r="L310">
        <f>BD_Limites!$H$8</f>
        <v>20</v>
      </c>
      <c r="M310" t="str">
        <f>IF(I310="","",IF(ROUND(ABS(I310),6)&lt;=L310,"Conforme","Não conforme"))</f>
        <v>Conforme</v>
      </c>
      <c r="N310" t="str">
        <f>IF(Compressão!$W$7&amp;""="","",TRIM(Compressão!$W$7&amp;""))</f>
        <v/>
      </c>
      <c r="P310" t="str">
        <f>IF(ISTEXT(Compressão!$I$7),TRIM(Compressão!$I$7),"")&amp;IF(Compressão!$X$7&amp;""="","",IF(ISTEXT(Compressão!$I$7)," - ","")&amp;TRIM(Compressão!$X$7&amp;""))</f>
        <v/>
      </c>
      <c r="Q310" t="s">
        <v>686</v>
      </c>
    </row>
    <row r="311">
      <c r="A311" t="s">
        <v>662</v>
      </c>
      <c r="B311" t="s">
        <v>667</v>
      </c>
      <c r="C311" s="912">
        <f>IF(N(Compressão!$B$7)&gt;0,Compressão!$B$7,"")</f>
        <v>46279</v>
      </c>
      <c r="D311" t="s">
        <v>674</v>
      </c>
      <c r="E311" t="s">
        <v>668</v>
      </c>
      <c r="F311" t="s">
        <v>669</v>
      </c>
      <c r="G311">
        <f>IF(ISNUMBER(Compressão!$K$7),Compressão!$K$7,"")</f>
        <v>16.4</v>
      </c>
      <c r="H311">
        <f>BD_Limites!$E$10</f>
        <v>15</v>
      </c>
      <c r="I311">
        <f>IF(OR(G311="",H311=""),"",G311-H311)</f>
        <v>1.3999999999999986</v>
      </c>
      <c r="J311">
        <f>BD_Limites!$F$10</f>
        <v>13</v>
      </c>
      <c r="K311">
        <f>BD_Limites!$G$10</f>
        <v>17</v>
      </c>
      <c r="M311" t="str">
        <f>IF(G311="","",IF(AND(G311&gt;=J311,G311&lt;=K311),"Conforme","Não conforme"))</f>
        <v>Conforme</v>
      </c>
      <c r="N311" t="str">
        <f>IF(Compressão!$W$7&amp;""="","",TRIM(Compressão!$W$7&amp;""))</f>
        <v/>
      </c>
      <c r="Q311" t="s">
        <v>687</v>
      </c>
    </row>
    <row r="312">
      <c r="A312" t="s">
        <v>662</v>
      </c>
      <c r="B312" t="s">
        <v>654</v>
      </c>
      <c r="C312" s="912">
        <f>IF(N(Compressão!$B$7)&gt;0,Compressão!$B$7,"")</f>
        <v>46279</v>
      </c>
      <c r="D312" t="s">
        <v>677</v>
      </c>
      <c r="E312" t="s">
        <v>664</v>
      </c>
      <c r="F312" t="s">
        <v>665</v>
      </c>
      <c r="G312" t="str">
        <f>IF(ISNUMBER(Compressão!$L$7),Compressão!$L$7,"")</f>
        <v/>
      </c>
      <c r="H312">
        <f>BD_Limites!$E$8</f>
        <v>355</v>
      </c>
      <c r="I312" t="str">
        <f>IF(OR(G312="",H312=""),"",G312-H312)</f>
        <v/>
      </c>
      <c r="L312">
        <f>BD_Limites!$H$8</f>
        <v>20</v>
      </c>
      <c r="M312" t="str">
        <f>IF(I312="","",IF(ROUND(ABS(I312),6)&lt;=L312,"Conforme","Não conforme"))</f>
        <v/>
      </c>
      <c r="N312" t="str">
        <f>IF(Compressão!$W$7&amp;""="","",TRIM(Compressão!$W$7&amp;""))</f>
        <v/>
      </c>
      <c r="P312" t="str">
        <f>IF(ISTEXT(Compressão!$L$7),TRIM(Compressão!$L$7),"")&amp;IF(Compressão!$X$7&amp;""="","",IF(ISTEXT(Compressão!$L$7)," - ","")&amp;TRIM(Compressão!$X$7&amp;""))</f>
        <v/>
      </c>
      <c r="Q312" t="s">
        <v>688</v>
      </c>
    </row>
    <row r="313">
      <c r="A313" t="s">
        <v>662</v>
      </c>
      <c r="B313" t="s">
        <v>654</v>
      </c>
      <c r="C313" s="912">
        <f>IF(N(Compressão!$B$7)&gt;0,Compressão!$B$7,"")</f>
        <v>46279</v>
      </c>
      <c r="D313" t="s">
        <v>679</v>
      </c>
      <c r="E313" t="s">
        <v>664</v>
      </c>
      <c r="F313" t="s">
        <v>665</v>
      </c>
      <c r="G313">
        <f>IF(ISNUMBER(Compressão!$N$7),Compressão!$N$7,"")</f>
        <v>358</v>
      </c>
      <c r="H313">
        <f>BD_Limites!$E$8</f>
        <v>355</v>
      </c>
      <c r="I313">
        <f>IF(OR(G313="",H313=""),"",G313-H313)</f>
        <v>3</v>
      </c>
      <c r="L313">
        <f>BD_Limites!$H$8</f>
        <v>20</v>
      </c>
      <c r="M313" t="str">
        <f>IF(I313="","",IF(ROUND(ABS(I313),6)&lt;=L313,"Conforme","Não conforme"))</f>
        <v>Conforme</v>
      </c>
      <c r="N313" t="str">
        <f>IF(Compressão!$W$7&amp;""="","",TRIM(Compressão!$W$7&amp;""))</f>
        <v/>
      </c>
      <c r="P313" t="str">
        <f>IF(ISTEXT(Compressão!$N$7),TRIM(Compressão!$N$7),"")&amp;IF(Compressão!$X$7&amp;""="","",IF(ISTEXT(Compressão!$N$7)," - ","")&amp;TRIM(Compressão!$X$7&amp;""))</f>
        <v/>
      </c>
      <c r="Q313" t="s">
        <v>689</v>
      </c>
    </row>
    <row r="314">
      <c r="A314" t="s">
        <v>662</v>
      </c>
      <c r="B314" t="s">
        <v>667</v>
      </c>
      <c r="C314" s="912">
        <f>IF(N(Compressão!$B$7)&gt;0,Compressão!$B$7,"")</f>
        <v>46279</v>
      </c>
      <c r="D314" t="s">
        <v>679</v>
      </c>
      <c r="E314" t="s">
        <v>668</v>
      </c>
      <c r="F314" t="s">
        <v>669</v>
      </c>
      <c r="G314" t="str">
        <f>IF(ISNUMBER(Compressão!$P$7),Compressão!$P$7,"")</f>
        <v/>
      </c>
      <c r="H314">
        <f>BD_Limites!$E$10</f>
        <v>15</v>
      </c>
      <c r="I314" t="str">
        <f>IF(OR(G314="",H314=""),"",G314-H314)</f>
        <v/>
      </c>
      <c r="J314">
        <f>BD_Limites!$F$10</f>
        <v>13</v>
      </c>
      <c r="K314">
        <f>BD_Limites!$G$10</f>
        <v>17</v>
      </c>
      <c r="M314" t="str">
        <f>IF(G314="","",IF(AND(G314&gt;=J314,G314&lt;=K314),"Conforme","Não conforme"))</f>
        <v/>
      </c>
      <c r="N314" t="str">
        <f>IF(Compressão!$W$7&amp;""="","",TRIM(Compressão!$W$7&amp;""))</f>
        <v/>
      </c>
      <c r="Q314" t="s">
        <v>690</v>
      </c>
    </row>
    <row r="315">
      <c r="A315" t="s">
        <v>662</v>
      </c>
      <c r="B315" t="s">
        <v>654</v>
      </c>
      <c r="C315" s="912">
        <f>IF(N(Compressão!$B$8)&gt;0,Compressão!$B$8,"")</f>
        <v>46286</v>
      </c>
      <c r="D315" t="s">
        <v>663</v>
      </c>
      <c r="E315" t="s">
        <v>664</v>
      </c>
      <c r="F315" t="s">
        <v>665</v>
      </c>
      <c r="G315">
        <f>IF(ISNUMBER(Compressão!$C$8),Compressão!$C$8,"")</f>
        <v>363</v>
      </c>
      <c r="H315">
        <f>BD_Limites!$E$8</f>
        <v>355</v>
      </c>
      <c r="I315">
        <f>IF(OR(G315="",H315=""),"",G315-H315)</f>
        <v>8</v>
      </c>
      <c r="L315">
        <f>BD_Limites!$H$8</f>
        <v>20</v>
      </c>
      <c r="M315" t="str">
        <f>IF(I315="","",IF(ROUND(ABS(I315),6)&lt;=L315,"Conforme","Não conforme"))</f>
        <v>Conforme</v>
      </c>
      <c r="N315" t="str">
        <f>IF(Compressão!$W$8&amp;""="","",TRIM(Compressão!$W$8&amp;""))</f>
        <v>Leonardo</v>
      </c>
      <c r="P315" t="str">
        <f>IF(ISTEXT(Compressão!$C$8),TRIM(Compressão!$C$8),"")&amp;IF(Compressão!$X$8&amp;""="","",IF(ISTEXT(Compressão!$C$8)," - ","")&amp;TRIM(Compressão!$X$8&amp;""))</f>
        <v/>
      </c>
      <c r="Q315" t="s">
        <v>691</v>
      </c>
    </row>
    <row r="316">
      <c r="A316" t="s">
        <v>662</v>
      </c>
      <c r="B316" t="s">
        <v>667</v>
      </c>
      <c r="C316" s="912">
        <f>IF(N(Compressão!$B$8)&gt;0,Compressão!$B$8,"")</f>
        <v>46286</v>
      </c>
      <c r="D316" t="s">
        <v>663</v>
      </c>
      <c r="E316" t="s">
        <v>668</v>
      </c>
      <c r="F316" t="s">
        <v>669</v>
      </c>
      <c r="G316">
        <f>IF(ISNUMBER(Compressão!$E$8),Compressão!$E$8,"")</f>
        <v>14.9</v>
      </c>
      <c r="H316">
        <f>BD_Limites!$E$10</f>
        <v>15</v>
      </c>
      <c r="I316">
        <f>IF(OR(G316="",H316=""),"",G316-H316)</f>
        <v>-0.09999999999999964</v>
      </c>
      <c r="J316">
        <f>BD_Limites!$F$10</f>
        <v>13</v>
      </c>
      <c r="K316">
        <f>BD_Limites!$G$10</f>
        <v>17</v>
      </c>
      <c r="M316" t="str">
        <f>IF(G316="","",IF(AND(G316&gt;=J316,G316&lt;=K316),"Conforme","Não conforme"))</f>
        <v>Conforme</v>
      </c>
      <c r="N316" t="str">
        <f>IF(Compressão!$W$8&amp;""="","",TRIM(Compressão!$W$8&amp;""))</f>
        <v>Leonardo</v>
      </c>
      <c r="Q316" t="s">
        <v>692</v>
      </c>
    </row>
    <row r="317">
      <c r="A317" t="s">
        <v>662</v>
      </c>
      <c r="B317" t="s">
        <v>654</v>
      </c>
      <c r="C317" s="912">
        <f>IF(N(Compressão!$B$8)&gt;0,Compressão!$B$8,"")</f>
        <v>46286</v>
      </c>
      <c r="D317" t="s">
        <v>671</v>
      </c>
      <c r="E317" t="s">
        <v>664</v>
      </c>
      <c r="F317" t="s">
        <v>665</v>
      </c>
      <c r="G317">
        <f>IF(ISNUMBER(Compressão!$F$8),Compressão!$F$8,"")</f>
        <v>372</v>
      </c>
      <c r="H317">
        <f>BD_Limites!$E$8</f>
        <v>355</v>
      </c>
      <c r="I317">
        <f>IF(OR(G317="",H317=""),"",G317-H317)</f>
        <v>17</v>
      </c>
      <c r="L317">
        <f>BD_Limites!$H$8</f>
        <v>20</v>
      </c>
      <c r="M317" t="str">
        <f>IF(I317="","",IF(ROUND(ABS(I317),6)&lt;=L317,"Conforme","Não conforme"))</f>
        <v>Conforme</v>
      </c>
      <c r="N317" t="str">
        <f>IF(Compressão!$W$8&amp;""="","",TRIM(Compressão!$W$8&amp;""))</f>
        <v>Leonardo</v>
      </c>
      <c r="P317" t="str">
        <f>IF(ISTEXT(Compressão!$F$8),TRIM(Compressão!$F$8),"")&amp;IF(Compressão!$X$8&amp;""="","",IF(ISTEXT(Compressão!$F$8)," - ","")&amp;TRIM(Compressão!$X$8&amp;""))</f>
        <v/>
      </c>
      <c r="Q317" t="s">
        <v>693</v>
      </c>
    </row>
    <row r="318">
      <c r="A318" t="s">
        <v>662</v>
      </c>
      <c r="B318" t="s">
        <v>667</v>
      </c>
      <c r="C318" s="912">
        <f>IF(N(Compressão!$B$8)&gt;0,Compressão!$B$8,"")</f>
        <v>46286</v>
      </c>
      <c r="D318" t="s">
        <v>671</v>
      </c>
      <c r="E318" t="s">
        <v>668</v>
      </c>
      <c r="F318" t="s">
        <v>669</v>
      </c>
      <c r="G318">
        <f>IF(ISNUMBER(Compressão!$H$8),Compressão!$H$8,"")</f>
        <v>15.75</v>
      </c>
      <c r="H318">
        <f>BD_Limites!$E$10</f>
        <v>15</v>
      </c>
      <c r="I318">
        <f>IF(OR(G318="",H318=""),"",G318-H318)</f>
        <v>0.75</v>
      </c>
      <c r="J318">
        <f>BD_Limites!$F$10</f>
        <v>13</v>
      </c>
      <c r="K318">
        <f>BD_Limites!$G$10</f>
        <v>17</v>
      </c>
      <c r="M318" t="str">
        <f>IF(G318="","",IF(AND(G318&gt;=J318,G318&lt;=K318),"Conforme","Não conforme"))</f>
        <v>Conforme</v>
      </c>
      <c r="N318" t="str">
        <f>IF(Compressão!$W$8&amp;""="","",TRIM(Compressão!$W$8&amp;""))</f>
        <v>Leonardo</v>
      </c>
      <c r="Q318" t="s">
        <v>694</v>
      </c>
    </row>
    <row r="319">
      <c r="A319" t="s">
        <v>662</v>
      </c>
      <c r="B319" t="s">
        <v>654</v>
      </c>
      <c r="C319" s="912">
        <f>IF(N(Compressão!$B$8)&gt;0,Compressão!$B$8,"")</f>
        <v>46286</v>
      </c>
      <c r="D319" t="s">
        <v>674</v>
      </c>
      <c r="E319" t="s">
        <v>664</v>
      </c>
      <c r="F319" t="s">
        <v>665</v>
      </c>
      <c r="G319">
        <f>IF(ISNUMBER(Compressão!$I$8),Compressão!$I$8,"")</f>
        <v>371</v>
      </c>
      <c r="H319">
        <f>BD_Limites!$E$8</f>
        <v>355</v>
      </c>
      <c r="I319">
        <f>IF(OR(G319="",H319=""),"",G319-H319)</f>
        <v>16</v>
      </c>
      <c r="L319">
        <f>BD_Limites!$H$8</f>
        <v>20</v>
      </c>
      <c r="M319" t="str">
        <f>IF(I319="","",IF(ROUND(ABS(I319),6)&lt;=L319,"Conforme","Não conforme"))</f>
        <v>Conforme</v>
      </c>
      <c r="N319" t="str">
        <f>IF(Compressão!$W$8&amp;""="","",TRIM(Compressão!$W$8&amp;""))</f>
        <v>Leonardo</v>
      </c>
      <c r="P319" t="str">
        <f>IF(ISTEXT(Compressão!$I$8),TRIM(Compressão!$I$8),"")&amp;IF(Compressão!$X$8&amp;""="","",IF(ISTEXT(Compressão!$I$8)," - ","")&amp;TRIM(Compressão!$X$8&amp;""))</f>
        <v/>
      </c>
      <c r="Q319" t="s">
        <v>695</v>
      </c>
    </row>
    <row r="320">
      <c r="A320" t="s">
        <v>662</v>
      </c>
      <c r="B320" t="s">
        <v>667</v>
      </c>
      <c r="C320" s="912">
        <f>IF(N(Compressão!$B$8)&gt;0,Compressão!$B$8,"")</f>
        <v>46286</v>
      </c>
      <c r="D320" t="s">
        <v>674</v>
      </c>
      <c r="E320" t="s">
        <v>668</v>
      </c>
      <c r="F320" t="s">
        <v>669</v>
      </c>
      <c r="G320">
        <f>IF(ISNUMBER(Compressão!$K$8),Compressão!$K$8,"")</f>
        <v>15.88</v>
      </c>
      <c r="H320">
        <f>BD_Limites!$E$10</f>
        <v>15</v>
      </c>
      <c r="I320">
        <f>IF(OR(G320="",H320=""),"",G320-H320)</f>
        <v>0.8800000000000008</v>
      </c>
      <c r="J320">
        <f>BD_Limites!$F$10</f>
        <v>13</v>
      </c>
      <c r="K320">
        <f>BD_Limites!$G$10</f>
        <v>17</v>
      </c>
      <c r="M320" t="str">
        <f>IF(G320="","",IF(AND(G320&gt;=J320,G320&lt;=K320),"Conforme","Não conforme"))</f>
        <v>Conforme</v>
      </c>
      <c r="N320" t="str">
        <f>IF(Compressão!$W$8&amp;""="","",TRIM(Compressão!$W$8&amp;""))</f>
        <v>Leonardo</v>
      </c>
      <c r="Q320" t="s">
        <v>696</v>
      </c>
    </row>
    <row r="321">
      <c r="A321" t="s">
        <v>662</v>
      </c>
      <c r="B321" t="s">
        <v>654</v>
      </c>
      <c r="C321" s="912">
        <f>IF(N(Compressão!$B$8)&gt;0,Compressão!$B$8,"")</f>
        <v>46286</v>
      </c>
      <c r="D321" t="s">
        <v>677</v>
      </c>
      <c r="E321" t="s">
        <v>664</v>
      </c>
      <c r="F321" t="s">
        <v>665</v>
      </c>
      <c r="G321" t="str">
        <f>IF(ISNUMBER(Compressão!$L$8),Compressão!$L$8,"")</f>
        <v/>
      </c>
      <c r="H321">
        <f>BD_Limites!$E$8</f>
        <v>355</v>
      </c>
      <c r="I321" t="str">
        <f>IF(OR(G321="",H321=""),"",G321-H321)</f>
        <v/>
      </c>
      <c r="L321">
        <f>BD_Limites!$H$8</f>
        <v>20</v>
      </c>
      <c r="M321" t="str">
        <f>IF(I321="","",IF(ROUND(ABS(I321),6)&lt;=L321,"Conforme","Não conforme"))</f>
        <v/>
      </c>
      <c r="N321" t="str">
        <f>IF(Compressão!$W$8&amp;""="","",TRIM(Compressão!$W$8&amp;""))</f>
        <v>Leonardo</v>
      </c>
      <c r="P321" t="str">
        <f>IF(ISTEXT(Compressão!$L$8),TRIM(Compressão!$L$8),"")&amp;IF(Compressão!$X$8&amp;""="","",IF(ISTEXT(Compressão!$L$8)," - ","")&amp;TRIM(Compressão!$X$8&amp;""))</f>
        <v/>
      </c>
      <c r="Q321" t="s">
        <v>697</v>
      </c>
    </row>
    <row r="322">
      <c r="A322" t="s">
        <v>662</v>
      </c>
      <c r="B322" t="s">
        <v>654</v>
      </c>
      <c r="C322" s="912">
        <f>IF(N(Compressão!$B$8)&gt;0,Compressão!$B$8,"")</f>
        <v>46286</v>
      </c>
      <c r="D322" t="s">
        <v>679</v>
      </c>
      <c r="E322" t="s">
        <v>664</v>
      </c>
      <c r="F322" t="s">
        <v>665</v>
      </c>
      <c r="G322">
        <f>IF(ISNUMBER(Compressão!$N$8),Compressão!$N$8,"")</f>
        <v>346</v>
      </c>
      <c r="H322">
        <f>BD_Limites!$E$8</f>
        <v>355</v>
      </c>
      <c r="I322">
        <f>IF(OR(G322="",H322=""),"",G322-H322)</f>
        <v>-9</v>
      </c>
      <c r="L322">
        <f>BD_Limites!$H$8</f>
        <v>20</v>
      </c>
      <c r="M322" t="str">
        <f>IF(I322="","",IF(ROUND(ABS(I322),6)&lt;=L322,"Conforme","Não conforme"))</f>
        <v>Conforme</v>
      </c>
      <c r="N322" t="str">
        <f>IF(Compressão!$W$8&amp;""="","",TRIM(Compressão!$W$8&amp;""))</f>
        <v>Leonardo</v>
      </c>
      <c r="P322" t="str">
        <f>IF(ISTEXT(Compressão!$N$8),TRIM(Compressão!$N$8),"")&amp;IF(Compressão!$X$8&amp;""="","",IF(ISTEXT(Compressão!$N$8)," - ","")&amp;TRIM(Compressão!$X$8&amp;""))</f>
        <v/>
      </c>
      <c r="Q322" t="s">
        <v>698</v>
      </c>
    </row>
    <row r="323">
      <c r="A323" t="s">
        <v>662</v>
      </c>
      <c r="B323" t="s">
        <v>667</v>
      </c>
      <c r="C323" s="912">
        <f>IF(N(Compressão!$B$8)&gt;0,Compressão!$B$8,"")</f>
        <v>46286</v>
      </c>
      <c r="D323" t="s">
        <v>679</v>
      </c>
      <c r="E323" t="s">
        <v>668</v>
      </c>
      <c r="F323" t="s">
        <v>669</v>
      </c>
      <c r="G323" t="str">
        <f>IF(ISNUMBER(Compressão!$P$8),Compressão!$P$8,"")</f>
        <v/>
      </c>
      <c r="H323">
        <f>BD_Limites!$E$10</f>
        <v>15</v>
      </c>
      <c r="I323" t="str">
        <f>IF(OR(G323="",H323=""),"",G323-H323)</f>
        <v/>
      </c>
      <c r="J323">
        <f>BD_Limites!$F$10</f>
        <v>13</v>
      </c>
      <c r="K323">
        <f>BD_Limites!$G$10</f>
        <v>17</v>
      </c>
      <c r="M323" t="str">
        <f>IF(G323="","",IF(AND(G323&gt;=J323,G323&lt;=K323),"Conforme","Não conforme"))</f>
        <v/>
      </c>
      <c r="N323" t="str">
        <f>IF(Compressão!$W$8&amp;""="","",TRIM(Compressão!$W$8&amp;""))</f>
        <v>Leonardo</v>
      </c>
      <c r="Q323" t="s">
        <v>699</v>
      </c>
    </row>
    <row r="324">
      <c r="A324" t="s">
        <v>662</v>
      </c>
      <c r="B324" t="s">
        <v>654</v>
      </c>
      <c r="C324" s="912" t="str">
        <f>IF(N(Compressão!$B$9)&gt;0,Compressão!$B$9,"")</f>
        <v/>
      </c>
      <c r="D324" t="s">
        <v>663</v>
      </c>
      <c r="E324" t="s">
        <v>664</v>
      </c>
      <c r="F324" t="s">
        <v>665</v>
      </c>
      <c r="G324" t="str">
        <f>IF(ISNUMBER(Compressão!$C$9),Compressão!$C$9,"")</f>
        <v/>
      </c>
      <c r="H324">
        <f>BD_Limites!$E$8</f>
        <v>355</v>
      </c>
      <c r="I324" t="str">
        <f>IF(OR(G324="",H324=""),"",G324-H324)</f>
        <v/>
      </c>
      <c r="L324">
        <f>BD_Limites!$H$8</f>
        <v>20</v>
      </c>
      <c r="M324" t="str">
        <f>IF(I324="","",IF(ROUND(ABS(I324),6)&lt;=L324,"Conforme","Não conforme"))</f>
        <v/>
      </c>
      <c r="N324" t="str">
        <f>IF(Compressão!$W$9&amp;""="","",TRIM(Compressão!$W$9&amp;""))</f>
        <v/>
      </c>
      <c r="P324" t="str">
        <f>IF(ISTEXT(Compressão!$C$9),TRIM(Compressão!$C$9),"")&amp;IF(Compressão!$X$9&amp;""="","",IF(ISTEXT(Compressão!$C$9)," - ","")&amp;TRIM(Compressão!$X$9&amp;""))</f>
        <v/>
      </c>
      <c r="Q324" t="s">
        <v>700</v>
      </c>
    </row>
    <row r="325">
      <c r="A325" t="s">
        <v>662</v>
      </c>
      <c r="B325" t="s">
        <v>667</v>
      </c>
      <c r="C325" s="912" t="str">
        <f>IF(N(Compressão!$B$9)&gt;0,Compressão!$B$9,"")</f>
        <v/>
      </c>
      <c r="D325" t="s">
        <v>663</v>
      </c>
      <c r="E325" t="s">
        <v>668</v>
      </c>
      <c r="F325" t="s">
        <v>669</v>
      </c>
      <c r="G325" t="str">
        <f>IF(ISNUMBER(Compressão!$E$9),Compressão!$E$9,"")</f>
        <v/>
      </c>
      <c r="H325">
        <f>BD_Limites!$E$10</f>
        <v>15</v>
      </c>
      <c r="I325" t="str">
        <f>IF(OR(G325="",H325=""),"",G325-H325)</f>
        <v/>
      </c>
      <c r="J325">
        <f>BD_Limites!$F$10</f>
        <v>13</v>
      </c>
      <c r="K325">
        <f>BD_Limites!$G$10</f>
        <v>17</v>
      </c>
      <c r="M325" t="str">
        <f>IF(G325="","",IF(AND(G325&gt;=J325,G325&lt;=K325),"Conforme","Não conforme"))</f>
        <v/>
      </c>
      <c r="N325" t="str">
        <f>IF(Compressão!$W$9&amp;""="","",TRIM(Compressão!$W$9&amp;""))</f>
        <v/>
      </c>
      <c r="Q325" t="s">
        <v>701</v>
      </c>
    </row>
    <row r="326">
      <c r="A326" t="s">
        <v>662</v>
      </c>
      <c r="B326" t="s">
        <v>654</v>
      </c>
      <c r="C326" s="912" t="str">
        <f>IF(N(Compressão!$B$9)&gt;0,Compressão!$B$9,"")</f>
        <v/>
      </c>
      <c r="D326" t="s">
        <v>671</v>
      </c>
      <c r="E326" t="s">
        <v>664</v>
      </c>
      <c r="F326" t="s">
        <v>665</v>
      </c>
      <c r="G326" t="str">
        <f>IF(ISNUMBER(Compressão!$F$9),Compressão!$F$9,"")</f>
        <v/>
      </c>
      <c r="H326">
        <f>BD_Limites!$E$8</f>
        <v>355</v>
      </c>
      <c r="I326" t="str">
        <f>IF(OR(G326="",H326=""),"",G326-H326)</f>
        <v/>
      </c>
      <c r="L326">
        <f>BD_Limites!$H$8</f>
        <v>20</v>
      </c>
      <c r="M326" t="str">
        <f>IF(I326="","",IF(ROUND(ABS(I326),6)&lt;=L326,"Conforme","Não conforme"))</f>
        <v/>
      </c>
      <c r="N326" t="str">
        <f>IF(Compressão!$W$9&amp;""="","",TRIM(Compressão!$W$9&amp;""))</f>
        <v/>
      </c>
      <c r="P326" t="str">
        <f>IF(ISTEXT(Compressão!$F$9),TRIM(Compressão!$F$9),"")&amp;IF(Compressão!$X$9&amp;""="","",IF(ISTEXT(Compressão!$F$9)," - ","")&amp;TRIM(Compressão!$X$9&amp;""))</f>
        <v/>
      </c>
      <c r="Q326" t="s">
        <v>702</v>
      </c>
    </row>
    <row r="327">
      <c r="A327" t="s">
        <v>662</v>
      </c>
      <c r="B327" t="s">
        <v>667</v>
      </c>
      <c r="C327" s="912" t="str">
        <f>IF(N(Compressão!$B$9)&gt;0,Compressão!$B$9,"")</f>
        <v/>
      </c>
      <c r="D327" t="s">
        <v>671</v>
      </c>
      <c r="E327" t="s">
        <v>668</v>
      </c>
      <c r="F327" t="s">
        <v>669</v>
      </c>
      <c r="G327" t="str">
        <f>IF(ISNUMBER(Compressão!$H$9),Compressão!$H$9,"")</f>
        <v/>
      </c>
      <c r="H327">
        <f>BD_Limites!$E$10</f>
        <v>15</v>
      </c>
      <c r="I327" t="str">
        <f>IF(OR(G327="",H327=""),"",G327-H327)</f>
        <v/>
      </c>
      <c r="J327">
        <f>BD_Limites!$F$10</f>
        <v>13</v>
      </c>
      <c r="K327">
        <f>BD_Limites!$G$10</f>
        <v>17</v>
      </c>
      <c r="M327" t="str">
        <f>IF(G327="","",IF(AND(G327&gt;=J327,G327&lt;=K327),"Conforme","Não conforme"))</f>
        <v/>
      </c>
      <c r="N327" t="str">
        <f>IF(Compressão!$W$9&amp;""="","",TRIM(Compressão!$W$9&amp;""))</f>
        <v/>
      </c>
      <c r="Q327" t="s">
        <v>703</v>
      </c>
    </row>
    <row r="328">
      <c r="A328" t="s">
        <v>662</v>
      </c>
      <c r="B328" t="s">
        <v>654</v>
      </c>
      <c r="C328" s="912" t="str">
        <f>IF(N(Compressão!$B$9)&gt;0,Compressão!$B$9,"")</f>
        <v/>
      </c>
      <c r="D328" t="s">
        <v>674</v>
      </c>
      <c r="E328" t="s">
        <v>664</v>
      </c>
      <c r="F328" t="s">
        <v>665</v>
      </c>
      <c r="G328" t="str">
        <f>IF(ISNUMBER(Compressão!$I$9),Compressão!$I$9,"")</f>
        <v/>
      </c>
      <c r="H328">
        <f>BD_Limites!$E$8</f>
        <v>355</v>
      </c>
      <c r="I328" t="str">
        <f>IF(OR(G328="",H328=""),"",G328-H328)</f>
        <v/>
      </c>
      <c r="L328">
        <f>BD_Limites!$H$8</f>
        <v>20</v>
      </c>
      <c r="M328" t="str">
        <f>IF(I328="","",IF(ROUND(ABS(I328),6)&lt;=L328,"Conforme","Não conforme"))</f>
        <v/>
      </c>
      <c r="N328" t="str">
        <f>IF(Compressão!$W$9&amp;""="","",TRIM(Compressão!$W$9&amp;""))</f>
        <v/>
      </c>
      <c r="P328" t="str">
        <f>IF(ISTEXT(Compressão!$I$9),TRIM(Compressão!$I$9),"")&amp;IF(Compressão!$X$9&amp;""="","",IF(ISTEXT(Compressão!$I$9)," - ","")&amp;TRIM(Compressão!$X$9&amp;""))</f>
        <v/>
      </c>
      <c r="Q328" t="s">
        <v>704</v>
      </c>
    </row>
    <row r="329">
      <c r="A329" t="s">
        <v>662</v>
      </c>
      <c r="B329" t="s">
        <v>667</v>
      </c>
      <c r="C329" s="912" t="str">
        <f>IF(N(Compressão!$B$9)&gt;0,Compressão!$B$9,"")</f>
        <v/>
      </c>
      <c r="D329" t="s">
        <v>674</v>
      </c>
      <c r="E329" t="s">
        <v>668</v>
      </c>
      <c r="F329" t="s">
        <v>669</v>
      </c>
      <c r="G329" t="str">
        <f>IF(ISNUMBER(Compressão!$K$9),Compressão!$K$9,"")</f>
        <v/>
      </c>
      <c r="H329">
        <f>BD_Limites!$E$10</f>
        <v>15</v>
      </c>
      <c r="I329" t="str">
        <f>IF(OR(G329="",H329=""),"",G329-H329)</f>
        <v/>
      </c>
      <c r="J329">
        <f>BD_Limites!$F$10</f>
        <v>13</v>
      </c>
      <c r="K329">
        <f>BD_Limites!$G$10</f>
        <v>17</v>
      </c>
      <c r="M329" t="str">
        <f>IF(G329="","",IF(AND(G329&gt;=J329,G329&lt;=K329),"Conforme","Não conforme"))</f>
        <v/>
      </c>
      <c r="N329" t="str">
        <f>IF(Compressão!$W$9&amp;""="","",TRIM(Compressão!$W$9&amp;""))</f>
        <v/>
      </c>
      <c r="Q329" t="s">
        <v>705</v>
      </c>
    </row>
    <row r="330">
      <c r="A330" t="s">
        <v>662</v>
      </c>
      <c r="B330" t="s">
        <v>654</v>
      </c>
      <c r="C330" s="912" t="str">
        <f>IF(N(Compressão!$B$9)&gt;0,Compressão!$B$9,"")</f>
        <v/>
      </c>
      <c r="D330" t="s">
        <v>677</v>
      </c>
      <c r="E330" t="s">
        <v>664</v>
      </c>
      <c r="F330" t="s">
        <v>665</v>
      </c>
      <c r="G330" t="str">
        <f>IF(ISNUMBER(Compressão!$L$9),Compressão!$L$9,"")</f>
        <v/>
      </c>
      <c r="H330">
        <f>BD_Limites!$E$8</f>
        <v>355</v>
      </c>
      <c r="I330" t="str">
        <f>IF(OR(G330="",H330=""),"",G330-H330)</f>
        <v/>
      </c>
      <c r="L330">
        <f>BD_Limites!$H$8</f>
        <v>20</v>
      </c>
      <c r="M330" t="str">
        <f>IF(I330="","",IF(ROUND(ABS(I330),6)&lt;=L330,"Conforme","Não conforme"))</f>
        <v/>
      </c>
      <c r="N330" t="str">
        <f>IF(Compressão!$W$9&amp;""="","",TRIM(Compressão!$W$9&amp;""))</f>
        <v/>
      </c>
      <c r="P330" t="str">
        <f>IF(ISTEXT(Compressão!$L$9),TRIM(Compressão!$L$9),"")&amp;IF(Compressão!$X$9&amp;""="","",IF(ISTEXT(Compressão!$L$9)," - ","")&amp;TRIM(Compressão!$X$9&amp;""))</f>
        <v/>
      </c>
      <c r="Q330" t="s">
        <v>706</v>
      </c>
    </row>
    <row r="331">
      <c r="A331" t="s">
        <v>662</v>
      </c>
      <c r="B331" t="s">
        <v>654</v>
      </c>
      <c r="C331" s="912" t="str">
        <f>IF(N(Compressão!$B$9)&gt;0,Compressão!$B$9,"")</f>
        <v/>
      </c>
      <c r="D331" t="s">
        <v>679</v>
      </c>
      <c r="E331" t="s">
        <v>664</v>
      </c>
      <c r="F331" t="s">
        <v>665</v>
      </c>
      <c r="G331" t="str">
        <f>IF(ISNUMBER(Compressão!$N$9),Compressão!$N$9,"")</f>
        <v/>
      </c>
      <c r="H331">
        <f>BD_Limites!$E$8</f>
        <v>355</v>
      </c>
      <c r="I331" t="str">
        <f>IF(OR(G331="",H331=""),"",G331-H331)</f>
        <v/>
      </c>
      <c r="L331">
        <f>BD_Limites!$H$8</f>
        <v>20</v>
      </c>
      <c r="M331" t="str">
        <f>IF(I331="","",IF(ROUND(ABS(I331),6)&lt;=L331,"Conforme","Não conforme"))</f>
        <v/>
      </c>
      <c r="N331" t="str">
        <f>IF(Compressão!$W$9&amp;""="","",TRIM(Compressão!$W$9&amp;""))</f>
        <v/>
      </c>
      <c r="P331" t="str">
        <f>IF(ISTEXT(Compressão!$N$9),TRIM(Compressão!$N$9),"")&amp;IF(Compressão!$X$9&amp;""="","",IF(ISTEXT(Compressão!$N$9)," - ","")&amp;TRIM(Compressão!$X$9&amp;""))</f>
        <v/>
      </c>
      <c r="Q331" t="s">
        <v>707</v>
      </c>
    </row>
    <row r="332">
      <c r="A332" t="s">
        <v>662</v>
      </c>
      <c r="B332" t="s">
        <v>667</v>
      </c>
      <c r="C332" s="912" t="str">
        <f>IF(N(Compressão!$B$9)&gt;0,Compressão!$B$9,"")</f>
        <v/>
      </c>
      <c r="D332" t="s">
        <v>679</v>
      </c>
      <c r="E332" t="s">
        <v>668</v>
      </c>
      <c r="F332" t="s">
        <v>669</v>
      </c>
      <c r="G332" t="str">
        <f>IF(ISNUMBER(Compressão!$P$9),Compressão!$P$9,"")</f>
        <v/>
      </c>
      <c r="H332">
        <f>BD_Limites!$E$10</f>
        <v>15</v>
      </c>
      <c r="I332" t="str">
        <f>IF(OR(G332="",H332=""),"",G332-H332)</f>
        <v/>
      </c>
      <c r="J332">
        <f>BD_Limites!$F$10</f>
        <v>13</v>
      </c>
      <c r="K332">
        <f>BD_Limites!$G$10</f>
        <v>17</v>
      </c>
      <c r="M332" t="str">
        <f>IF(G332="","",IF(AND(G332&gt;=J332,G332&lt;=K332),"Conforme","Não conforme"))</f>
        <v/>
      </c>
      <c r="N332" t="str">
        <f>IF(Compressão!$W$9&amp;""="","",TRIM(Compressão!$W$9&amp;""))</f>
        <v/>
      </c>
      <c r="Q332" t="s">
        <v>708</v>
      </c>
    </row>
    <row r="333">
      <c r="A333" t="s">
        <v>662</v>
      </c>
      <c r="B333" t="s">
        <v>654</v>
      </c>
      <c r="C333" s="912">
        <f>IF(N(Compressão!$B$20)&gt;0,Compressão!$B$20,"")</f>
        <v>46273</v>
      </c>
      <c r="D333" t="s">
        <v>663</v>
      </c>
      <c r="E333" t="s">
        <v>709</v>
      </c>
      <c r="F333" t="s">
        <v>665</v>
      </c>
      <c r="G333">
        <f>IF(ISNUMBER(Compressão!$C$20),Compressão!$C$20,"")</f>
        <v>298</v>
      </c>
      <c r="H333">
        <f>BD_Limites!$E$9</f>
        <v>310</v>
      </c>
      <c r="I333">
        <f>IF(OR(G333="",H333=""),"",G333-H333)</f>
        <v>-12</v>
      </c>
      <c r="L333">
        <f>BD_Limites!$H$9</f>
        <v>20</v>
      </c>
      <c r="M333" t="str">
        <f>IF(I333="","",IF(ROUND(ABS(I333),6)&lt;=L333,"Conforme","Não conforme"))</f>
        <v>Conforme</v>
      </c>
      <c r="N333" t="str">
        <f>IF(Compressão!$W$20&amp;""="","",TRIM(Compressão!$W$20&amp;""))</f>
        <v/>
      </c>
      <c r="P333" t="str">
        <f>IF(ISTEXT(Compressão!$C$20),TRIM(Compressão!$C$20),"")&amp;IF(Compressão!$X$20&amp;""="","",IF(ISTEXT(Compressão!$C$20)," - ","")&amp;TRIM(Compressão!$X$20&amp;""))</f>
        <v/>
      </c>
      <c r="Q333" t="s">
        <v>710</v>
      </c>
    </row>
    <row r="334">
      <c r="A334" t="s">
        <v>662</v>
      </c>
      <c r="B334" t="s">
        <v>667</v>
      </c>
      <c r="C334" s="912">
        <f>IF(N(Compressão!$B$20)&gt;0,Compressão!$B$20,"")</f>
        <v>46273</v>
      </c>
      <c r="D334" t="s">
        <v>663</v>
      </c>
      <c r="E334" t="s">
        <v>711</v>
      </c>
      <c r="F334" t="s">
        <v>669</v>
      </c>
      <c r="G334">
        <f>IF(ISNUMBER(Compressão!$E$20),Compressão!$E$20,"")</f>
        <v>13</v>
      </c>
      <c r="H334">
        <f>BD_Limites!$E$10</f>
        <v>15</v>
      </c>
      <c r="I334">
        <f>IF(OR(G334="",H334=""),"",G334-H334)</f>
        <v>-2</v>
      </c>
      <c r="J334">
        <f>BD_Limites!$F$10</f>
        <v>13</v>
      </c>
      <c r="K334">
        <f>BD_Limites!$G$10</f>
        <v>17</v>
      </c>
      <c r="M334" t="str">
        <f>IF(G334="","",IF(AND(G334&gt;=J334,G334&lt;=K334),"Conforme","Não conforme"))</f>
        <v>Conforme</v>
      </c>
      <c r="N334" t="str">
        <f>IF(Compressão!$W$20&amp;""="","",TRIM(Compressão!$W$20&amp;""))</f>
        <v/>
      </c>
      <c r="Q334" t="s">
        <v>712</v>
      </c>
    </row>
    <row r="335">
      <c r="A335" t="s">
        <v>662</v>
      </c>
      <c r="B335" t="s">
        <v>654</v>
      </c>
      <c r="C335" s="912">
        <f>IF(N(Compressão!$B$20)&gt;0,Compressão!$B$20,"")</f>
        <v>46273</v>
      </c>
      <c r="D335" t="s">
        <v>671</v>
      </c>
      <c r="E335" t="s">
        <v>709</v>
      </c>
      <c r="F335" t="s">
        <v>665</v>
      </c>
      <c r="G335">
        <f>IF(ISNUMBER(Compressão!$F$20),Compressão!$F$20,"")</f>
        <v>304</v>
      </c>
      <c r="H335">
        <f>BD_Limites!$E$9</f>
        <v>310</v>
      </c>
      <c r="I335">
        <f>IF(OR(G335="",H335=""),"",G335-H335)</f>
        <v>-6</v>
      </c>
      <c r="L335">
        <f>BD_Limites!$H$9</f>
        <v>20</v>
      </c>
      <c r="M335" t="str">
        <f>IF(I335="","",IF(ROUND(ABS(I335),6)&lt;=L335,"Conforme","Não conforme"))</f>
        <v>Conforme</v>
      </c>
      <c r="N335" t="str">
        <f>IF(Compressão!$W$20&amp;""="","",TRIM(Compressão!$W$20&amp;""))</f>
        <v/>
      </c>
      <c r="P335" t="str">
        <f>IF(ISTEXT(Compressão!$F$20),TRIM(Compressão!$F$20),"")&amp;IF(Compressão!$X$20&amp;""="","",IF(ISTEXT(Compressão!$F$20)," - ","")&amp;TRIM(Compressão!$X$20&amp;""))</f>
        <v/>
      </c>
      <c r="Q335" t="s">
        <v>713</v>
      </c>
    </row>
    <row r="336">
      <c r="A336" t="s">
        <v>662</v>
      </c>
      <c r="B336" t="s">
        <v>667</v>
      </c>
      <c r="C336" s="912">
        <f>IF(N(Compressão!$B$20)&gt;0,Compressão!$B$20,"")</f>
        <v>46273</v>
      </c>
      <c r="D336" t="s">
        <v>671</v>
      </c>
      <c r="E336" t="s">
        <v>711</v>
      </c>
      <c r="F336" t="s">
        <v>669</v>
      </c>
      <c r="G336">
        <f>IF(ISNUMBER(Compressão!$H$20),Compressão!$H$20,"")</f>
        <v>15.2</v>
      </c>
      <c r="H336">
        <f>BD_Limites!$E$10</f>
        <v>15</v>
      </c>
      <c r="I336">
        <f>IF(OR(G336="",H336=""),"",G336-H336)</f>
        <v>0.1999999999999993</v>
      </c>
      <c r="J336">
        <f>BD_Limites!$F$10</f>
        <v>13</v>
      </c>
      <c r="K336">
        <f>BD_Limites!$G$10</f>
        <v>17</v>
      </c>
      <c r="M336" t="str">
        <f>IF(G336="","",IF(AND(G336&gt;=J336,G336&lt;=K336),"Conforme","Não conforme"))</f>
        <v>Conforme</v>
      </c>
      <c r="N336" t="str">
        <f>IF(Compressão!$W$20&amp;""="","",TRIM(Compressão!$W$20&amp;""))</f>
        <v/>
      </c>
      <c r="Q336" t="s">
        <v>714</v>
      </c>
    </row>
    <row r="337">
      <c r="A337" t="s">
        <v>662</v>
      </c>
      <c r="B337" t="s">
        <v>654</v>
      </c>
      <c r="C337" s="912">
        <f>IF(N(Compressão!$B$20)&gt;0,Compressão!$B$20,"")</f>
        <v>46273</v>
      </c>
      <c r="D337" t="s">
        <v>674</v>
      </c>
      <c r="E337" t="s">
        <v>709</v>
      </c>
      <c r="F337" t="s">
        <v>665</v>
      </c>
      <c r="G337">
        <f>IF(ISNUMBER(Compressão!$I$20),Compressão!$I$20,"")</f>
        <v>306</v>
      </c>
      <c r="H337">
        <f>BD_Limites!$E$9</f>
        <v>310</v>
      </c>
      <c r="I337">
        <f>IF(OR(G337="",H337=""),"",G337-H337)</f>
        <v>-4</v>
      </c>
      <c r="L337">
        <f>BD_Limites!$H$9</f>
        <v>20</v>
      </c>
      <c r="M337" t="str">
        <f>IF(I337="","",IF(ROUND(ABS(I337),6)&lt;=L337,"Conforme","Não conforme"))</f>
        <v>Conforme</v>
      </c>
      <c r="N337" t="str">
        <f>IF(Compressão!$W$20&amp;""="","",TRIM(Compressão!$W$20&amp;""))</f>
        <v/>
      </c>
      <c r="P337" t="str">
        <f>IF(ISTEXT(Compressão!$I$20),TRIM(Compressão!$I$20),"")&amp;IF(Compressão!$X$20&amp;""="","",IF(ISTEXT(Compressão!$I$20)," - ","")&amp;TRIM(Compressão!$X$20&amp;""))</f>
        <v/>
      </c>
      <c r="Q337" t="s">
        <v>715</v>
      </c>
    </row>
    <row r="338">
      <c r="A338" t="s">
        <v>662</v>
      </c>
      <c r="B338" t="s">
        <v>667</v>
      </c>
      <c r="C338" s="912">
        <f>IF(N(Compressão!$B$20)&gt;0,Compressão!$B$20,"")</f>
        <v>46273</v>
      </c>
      <c r="D338" t="s">
        <v>674</v>
      </c>
      <c r="E338" t="s">
        <v>711</v>
      </c>
      <c r="F338" t="s">
        <v>669</v>
      </c>
      <c r="G338">
        <f>IF(ISNUMBER(Compressão!$K$20),Compressão!$K$20,"")</f>
        <v>14</v>
      </c>
      <c r="H338">
        <f>BD_Limites!$E$10</f>
        <v>15</v>
      </c>
      <c r="I338">
        <f>IF(OR(G338="",H338=""),"",G338-H338)</f>
        <v>-1</v>
      </c>
      <c r="J338">
        <f>BD_Limites!$F$10</f>
        <v>13</v>
      </c>
      <c r="K338">
        <f>BD_Limites!$G$10</f>
        <v>17</v>
      </c>
      <c r="M338" t="str">
        <f>IF(G338="","",IF(AND(G338&gt;=J338,G338&lt;=K338),"Conforme","Não conforme"))</f>
        <v>Conforme</v>
      </c>
      <c r="N338" t="str">
        <f>IF(Compressão!$W$20&amp;""="","",TRIM(Compressão!$W$20&amp;""))</f>
        <v/>
      </c>
      <c r="Q338" t="s">
        <v>716</v>
      </c>
    </row>
    <row r="339">
      <c r="A339" t="s">
        <v>662</v>
      </c>
      <c r="B339" t="s">
        <v>654</v>
      </c>
      <c r="C339" s="912">
        <f>IF(N(Compressão!$B$20)&gt;0,Compressão!$B$20,"")</f>
        <v>46273</v>
      </c>
      <c r="D339" t="s">
        <v>677</v>
      </c>
      <c r="E339" t="s">
        <v>709</v>
      </c>
      <c r="F339" t="s">
        <v>665</v>
      </c>
      <c r="G339" t="str">
        <f>IF(ISNUMBER(Compressão!$L$20),Compressão!$L$20,"")</f>
        <v/>
      </c>
      <c r="H339">
        <f>BD_Limites!$E$9</f>
        <v>310</v>
      </c>
      <c r="I339" t="str">
        <f>IF(OR(G339="",H339=""),"",G339-H339)</f>
        <v/>
      </c>
      <c r="L339">
        <f>BD_Limites!$H$9</f>
        <v>20</v>
      </c>
      <c r="M339" t="str">
        <f>IF(I339="","",IF(ROUND(ABS(I339),6)&lt;=L339,"Conforme","Não conforme"))</f>
        <v/>
      </c>
      <c r="N339" t="str">
        <f>IF(Compressão!$W$20&amp;""="","",TRIM(Compressão!$W$20&amp;""))</f>
        <v/>
      </c>
      <c r="P339" t="str">
        <f>IF(ISTEXT(Compressão!$L$20),TRIM(Compressão!$L$20),"")&amp;IF(Compressão!$X$20&amp;""="","",IF(ISTEXT(Compressão!$L$20)," - ","")&amp;TRIM(Compressão!$X$20&amp;""))</f>
        <v>PARADA</v>
      </c>
      <c r="Q339" t="s">
        <v>717</v>
      </c>
    </row>
    <row r="340">
      <c r="A340" t="s">
        <v>662</v>
      </c>
      <c r="B340" t="s">
        <v>654</v>
      </c>
      <c r="C340" s="912">
        <f>IF(N(Compressão!$B$20)&gt;0,Compressão!$B$20,"")</f>
        <v>46273</v>
      </c>
      <c r="D340" t="s">
        <v>679</v>
      </c>
      <c r="E340" t="s">
        <v>709</v>
      </c>
      <c r="F340" t="s">
        <v>665</v>
      </c>
      <c r="G340">
        <f>IF(ISNUMBER(Compressão!$N$20),Compressão!$N$20,"")</f>
        <v>307</v>
      </c>
      <c r="H340">
        <f>BD_Limites!$E$9</f>
        <v>310</v>
      </c>
      <c r="I340">
        <f>IF(OR(G340="",H340=""),"",G340-H340)</f>
        <v>-3</v>
      </c>
      <c r="L340">
        <f>BD_Limites!$H$9</f>
        <v>20</v>
      </c>
      <c r="M340" t="str">
        <f>IF(I340="","",IF(ROUND(ABS(I340),6)&lt;=L340,"Conforme","Não conforme"))</f>
        <v>Conforme</v>
      </c>
      <c r="N340" t="str">
        <f>IF(Compressão!$W$20&amp;""="","",TRIM(Compressão!$W$20&amp;""))</f>
        <v/>
      </c>
      <c r="P340" t="str">
        <f>IF(ISTEXT(Compressão!$N$20),TRIM(Compressão!$N$20),"")&amp;IF(Compressão!$X$20&amp;""="","",IF(ISTEXT(Compressão!$N$20)," - ","")&amp;TRIM(Compressão!$X$20&amp;""))</f>
        <v/>
      </c>
      <c r="Q340" t="s">
        <v>718</v>
      </c>
    </row>
    <row r="341">
      <c r="A341" t="s">
        <v>662</v>
      </c>
      <c r="B341" t="s">
        <v>667</v>
      </c>
      <c r="C341" s="912">
        <f>IF(N(Compressão!$B$20)&gt;0,Compressão!$B$20,"")</f>
        <v>46273</v>
      </c>
      <c r="D341" t="s">
        <v>679</v>
      </c>
      <c r="E341" t="s">
        <v>711</v>
      </c>
      <c r="F341" t="s">
        <v>669</v>
      </c>
      <c r="G341" t="str">
        <f>IF(ISNUMBER(Compressão!$P$20),Compressão!$P$20,"")</f>
        <v/>
      </c>
      <c r="H341">
        <f>BD_Limites!$E$10</f>
        <v>15</v>
      </c>
      <c r="I341" t="str">
        <f>IF(OR(G341="",H341=""),"",G341-H341)</f>
        <v/>
      </c>
      <c r="J341">
        <f>BD_Limites!$F$10</f>
        <v>13</v>
      </c>
      <c r="K341">
        <f>BD_Limites!$G$10</f>
        <v>17</v>
      </c>
      <c r="M341" t="str">
        <f>IF(G341="","",IF(AND(G341&gt;=J341,G341&lt;=K341),"Conforme","Não conforme"))</f>
        <v/>
      </c>
      <c r="N341" t="str">
        <f>IF(Compressão!$W$20&amp;""="","",TRIM(Compressão!$W$20&amp;""))</f>
        <v/>
      </c>
      <c r="Q341" t="s">
        <v>719</v>
      </c>
    </row>
    <row r="342">
      <c r="A342" t="s">
        <v>662</v>
      </c>
      <c r="B342" t="s">
        <v>654</v>
      </c>
      <c r="C342" s="912">
        <f>IF(N(Compressão!$B$21)&gt;0,Compressão!$B$21,"")</f>
        <v>46279</v>
      </c>
      <c r="D342" t="s">
        <v>663</v>
      </c>
      <c r="E342" t="s">
        <v>709</v>
      </c>
      <c r="F342" t="s">
        <v>665</v>
      </c>
      <c r="G342">
        <f>IF(ISNUMBER(Compressão!$C$21),Compressão!$C$21,"")</f>
        <v>302</v>
      </c>
      <c r="H342">
        <f>BD_Limites!$E$9</f>
        <v>310</v>
      </c>
      <c r="I342">
        <f>IF(OR(G342="",H342=""),"",G342-H342)</f>
        <v>-8</v>
      </c>
      <c r="L342">
        <f>BD_Limites!$H$9</f>
        <v>20</v>
      </c>
      <c r="M342" t="str">
        <f>IF(I342="","",IF(ROUND(ABS(I342),6)&lt;=L342,"Conforme","Não conforme"))</f>
        <v>Conforme</v>
      </c>
      <c r="N342" t="str">
        <f>IF(Compressão!$W$21&amp;""="","",TRIM(Compressão!$W$21&amp;""))</f>
        <v/>
      </c>
      <c r="P342" t="str">
        <f>IF(ISTEXT(Compressão!$C$21),TRIM(Compressão!$C$21),"")&amp;IF(Compressão!$X$21&amp;""="","",IF(ISTEXT(Compressão!$C$21)," - ","")&amp;TRIM(Compressão!$X$21&amp;""))</f>
        <v/>
      </c>
      <c r="Q342" t="s">
        <v>720</v>
      </c>
    </row>
    <row r="343">
      <c r="A343" t="s">
        <v>662</v>
      </c>
      <c r="B343" t="s">
        <v>667</v>
      </c>
      <c r="C343" s="912">
        <f>IF(N(Compressão!$B$21)&gt;0,Compressão!$B$21,"")</f>
        <v>46279</v>
      </c>
      <c r="D343" t="s">
        <v>663</v>
      </c>
      <c r="E343" t="s">
        <v>711</v>
      </c>
      <c r="F343" t="s">
        <v>669</v>
      </c>
      <c r="G343">
        <f>IF(ISNUMBER(Compressão!$E$21),Compressão!$E$21,"")</f>
        <v>14.8</v>
      </c>
      <c r="H343">
        <f>BD_Limites!$E$10</f>
        <v>15</v>
      </c>
      <c r="I343">
        <f>IF(OR(G343="",H343=""),"",G343-H343)</f>
        <v>-0.1999999999999993</v>
      </c>
      <c r="J343">
        <f>BD_Limites!$F$10</f>
        <v>13</v>
      </c>
      <c r="K343">
        <f>BD_Limites!$G$10</f>
        <v>17</v>
      </c>
      <c r="M343" t="str">
        <f>IF(G343="","",IF(AND(G343&gt;=J343,G343&lt;=K343),"Conforme","Não conforme"))</f>
        <v>Conforme</v>
      </c>
      <c r="N343" t="str">
        <f>IF(Compressão!$W$21&amp;""="","",TRIM(Compressão!$W$21&amp;""))</f>
        <v/>
      </c>
      <c r="Q343" t="s">
        <v>721</v>
      </c>
    </row>
    <row r="344">
      <c r="A344" t="s">
        <v>662</v>
      </c>
      <c r="B344" t="s">
        <v>654</v>
      </c>
      <c r="C344" s="912">
        <f>IF(N(Compressão!$B$21)&gt;0,Compressão!$B$21,"")</f>
        <v>46279</v>
      </c>
      <c r="D344" t="s">
        <v>671</v>
      </c>
      <c r="E344" t="s">
        <v>709</v>
      </c>
      <c r="F344" t="s">
        <v>665</v>
      </c>
      <c r="G344">
        <f>IF(ISNUMBER(Compressão!$F$21),Compressão!$F$21,"")</f>
        <v>300</v>
      </c>
      <c r="H344">
        <f>BD_Limites!$E$9</f>
        <v>310</v>
      </c>
      <c r="I344">
        <f>IF(OR(G344="",H344=""),"",G344-H344)</f>
        <v>-10</v>
      </c>
      <c r="L344">
        <f>BD_Limites!$H$9</f>
        <v>20</v>
      </c>
      <c r="M344" t="str">
        <f>IF(I344="","",IF(ROUND(ABS(I344),6)&lt;=L344,"Conforme","Não conforme"))</f>
        <v>Conforme</v>
      </c>
      <c r="N344" t="str">
        <f>IF(Compressão!$W$21&amp;""="","",TRIM(Compressão!$W$21&amp;""))</f>
        <v/>
      </c>
      <c r="P344" t="str">
        <f>IF(ISTEXT(Compressão!$F$21),TRIM(Compressão!$F$21),"")&amp;IF(Compressão!$X$21&amp;""="","",IF(ISTEXT(Compressão!$F$21)," - ","")&amp;TRIM(Compressão!$X$21&amp;""))</f>
        <v/>
      </c>
      <c r="Q344" t="s">
        <v>722</v>
      </c>
    </row>
    <row r="345">
      <c r="A345" t="s">
        <v>662</v>
      </c>
      <c r="B345" t="s">
        <v>667</v>
      </c>
      <c r="C345" s="912">
        <f>IF(N(Compressão!$B$21)&gt;0,Compressão!$B$21,"")</f>
        <v>46279</v>
      </c>
      <c r="D345" t="s">
        <v>671</v>
      </c>
      <c r="E345" t="s">
        <v>711</v>
      </c>
      <c r="F345" t="s">
        <v>669</v>
      </c>
      <c r="G345">
        <f>IF(ISNUMBER(Compressão!$H$21),Compressão!$H$21,"")</f>
        <v>16.5</v>
      </c>
      <c r="H345">
        <f>BD_Limites!$E$10</f>
        <v>15</v>
      </c>
      <c r="I345">
        <f>IF(OR(G345="",H345=""),"",G345-H345)</f>
        <v>1.5</v>
      </c>
      <c r="J345">
        <f>BD_Limites!$F$10</f>
        <v>13</v>
      </c>
      <c r="K345">
        <f>BD_Limites!$G$10</f>
        <v>17</v>
      </c>
      <c r="M345" t="str">
        <f>IF(G345="","",IF(AND(G345&gt;=J345,G345&lt;=K345),"Conforme","Não conforme"))</f>
        <v>Conforme</v>
      </c>
      <c r="N345" t="str">
        <f>IF(Compressão!$W$21&amp;""="","",TRIM(Compressão!$W$21&amp;""))</f>
        <v/>
      </c>
      <c r="Q345" t="s">
        <v>723</v>
      </c>
    </row>
    <row r="346">
      <c r="A346" t="s">
        <v>662</v>
      </c>
      <c r="B346" t="s">
        <v>654</v>
      </c>
      <c r="C346" s="912">
        <f>IF(N(Compressão!$B$21)&gt;0,Compressão!$B$21,"")</f>
        <v>46279</v>
      </c>
      <c r="D346" t="s">
        <v>674</v>
      </c>
      <c r="E346" t="s">
        <v>709</v>
      </c>
      <c r="F346" t="s">
        <v>665</v>
      </c>
      <c r="G346">
        <f>IF(ISNUMBER(Compressão!$I$21),Compressão!$I$21,"")</f>
        <v>307</v>
      </c>
      <c r="H346">
        <f>BD_Limites!$E$9</f>
        <v>310</v>
      </c>
      <c r="I346">
        <f>IF(OR(G346="",H346=""),"",G346-H346)</f>
        <v>-3</v>
      </c>
      <c r="L346">
        <f>BD_Limites!$H$9</f>
        <v>20</v>
      </c>
      <c r="M346" t="str">
        <f>IF(I346="","",IF(ROUND(ABS(I346),6)&lt;=L346,"Conforme","Não conforme"))</f>
        <v>Conforme</v>
      </c>
      <c r="N346" t="str">
        <f>IF(Compressão!$W$21&amp;""="","",TRIM(Compressão!$W$21&amp;""))</f>
        <v/>
      </c>
      <c r="P346" t="str">
        <f>IF(ISTEXT(Compressão!$I$21),TRIM(Compressão!$I$21),"")&amp;IF(Compressão!$X$21&amp;""="","",IF(ISTEXT(Compressão!$I$21)," - ","")&amp;TRIM(Compressão!$X$21&amp;""))</f>
        <v/>
      </c>
      <c r="Q346" t="s">
        <v>724</v>
      </c>
    </row>
    <row r="347">
      <c r="A347" t="s">
        <v>662</v>
      </c>
      <c r="B347" t="s">
        <v>667</v>
      </c>
      <c r="C347" s="912">
        <f>IF(N(Compressão!$B$21)&gt;0,Compressão!$B$21,"")</f>
        <v>46279</v>
      </c>
      <c r="D347" t="s">
        <v>674</v>
      </c>
      <c r="E347" t="s">
        <v>711</v>
      </c>
      <c r="F347" t="s">
        <v>669</v>
      </c>
      <c r="G347">
        <f>IF(ISNUMBER(Compressão!$K$21),Compressão!$K$21,"")</f>
        <v>15.8</v>
      </c>
      <c r="H347">
        <f>BD_Limites!$E$10</f>
        <v>15</v>
      </c>
      <c r="I347">
        <f>IF(OR(G347="",H347=""),"",G347-H347)</f>
        <v>0.8000000000000007</v>
      </c>
      <c r="J347">
        <f>BD_Limites!$F$10</f>
        <v>13</v>
      </c>
      <c r="K347">
        <f>BD_Limites!$G$10</f>
        <v>17</v>
      </c>
      <c r="M347" t="str">
        <f>IF(G347="","",IF(AND(G347&gt;=J347,G347&lt;=K347),"Conforme","Não conforme"))</f>
        <v>Conforme</v>
      </c>
      <c r="N347" t="str">
        <f>IF(Compressão!$W$21&amp;""="","",TRIM(Compressão!$W$21&amp;""))</f>
        <v/>
      </c>
      <c r="Q347" t="s">
        <v>725</v>
      </c>
    </row>
    <row r="348">
      <c r="A348" t="s">
        <v>662</v>
      </c>
      <c r="B348" t="s">
        <v>654</v>
      </c>
      <c r="C348" s="912">
        <f>IF(N(Compressão!$B$21)&gt;0,Compressão!$B$21,"")</f>
        <v>46279</v>
      </c>
      <c r="D348" t="s">
        <v>677</v>
      </c>
      <c r="E348" t="s">
        <v>709</v>
      </c>
      <c r="F348" t="s">
        <v>665</v>
      </c>
      <c r="G348" t="str">
        <f>IF(ISNUMBER(Compressão!$L$21),Compressão!$L$21,"")</f>
        <v/>
      </c>
      <c r="H348">
        <f>BD_Limites!$E$9</f>
        <v>310</v>
      </c>
      <c r="I348" t="str">
        <f>IF(OR(G348="",H348=""),"",G348-H348)</f>
        <v/>
      </c>
      <c r="L348">
        <f>BD_Limites!$H$9</f>
        <v>20</v>
      </c>
      <c r="M348" t="str">
        <f>IF(I348="","",IF(ROUND(ABS(I348),6)&lt;=L348,"Conforme","Não conforme"))</f>
        <v/>
      </c>
      <c r="N348" t="str">
        <f>IF(Compressão!$W$21&amp;""="","",TRIM(Compressão!$W$21&amp;""))</f>
        <v/>
      </c>
      <c r="P348" t="str">
        <f>IF(ISTEXT(Compressão!$L$21),TRIM(Compressão!$L$21),"")&amp;IF(Compressão!$X$21&amp;""="","",IF(ISTEXT(Compressão!$L$21)," - ","")&amp;TRIM(Compressão!$X$21&amp;""))</f>
        <v/>
      </c>
      <c r="Q348" t="s">
        <v>726</v>
      </c>
    </row>
    <row r="349">
      <c r="A349" t="s">
        <v>662</v>
      </c>
      <c r="B349" t="s">
        <v>654</v>
      </c>
      <c r="C349" s="912">
        <f>IF(N(Compressão!$B$21)&gt;0,Compressão!$B$21,"")</f>
        <v>46279</v>
      </c>
      <c r="D349" t="s">
        <v>679</v>
      </c>
      <c r="E349" t="s">
        <v>709</v>
      </c>
      <c r="F349" t="s">
        <v>665</v>
      </c>
      <c r="G349">
        <f>IF(ISNUMBER(Compressão!$N$21),Compressão!$N$21,"")</f>
        <v>288</v>
      </c>
      <c r="H349">
        <f>BD_Limites!$E$9</f>
        <v>310</v>
      </c>
      <c r="I349">
        <f>IF(OR(G349="",H349=""),"",G349-H349)</f>
        <v>-22</v>
      </c>
      <c r="L349">
        <f>BD_Limites!$H$9</f>
        <v>20</v>
      </c>
      <c r="M349" t="str">
        <f>IF(I349="","",IF(ROUND(ABS(I349),6)&lt;=L349,"Conforme","Não conforme"))</f>
        <v>Não conforme</v>
      </c>
      <c r="N349" t="str">
        <f>IF(Compressão!$W$21&amp;""="","",TRIM(Compressão!$W$21&amp;""))</f>
        <v/>
      </c>
      <c r="P349" t="str">
        <f>IF(ISTEXT(Compressão!$N$21),TRIM(Compressão!$N$21),"")&amp;IF(Compressão!$X$21&amp;""="","",IF(ISTEXT(Compressão!$N$21)," - ","")&amp;TRIM(Compressão!$X$21&amp;""))</f>
        <v/>
      </c>
      <c r="Q349" t="s">
        <v>727</v>
      </c>
    </row>
    <row r="350">
      <c r="A350" t="s">
        <v>662</v>
      </c>
      <c r="B350" t="s">
        <v>667</v>
      </c>
      <c r="C350" s="912">
        <f>IF(N(Compressão!$B$21)&gt;0,Compressão!$B$21,"")</f>
        <v>46279</v>
      </c>
      <c r="D350" t="s">
        <v>679</v>
      </c>
      <c r="E350" t="s">
        <v>711</v>
      </c>
      <c r="F350" t="s">
        <v>669</v>
      </c>
      <c r="G350" t="str">
        <f>IF(ISNUMBER(Compressão!$P$21),Compressão!$P$21,"")</f>
        <v/>
      </c>
      <c r="H350">
        <f>BD_Limites!$E$10</f>
        <v>15</v>
      </c>
      <c r="I350" t="str">
        <f>IF(OR(G350="",H350=""),"",G350-H350)</f>
        <v/>
      </c>
      <c r="J350">
        <f>BD_Limites!$F$10</f>
        <v>13</v>
      </c>
      <c r="K350">
        <f>BD_Limites!$G$10</f>
        <v>17</v>
      </c>
      <c r="M350" t="str">
        <f>IF(G350="","",IF(AND(G350&gt;=J350,G350&lt;=K350),"Conforme","Não conforme"))</f>
        <v/>
      </c>
      <c r="N350" t="str">
        <f>IF(Compressão!$W$21&amp;""="","",TRIM(Compressão!$W$21&amp;""))</f>
        <v/>
      </c>
      <c r="Q350" t="s">
        <v>728</v>
      </c>
    </row>
    <row r="351">
      <c r="A351" t="s">
        <v>662</v>
      </c>
      <c r="B351" t="s">
        <v>654</v>
      </c>
      <c r="C351" s="912">
        <f>IF(N(Compressão!$B$22)&gt;0,Compressão!$B$22,"")</f>
        <v>46286</v>
      </c>
      <c r="D351" t="s">
        <v>663</v>
      </c>
      <c r="E351" t="s">
        <v>709</v>
      </c>
      <c r="F351" t="s">
        <v>665</v>
      </c>
      <c r="G351">
        <f>IF(ISNUMBER(Compressão!$C$22),Compressão!$C$22,"")</f>
        <v>299</v>
      </c>
      <c r="H351">
        <f>BD_Limites!$E$9</f>
        <v>310</v>
      </c>
      <c r="I351">
        <f>IF(OR(G351="",H351=""),"",G351-H351)</f>
        <v>-11</v>
      </c>
      <c r="L351">
        <f>BD_Limites!$H$9</f>
        <v>20</v>
      </c>
      <c r="M351" t="str">
        <f>IF(I351="","",IF(ROUND(ABS(I351),6)&lt;=L351,"Conforme","Não conforme"))</f>
        <v>Conforme</v>
      </c>
      <c r="N351" t="str">
        <f>IF(Compressão!$W$22&amp;""="","",TRIM(Compressão!$W$22&amp;""))</f>
        <v>Leonardo</v>
      </c>
      <c r="P351" t="str">
        <f>IF(ISTEXT(Compressão!$C$22),TRIM(Compressão!$C$22),"")&amp;IF(Compressão!$X$22&amp;""="","",IF(ISTEXT(Compressão!$C$22)," - ","")&amp;TRIM(Compressão!$X$22&amp;""))</f>
        <v/>
      </c>
      <c r="Q351" t="s">
        <v>729</v>
      </c>
    </row>
    <row r="352">
      <c r="A352" t="s">
        <v>662</v>
      </c>
      <c r="B352" t="s">
        <v>667</v>
      </c>
      <c r="C352" s="912">
        <f>IF(N(Compressão!$B$22)&gt;0,Compressão!$B$22,"")</f>
        <v>46286</v>
      </c>
      <c r="D352" t="s">
        <v>663</v>
      </c>
      <c r="E352" t="s">
        <v>711</v>
      </c>
      <c r="F352" t="s">
        <v>669</v>
      </c>
      <c r="G352">
        <f>IF(ISNUMBER(Compressão!$E$22),Compressão!$E$22,"")</f>
        <v>14.93</v>
      </c>
      <c r="H352">
        <f>BD_Limites!$E$10</f>
        <v>15</v>
      </c>
      <c r="I352">
        <f>IF(OR(G352="",H352=""),"",G352-H352)</f>
        <v>-0.07000000000000028</v>
      </c>
      <c r="J352">
        <f>BD_Limites!$F$10</f>
        <v>13</v>
      </c>
      <c r="K352">
        <f>BD_Limites!$G$10</f>
        <v>17</v>
      </c>
      <c r="M352" t="str">
        <f>IF(G352="","",IF(AND(G352&gt;=J352,G352&lt;=K352),"Conforme","Não conforme"))</f>
        <v>Conforme</v>
      </c>
      <c r="N352" t="str">
        <f>IF(Compressão!$W$22&amp;""="","",TRIM(Compressão!$W$22&amp;""))</f>
        <v>Leonardo</v>
      </c>
      <c r="Q352" t="s">
        <v>730</v>
      </c>
    </row>
    <row r="353">
      <c r="A353" t="s">
        <v>662</v>
      </c>
      <c r="B353" t="s">
        <v>654</v>
      </c>
      <c r="C353" s="912">
        <f>IF(N(Compressão!$B$22)&gt;0,Compressão!$B$22,"")</f>
        <v>46286</v>
      </c>
      <c r="D353" t="s">
        <v>671</v>
      </c>
      <c r="E353" t="s">
        <v>709</v>
      </c>
      <c r="F353" t="s">
        <v>665</v>
      </c>
      <c r="G353">
        <f>IF(ISNUMBER(Compressão!$F$22),Compressão!$F$22,"")</f>
        <v>312</v>
      </c>
      <c r="H353">
        <f>BD_Limites!$E$9</f>
        <v>310</v>
      </c>
      <c r="I353">
        <f>IF(OR(G353="",H353=""),"",G353-H353)</f>
        <v>2</v>
      </c>
      <c r="L353">
        <f>BD_Limites!$H$9</f>
        <v>20</v>
      </c>
      <c r="M353" t="str">
        <f>IF(I353="","",IF(ROUND(ABS(I353),6)&lt;=L353,"Conforme","Não conforme"))</f>
        <v>Conforme</v>
      </c>
      <c r="N353" t="str">
        <f>IF(Compressão!$W$22&amp;""="","",TRIM(Compressão!$W$22&amp;""))</f>
        <v>Leonardo</v>
      </c>
      <c r="P353" t="str">
        <f>IF(ISTEXT(Compressão!$F$22),TRIM(Compressão!$F$22),"")&amp;IF(Compressão!$X$22&amp;""="","",IF(ISTEXT(Compressão!$F$22)," - ","")&amp;TRIM(Compressão!$X$22&amp;""))</f>
        <v/>
      </c>
      <c r="Q353" t="s">
        <v>731</v>
      </c>
    </row>
    <row r="354">
      <c r="A354" t="s">
        <v>662</v>
      </c>
      <c r="B354" t="s">
        <v>667</v>
      </c>
      <c r="C354" s="912">
        <f>IF(N(Compressão!$B$22)&gt;0,Compressão!$B$22,"")</f>
        <v>46286</v>
      </c>
      <c r="D354" t="s">
        <v>671</v>
      </c>
      <c r="E354" t="s">
        <v>711</v>
      </c>
      <c r="F354" t="s">
        <v>669</v>
      </c>
      <c r="G354">
        <f>IF(ISNUMBER(Compressão!$H$22),Compressão!$H$22,"")</f>
        <v>16.05</v>
      </c>
      <c r="H354">
        <f>BD_Limites!$E$10</f>
        <v>15</v>
      </c>
      <c r="I354">
        <f>IF(OR(G354="",H354=""),"",G354-H354)</f>
        <v>1.0500000000000007</v>
      </c>
      <c r="J354">
        <f>BD_Limites!$F$10</f>
        <v>13</v>
      </c>
      <c r="K354">
        <f>BD_Limites!$G$10</f>
        <v>17</v>
      </c>
      <c r="M354" t="str">
        <f>IF(G354="","",IF(AND(G354&gt;=J354,G354&lt;=K354),"Conforme","Não conforme"))</f>
        <v>Conforme</v>
      </c>
      <c r="N354" t="str">
        <f>IF(Compressão!$W$22&amp;""="","",TRIM(Compressão!$W$22&amp;""))</f>
        <v>Leonardo</v>
      </c>
      <c r="Q354" t="s">
        <v>732</v>
      </c>
    </row>
    <row r="355">
      <c r="A355" t="s">
        <v>662</v>
      </c>
      <c r="B355" t="s">
        <v>654</v>
      </c>
      <c r="C355" s="912">
        <f>IF(N(Compressão!$B$22)&gt;0,Compressão!$B$22,"")</f>
        <v>46286</v>
      </c>
      <c r="D355" t="s">
        <v>674</v>
      </c>
      <c r="E355" t="s">
        <v>709</v>
      </c>
      <c r="F355" t="s">
        <v>665</v>
      </c>
      <c r="G355">
        <f>IF(ISNUMBER(Compressão!$I$22),Compressão!$I$22,"")</f>
        <v>306</v>
      </c>
      <c r="H355">
        <f>BD_Limites!$E$9</f>
        <v>310</v>
      </c>
      <c r="I355">
        <f>IF(OR(G355="",H355=""),"",G355-H355)</f>
        <v>-4</v>
      </c>
      <c r="L355">
        <f>BD_Limites!$H$9</f>
        <v>20</v>
      </c>
      <c r="M355" t="str">
        <f>IF(I355="","",IF(ROUND(ABS(I355),6)&lt;=L355,"Conforme","Não conforme"))</f>
        <v>Conforme</v>
      </c>
      <c r="N355" t="str">
        <f>IF(Compressão!$W$22&amp;""="","",TRIM(Compressão!$W$22&amp;""))</f>
        <v>Leonardo</v>
      </c>
      <c r="P355" t="str">
        <f>IF(ISTEXT(Compressão!$I$22),TRIM(Compressão!$I$22),"")&amp;IF(Compressão!$X$22&amp;""="","",IF(ISTEXT(Compressão!$I$22)," - ","")&amp;TRIM(Compressão!$X$22&amp;""))</f>
        <v/>
      </c>
      <c r="Q355" t="s">
        <v>733</v>
      </c>
    </row>
    <row r="356">
      <c r="A356" t="s">
        <v>662</v>
      </c>
      <c r="B356" t="s">
        <v>667</v>
      </c>
      <c r="C356" s="912">
        <f>IF(N(Compressão!$B$22)&gt;0,Compressão!$B$22,"")</f>
        <v>46286</v>
      </c>
      <c r="D356" t="s">
        <v>674</v>
      </c>
      <c r="E356" t="s">
        <v>711</v>
      </c>
      <c r="F356" t="s">
        <v>669</v>
      </c>
      <c r="G356">
        <f>IF(ISNUMBER(Compressão!$K$22),Compressão!$K$22,"")</f>
        <v>16.11</v>
      </c>
      <c r="H356">
        <f>BD_Limites!$E$10</f>
        <v>15</v>
      </c>
      <c r="I356">
        <f>IF(OR(G356="",H356=""),"",G356-H356)</f>
        <v>1.1099999999999994</v>
      </c>
      <c r="J356">
        <f>BD_Limites!$F$10</f>
        <v>13</v>
      </c>
      <c r="K356">
        <f>BD_Limites!$G$10</f>
        <v>17</v>
      </c>
      <c r="M356" t="str">
        <f>IF(G356="","",IF(AND(G356&gt;=J356,G356&lt;=K356),"Conforme","Não conforme"))</f>
        <v>Conforme</v>
      </c>
      <c r="N356" t="str">
        <f>IF(Compressão!$W$22&amp;""="","",TRIM(Compressão!$W$22&amp;""))</f>
        <v>Leonardo</v>
      </c>
      <c r="Q356" t="s">
        <v>734</v>
      </c>
    </row>
    <row r="357">
      <c r="A357" t="s">
        <v>662</v>
      </c>
      <c r="B357" t="s">
        <v>654</v>
      </c>
      <c r="C357" s="912">
        <f>IF(N(Compressão!$B$22)&gt;0,Compressão!$B$22,"")</f>
        <v>46286</v>
      </c>
      <c r="D357" t="s">
        <v>677</v>
      </c>
      <c r="E357" t="s">
        <v>709</v>
      </c>
      <c r="F357" t="s">
        <v>665</v>
      </c>
      <c r="G357" t="str">
        <f>IF(ISNUMBER(Compressão!$L$22),Compressão!$L$22,"")</f>
        <v/>
      </c>
      <c r="H357">
        <f>BD_Limites!$E$9</f>
        <v>310</v>
      </c>
      <c r="I357" t="str">
        <f>IF(OR(G357="",H357=""),"",G357-H357)</f>
        <v/>
      </c>
      <c r="L357">
        <f>BD_Limites!$H$9</f>
        <v>20</v>
      </c>
      <c r="M357" t="str">
        <f>IF(I357="","",IF(ROUND(ABS(I357),6)&lt;=L357,"Conforme","Não conforme"))</f>
        <v/>
      </c>
      <c r="N357" t="str">
        <f>IF(Compressão!$W$22&amp;""="","",TRIM(Compressão!$W$22&amp;""))</f>
        <v>Leonardo</v>
      </c>
      <c r="P357" t="str">
        <f>IF(ISTEXT(Compressão!$L$22),TRIM(Compressão!$L$22),"")&amp;IF(Compressão!$X$22&amp;""="","",IF(ISTEXT(Compressão!$L$22)," - ","")&amp;TRIM(Compressão!$X$22&amp;""))</f>
        <v/>
      </c>
      <c r="Q357" t="s">
        <v>735</v>
      </c>
    </row>
    <row r="358">
      <c r="A358" t="s">
        <v>662</v>
      </c>
      <c r="B358" t="s">
        <v>654</v>
      </c>
      <c r="C358" s="912">
        <f>IF(N(Compressão!$B$22)&gt;0,Compressão!$B$22,"")</f>
        <v>46286</v>
      </c>
      <c r="D358" t="s">
        <v>679</v>
      </c>
      <c r="E358" t="s">
        <v>709</v>
      </c>
      <c r="F358" t="s">
        <v>665</v>
      </c>
      <c r="G358">
        <f>IF(ISNUMBER(Compressão!$N$22),Compressão!$N$22,"")</f>
        <v>298</v>
      </c>
      <c r="H358">
        <f>BD_Limites!$E$9</f>
        <v>310</v>
      </c>
      <c r="I358">
        <f>IF(OR(G358="",H358=""),"",G358-H358)</f>
        <v>-12</v>
      </c>
      <c r="L358">
        <f>BD_Limites!$H$9</f>
        <v>20</v>
      </c>
      <c r="M358" t="str">
        <f>IF(I358="","",IF(ROUND(ABS(I358),6)&lt;=L358,"Conforme","Não conforme"))</f>
        <v>Conforme</v>
      </c>
      <c r="N358" t="str">
        <f>IF(Compressão!$W$22&amp;""="","",TRIM(Compressão!$W$22&amp;""))</f>
        <v>Leonardo</v>
      </c>
      <c r="P358" t="str">
        <f>IF(ISTEXT(Compressão!$N$22),TRIM(Compressão!$N$22),"")&amp;IF(Compressão!$X$22&amp;""="","",IF(ISTEXT(Compressão!$N$22)," - ","")&amp;TRIM(Compressão!$X$22&amp;""))</f>
        <v/>
      </c>
      <c r="Q358" t="s">
        <v>736</v>
      </c>
    </row>
    <row r="359">
      <c r="A359" t="s">
        <v>662</v>
      </c>
      <c r="B359" t="s">
        <v>667</v>
      </c>
      <c r="C359" s="912">
        <f>IF(N(Compressão!$B$22)&gt;0,Compressão!$B$22,"")</f>
        <v>46286</v>
      </c>
      <c r="D359" t="s">
        <v>679</v>
      </c>
      <c r="E359" t="s">
        <v>711</v>
      </c>
      <c r="F359" t="s">
        <v>669</v>
      </c>
      <c r="G359" t="str">
        <f>IF(ISNUMBER(Compressão!$P$22),Compressão!$P$22,"")</f>
        <v/>
      </c>
      <c r="H359">
        <f>BD_Limites!$E$10</f>
        <v>15</v>
      </c>
      <c r="I359" t="str">
        <f>IF(OR(G359="",H359=""),"",G359-H359)</f>
        <v/>
      </c>
      <c r="J359">
        <f>BD_Limites!$F$10</f>
        <v>13</v>
      </c>
      <c r="K359">
        <f>BD_Limites!$G$10</f>
        <v>17</v>
      </c>
      <c r="M359" t="str">
        <f>IF(G359="","",IF(AND(G359&gt;=J359,G359&lt;=K359),"Conforme","Não conforme"))</f>
        <v/>
      </c>
      <c r="N359" t="str">
        <f>IF(Compressão!$W$22&amp;""="","",TRIM(Compressão!$W$22&amp;""))</f>
        <v>Leonardo</v>
      </c>
      <c r="Q359" t="s">
        <v>737</v>
      </c>
    </row>
    <row r="360">
      <c r="A360" t="s">
        <v>662</v>
      </c>
      <c r="B360" t="s">
        <v>654</v>
      </c>
      <c r="C360" s="912" t="str">
        <f>IF(N(Compressão!$B$23)&gt;0,Compressão!$B$23,"")</f>
        <v/>
      </c>
      <c r="D360" t="s">
        <v>663</v>
      </c>
      <c r="E360" t="s">
        <v>709</v>
      </c>
      <c r="F360" t="s">
        <v>665</v>
      </c>
      <c r="G360" t="str">
        <f>IF(ISNUMBER(Compressão!$C$23),Compressão!$C$23,"")</f>
        <v/>
      </c>
      <c r="H360">
        <f>BD_Limites!$E$9</f>
        <v>310</v>
      </c>
      <c r="I360" t="str">
        <f>IF(OR(G360="",H360=""),"",G360-H360)</f>
        <v/>
      </c>
      <c r="L360">
        <f>BD_Limites!$H$9</f>
        <v>20</v>
      </c>
      <c r="M360" t="str">
        <f>IF(I360="","",IF(ROUND(ABS(I360),6)&lt;=L360,"Conforme","Não conforme"))</f>
        <v/>
      </c>
      <c r="N360" t="str">
        <f>IF(Compressão!$W$23&amp;""="","",TRIM(Compressão!$W$23&amp;""))</f>
        <v/>
      </c>
      <c r="P360" t="str">
        <f>IF(ISTEXT(Compressão!$C$23),TRIM(Compressão!$C$23),"")&amp;IF(Compressão!$X$23&amp;""="","",IF(ISTEXT(Compressão!$C$23)," - ","")&amp;TRIM(Compressão!$X$23&amp;""))</f>
        <v/>
      </c>
      <c r="Q360" t="s">
        <v>738</v>
      </c>
    </row>
    <row r="361">
      <c r="A361" t="s">
        <v>662</v>
      </c>
      <c r="B361" t="s">
        <v>667</v>
      </c>
      <c r="C361" s="912" t="str">
        <f>IF(N(Compressão!$B$23)&gt;0,Compressão!$B$23,"")</f>
        <v/>
      </c>
      <c r="D361" t="s">
        <v>663</v>
      </c>
      <c r="E361" t="s">
        <v>711</v>
      </c>
      <c r="F361" t="s">
        <v>669</v>
      </c>
      <c r="G361" t="str">
        <f>IF(ISNUMBER(Compressão!$E$23),Compressão!$E$23,"")</f>
        <v/>
      </c>
      <c r="H361">
        <f>BD_Limites!$E$10</f>
        <v>15</v>
      </c>
      <c r="I361" t="str">
        <f>IF(OR(G361="",H361=""),"",G361-H361)</f>
        <v/>
      </c>
      <c r="J361">
        <f>BD_Limites!$F$10</f>
        <v>13</v>
      </c>
      <c r="K361">
        <f>BD_Limites!$G$10</f>
        <v>17</v>
      </c>
      <c r="M361" t="str">
        <f>IF(G361="","",IF(AND(G361&gt;=J361,G361&lt;=K361),"Conforme","Não conforme"))</f>
        <v/>
      </c>
      <c r="N361" t="str">
        <f>IF(Compressão!$W$23&amp;""="","",TRIM(Compressão!$W$23&amp;""))</f>
        <v/>
      </c>
      <c r="Q361" t="s">
        <v>739</v>
      </c>
    </row>
    <row r="362">
      <c r="A362" t="s">
        <v>662</v>
      </c>
      <c r="B362" t="s">
        <v>654</v>
      </c>
      <c r="C362" s="912" t="str">
        <f>IF(N(Compressão!$B$23)&gt;0,Compressão!$B$23,"")</f>
        <v/>
      </c>
      <c r="D362" t="s">
        <v>671</v>
      </c>
      <c r="E362" t="s">
        <v>709</v>
      </c>
      <c r="F362" t="s">
        <v>665</v>
      </c>
      <c r="G362" t="str">
        <f>IF(ISNUMBER(Compressão!$F$23),Compressão!$F$23,"")</f>
        <v/>
      </c>
      <c r="H362">
        <f>BD_Limites!$E$9</f>
        <v>310</v>
      </c>
      <c r="I362" t="str">
        <f>IF(OR(G362="",H362=""),"",G362-H362)</f>
        <v/>
      </c>
      <c r="L362">
        <f>BD_Limites!$H$9</f>
        <v>20</v>
      </c>
      <c r="M362" t="str">
        <f>IF(I362="","",IF(ROUND(ABS(I362),6)&lt;=L362,"Conforme","Não conforme"))</f>
        <v/>
      </c>
      <c r="N362" t="str">
        <f>IF(Compressão!$W$23&amp;""="","",TRIM(Compressão!$W$23&amp;""))</f>
        <v/>
      </c>
      <c r="P362" t="str">
        <f>IF(ISTEXT(Compressão!$F$23),TRIM(Compressão!$F$23),"")&amp;IF(Compressão!$X$23&amp;""="","",IF(ISTEXT(Compressão!$F$23)," - ","")&amp;TRIM(Compressão!$X$23&amp;""))</f>
        <v/>
      </c>
      <c r="Q362" t="s">
        <v>740</v>
      </c>
    </row>
    <row r="363">
      <c r="A363" t="s">
        <v>662</v>
      </c>
      <c r="B363" t="s">
        <v>667</v>
      </c>
      <c r="C363" s="912" t="str">
        <f>IF(N(Compressão!$B$23)&gt;0,Compressão!$B$23,"")</f>
        <v/>
      </c>
      <c r="D363" t="s">
        <v>671</v>
      </c>
      <c r="E363" t="s">
        <v>711</v>
      </c>
      <c r="F363" t="s">
        <v>669</v>
      </c>
      <c r="G363" t="str">
        <f>IF(ISNUMBER(Compressão!$H$23),Compressão!$H$23,"")</f>
        <v/>
      </c>
      <c r="H363">
        <f>BD_Limites!$E$10</f>
        <v>15</v>
      </c>
      <c r="I363" t="str">
        <f>IF(OR(G363="",H363=""),"",G363-H363)</f>
        <v/>
      </c>
      <c r="J363">
        <f>BD_Limites!$F$10</f>
        <v>13</v>
      </c>
      <c r="K363">
        <f>BD_Limites!$G$10</f>
        <v>17</v>
      </c>
      <c r="M363" t="str">
        <f>IF(G363="","",IF(AND(G363&gt;=J363,G363&lt;=K363),"Conforme","Não conforme"))</f>
        <v/>
      </c>
      <c r="N363" t="str">
        <f>IF(Compressão!$W$23&amp;""="","",TRIM(Compressão!$W$23&amp;""))</f>
        <v/>
      </c>
      <c r="Q363" t="s">
        <v>741</v>
      </c>
    </row>
    <row r="364">
      <c r="A364" t="s">
        <v>662</v>
      </c>
      <c r="B364" t="s">
        <v>654</v>
      </c>
      <c r="C364" s="912" t="str">
        <f>IF(N(Compressão!$B$23)&gt;0,Compressão!$B$23,"")</f>
        <v/>
      </c>
      <c r="D364" t="s">
        <v>674</v>
      </c>
      <c r="E364" t="s">
        <v>709</v>
      </c>
      <c r="F364" t="s">
        <v>665</v>
      </c>
      <c r="G364" t="str">
        <f>IF(ISNUMBER(Compressão!$I$23),Compressão!$I$23,"")</f>
        <v/>
      </c>
      <c r="H364">
        <f>BD_Limites!$E$9</f>
        <v>310</v>
      </c>
      <c r="I364" t="str">
        <f>IF(OR(G364="",H364=""),"",G364-H364)</f>
        <v/>
      </c>
      <c r="L364">
        <f>BD_Limites!$H$9</f>
        <v>20</v>
      </c>
      <c r="M364" t="str">
        <f>IF(I364="","",IF(ROUND(ABS(I364),6)&lt;=L364,"Conforme","Não conforme"))</f>
        <v/>
      </c>
      <c r="N364" t="str">
        <f>IF(Compressão!$W$23&amp;""="","",TRIM(Compressão!$W$23&amp;""))</f>
        <v/>
      </c>
      <c r="P364" t="str">
        <f>IF(ISTEXT(Compressão!$I$23),TRIM(Compressão!$I$23),"")&amp;IF(Compressão!$X$23&amp;""="","",IF(ISTEXT(Compressão!$I$23)," - ","")&amp;TRIM(Compressão!$X$23&amp;""))</f>
        <v/>
      </c>
      <c r="Q364" t="s">
        <v>742</v>
      </c>
    </row>
    <row r="365">
      <c r="A365" t="s">
        <v>662</v>
      </c>
      <c r="B365" t="s">
        <v>667</v>
      </c>
      <c r="C365" s="912" t="str">
        <f>IF(N(Compressão!$B$23)&gt;0,Compressão!$B$23,"")</f>
        <v/>
      </c>
      <c r="D365" t="s">
        <v>674</v>
      </c>
      <c r="E365" t="s">
        <v>711</v>
      </c>
      <c r="F365" t="s">
        <v>669</v>
      </c>
      <c r="G365" t="str">
        <f>IF(ISNUMBER(Compressão!$K$23),Compressão!$K$23,"")</f>
        <v/>
      </c>
      <c r="H365">
        <f>BD_Limites!$E$10</f>
        <v>15</v>
      </c>
      <c r="I365" t="str">
        <f>IF(OR(G365="",H365=""),"",G365-H365)</f>
        <v/>
      </c>
      <c r="J365">
        <f>BD_Limites!$F$10</f>
        <v>13</v>
      </c>
      <c r="K365">
        <f>BD_Limites!$G$10</f>
        <v>17</v>
      </c>
      <c r="M365" t="str">
        <f>IF(G365="","",IF(AND(G365&gt;=J365,G365&lt;=K365),"Conforme","Não conforme"))</f>
        <v/>
      </c>
      <c r="N365" t="str">
        <f>IF(Compressão!$W$23&amp;""="","",TRIM(Compressão!$W$23&amp;""))</f>
        <v/>
      </c>
      <c r="Q365" t="s">
        <v>743</v>
      </c>
    </row>
    <row r="366">
      <c r="A366" t="s">
        <v>662</v>
      </c>
      <c r="B366" t="s">
        <v>654</v>
      </c>
      <c r="C366" s="912" t="str">
        <f>IF(N(Compressão!$B$23)&gt;0,Compressão!$B$23,"")</f>
        <v/>
      </c>
      <c r="D366" t="s">
        <v>677</v>
      </c>
      <c r="E366" t="s">
        <v>709</v>
      </c>
      <c r="F366" t="s">
        <v>665</v>
      </c>
      <c r="G366" t="str">
        <f>IF(ISNUMBER(Compressão!$L$23),Compressão!$L$23,"")</f>
        <v/>
      </c>
      <c r="H366">
        <f>BD_Limites!$E$9</f>
        <v>310</v>
      </c>
      <c r="I366" t="str">
        <f>IF(OR(G366="",H366=""),"",G366-H366)</f>
        <v/>
      </c>
      <c r="L366">
        <f>BD_Limites!$H$9</f>
        <v>20</v>
      </c>
      <c r="M366" t="str">
        <f>IF(I366="","",IF(ROUND(ABS(I366),6)&lt;=L366,"Conforme","Não conforme"))</f>
        <v/>
      </c>
      <c r="N366" t="str">
        <f>IF(Compressão!$W$23&amp;""="","",TRIM(Compressão!$W$23&amp;""))</f>
        <v/>
      </c>
      <c r="P366" t="str">
        <f>IF(ISTEXT(Compressão!$L$23),TRIM(Compressão!$L$23),"")&amp;IF(Compressão!$X$23&amp;""="","",IF(ISTEXT(Compressão!$L$23)," - ","")&amp;TRIM(Compressão!$X$23&amp;""))</f>
        <v/>
      </c>
      <c r="Q366" t="s">
        <v>744</v>
      </c>
    </row>
    <row r="367">
      <c r="A367" t="s">
        <v>662</v>
      </c>
      <c r="B367" t="s">
        <v>654</v>
      </c>
      <c r="C367" s="912" t="str">
        <f>IF(N(Compressão!$B$23)&gt;0,Compressão!$B$23,"")</f>
        <v/>
      </c>
      <c r="D367" t="s">
        <v>679</v>
      </c>
      <c r="E367" t="s">
        <v>709</v>
      </c>
      <c r="F367" t="s">
        <v>665</v>
      </c>
      <c r="G367" t="str">
        <f>IF(ISNUMBER(Compressão!$N$23),Compressão!$N$23,"")</f>
        <v/>
      </c>
      <c r="H367">
        <f>BD_Limites!$E$9</f>
        <v>310</v>
      </c>
      <c r="I367" t="str">
        <f>IF(OR(G367="",H367=""),"",G367-H367)</f>
        <v/>
      </c>
      <c r="L367">
        <f>BD_Limites!$H$9</f>
        <v>20</v>
      </c>
      <c r="M367" t="str">
        <f>IF(I367="","",IF(ROUND(ABS(I367),6)&lt;=L367,"Conforme","Não conforme"))</f>
        <v/>
      </c>
      <c r="N367" t="str">
        <f>IF(Compressão!$W$23&amp;""="","",TRIM(Compressão!$W$23&amp;""))</f>
        <v/>
      </c>
      <c r="P367" t="str">
        <f>IF(ISTEXT(Compressão!$N$23),TRIM(Compressão!$N$23),"")&amp;IF(Compressão!$X$23&amp;""="","",IF(ISTEXT(Compressão!$N$23)," - ","")&amp;TRIM(Compressão!$X$23&amp;""))</f>
        <v/>
      </c>
      <c r="Q367" t="s">
        <v>745</v>
      </c>
    </row>
    <row r="368">
      <c r="A368" t="s">
        <v>662</v>
      </c>
      <c r="B368" t="s">
        <v>667</v>
      </c>
      <c r="C368" s="912" t="str">
        <f>IF(N(Compressão!$B$23)&gt;0,Compressão!$B$23,"")</f>
        <v/>
      </c>
      <c r="D368" t="s">
        <v>679</v>
      </c>
      <c r="E368" t="s">
        <v>711</v>
      </c>
      <c r="F368" t="s">
        <v>669</v>
      </c>
      <c r="G368" t="str">
        <f>IF(ISNUMBER(Compressão!$P$23),Compressão!$P$23,"")</f>
        <v/>
      </c>
      <c r="H368">
        <f>BD_Limites!$E$10</f>
        <v>15</v>
      </c>
      <c r="I368" t="str">
        <f>IF(OR(G368="",H368=""),"",G368-H368)</f>
        <v/>
      </c>
      <c r="J368">
        <f>BD_Limites!$F$10</f>
        <v>13</v>
      </c>
      <c r="K368">
        <f>BD_Limites!$G$10</f>
        <v>17</v>
      </c>
      <c r="M368" t="str">
        <f>IF(G368="","",IF(AND(G368&gt;=J368,G368&lt;=K368),"Conforme","Não conforme"))</f>
        <v/>
      </c>
      <c r="N368" t="str">
        <f>IF(Compressão!$W$23&amp;""="","",TRIM(Compressão!$W$23&amp;""))</f>
        <v/>
      </c>
      <c r="Q368" t="s">
        <v>746</v>
      </c>
    </row>
    <row r="369">
      <c r="A369" t="s">
        <v>747</v>
      </c>
      <c r="B369" t="s">
        <v>654</v>
      </c>
      <c r="C369" s="912">
        <f>IF(N(Granulometria!$G$7)&gt;0,Granulometria!$G$7,"")</f>
        <v>46279</v>
      </c>
      <c r="D369" t="s">
        <v>748</v>
      </c>
      <c r="E369" t="s">
        <v>749</v>
      </c>
      <c r="F369" t="s">
        <v>402</v>
      </c>
      <c r="G369">
        <f>IF(N(SUM(Granulometria!$C$12:$C$21))=0,"",SUM(Granulometria!$C$19:$C$21)/SUM(Granulometria!$C$12:$C$21)*100)</f>
        <v>1.6035780517072107</v>
      </c>
      <c r="H369">
        <f>IF(N(SUM(Granulometria!$F$12:$F$21))=0,"",SUM(Granulometria!$F$19:$F$21)/SUM(Granulometria!$F$12:$F$21)*100)</f>
        <v>1.5549715286903198</v>
      </c>
      <c r="I369">
        <f>IF(OR(G369="",H369=""),"",G369-H369)</f>
        <v>0.048606523016890835</v>
      </c>
      <c r="L369">
        <f>BD_Limites!$H$11</f>
        <v>0.3</v>
      </c>
      <c r="M369" t="str">
        <f>IF(I369="","",IF(ROUND(ABS(I369),6)&lt;=L369,"Conforme","Não conforme"))</f>
        <v>Conforme</v>
      </c>
      <c r="N369" t="str">
        <f>IF(Granulometria!$C$7&amp;""="","",TRIM(Granulometria!$C$7&amp;""))</f>
        <v>WESLEY</v>
      </c>
      <c r="Q369" t="s">
        <v>750</v>
      </c>
    </row>
    <row r="370">
      <c r="A370" t="s">
        <v>747</v>
      </c>
      <c r="B370" t="s">
        <v>654</v>
      </c>
      <c r="C370" s="912">
        <f>IF(N(Granulometria!$G$7)&gt;0,Granulometria!$G$7,"")</f>
        <v>46279</v>
      </c>
      <c r="D370" t="s">
        <v>748</v>
      </c>
      <c r="E370" t="s">
        <v>751</v>
      </c>
      <c r="F370" t="s">
        <v>752</v>
      </c>
      <c r="G370">
        <f>IF(N(Granulometria!$C$16)=0,"",(Granulometria!$C$14+Granulometria!$C$15)/Granulometria!$C$16)</f>
        <v>0.8294910830795998</v>
      </c>
      <c r="H370">
        <f>IF(N(Granulometria!$F$16)=0,"",(Granulometria!$F$14+Granulometria!$F$15)/Granulometria!$F$16)</f>
        <v>0.7956204379562044</v>
      </c>
      <c r="I370">
        <f>IF(OR(G370="",H370=""),"",G370-H370)</f>
        <v>0.03387064512339544</v>
      </c>
      <c r="L370">
        <f>BD_Limites!$H$12</f>
        <v>0.15</v>
      </c>
      <c r="M370" t="str">
        <f>IF(I370="","",IF(ROUND(ABS(I370),6)&lt;=L370,"Conforme","Não conforme"))</f>
        <v>Conforme</v>
      </c>
      <c r="N370" t="str">
        <f>IF(Granulometria!$C$7&amp;""="","",TRIM(Granulometria!$C$7&amp;""))</f>
        <v>WESLEY</v>
      </c>
      <c r="Q370" t="s">
        <v>750</v>
      </c>
    </row>
    <row r="371">
      <c r="A371" t="s">
        <v>747</v>
      </c>
      <c r="B371" t="s">
        <v>654</v>
      </c>
      <c r="C371" s="912">
        <f>IF(N(Granulometria!$G$7)&gt;0,Granulometria!$G$7,"")</f>
        <v>46279</v>
      </c>
      <c r="D371" t="s">
        <v>748</v>
      </c>
      <c r="E371" t="s">
        <v>753</v>
      </c>
      <c r="F371" t="s">
        <v>402</v>
      </c>
      <c r="G371">
        <f>IF(N(SUM(Granulometria!$C$12:$C$21))=0,"",SUM(Granulometria!$C$14:$C$15)/SUM(Granulometria!$C$12:$C$21)*100)</f>
        <v>41.60575979055307</v>
      </c>
      <c r="H371">
        <f>IF(N(SUM(Granulometria!$F$12:$F$21))=0,"",SUM(Granulometria!$F$14:$F$15)/SUM(Granulometria!$F$12:$F$21)*100)</f>
        <v>40.58256679807271</v>
      </c>
      <c r="I371">
        <f>IF(OR(G371="",H371=""),"",G371-H371)</f>
        <v>1.0231929924803609</v>
      </c>
      <c r="M371" t="str">
        <f>IF(G371="","","Informativo")</f>
        <v>Informativo</v>
      </c>
      <c r="N371" t="str">
        <f>IF(Granulometria!$C$7&amp;""="","",TRIM(Granulometria!$C$7&amp;""))</f>
        <v>WESLEY</v>
      </c>
      <c r="Q371" t="s">
        <v>750</v>
      </c>
    </row>
    <row r="372">
      <c r="A372" t="s">
        <v>747</v>
      </c>
      <c r="B372" t="s">
        <v>654</v>
      </c>
      <c r="C372" s="912">
        <f>IF(N(Granulometria!$G$7)&gt;0,Granulometria!$G$7,"")</f>
        <v>46279</v>
      </c>
      <c r="D372" t="s">
        <v>748</v>
      </c>
      <c r="E372" t="s">
        <v>754</v>
      </c>
      <c r="F372" t="s">
        <v>402</v>
      </c>
      <c r="G372">
        <f>IF(N(SUM(Granulometria!$C$12:$C$21))=0,"",SUM(Granulometria!$C$14:$C$16)/SUM(Granulometria!$C$12:$C$21)*100)</f>
        <v>91.76393585687794</v>
      </c>
      <c r="H372">
        <f>IF(N(SUM(Granulometria!$F$12:$F$21))=0,"",SUM(Granulometria!$F$14:$F$16)/SUM(Granulometria!$F$12:$F$21)*100)</f>
        <v>91.59001314060447</v>
      </c>
      <c r="I372">
        <f>IF(OR(G372="",H372=""),"",G372-H372)</f>
        <v>0.17392271627346645</v>
      </c>
      <c r="M372" t="str">
        <f>IF(G372="","","Informativo")</f>
        <v>Informativo</v>
      </c>
      <c r="N372" t="str">
        <f>IF(Granulometria!$C$7&amp;""="","",TRIM(Granulometria!$C$7&amp;""))</f>
        <v>WESLEY</v>
      </c>
      <c r="Q372" t="s">
        <v>750</v>
      </c>
    </row>
    <row r="373">
      <c r="A373" t="s">
        <v>747</v>
      </c>
      <c r="B373" t="s">
        <v>654</v>
      </c>
      <c r="C373" s="912">
        <f>IF(N(Granulometria!$G$7)&gt;0,Granulometria!$G$7,"")</f>
        <v>46279</v>
      </c>
      <c r="D373" t="s">
        <v>748</v>
      </c>
      <c r="E373" t="s">
        <v>755</v>
      </c>
      <c r="F373" t="s">
        <v>402</v>
      </c>
      <c r="G373">
        <f>IF(N(SUM(Granulometria!$C$12:$C$21))=0,"",SUM(Granulometria!$C$14:$C$17)/SUM(Granulometria!$C$12:$C$21)*100)</f>
        <v>96.01832660630522</v>
      </c>
      <c r="H373">
        <f>IF(N(SUM(Granulometria!$F$12:$F$21))=0,"",SUM(Granulometria!$F$14:$F$17)/SUM(Granulometria!$F$12:$F$21)*100)</f>
        <v>96.29872974156811</v>
      </c>
      <c r="I373">
        <f>IF(OR(G373="",H373=""),"",G373-H373)</f>
        <v>-0.28040313526288685</v>
      </c>
      <c r="M373" t="str">
        <f>IF(G373="","","Informativo")</f>
        <v>Informativo</v>
      </c>
      <c r="N373" t="str">
        <f>IF(Granulometria!$C$7&amp;""="","",TRIM(Granulometria!$C$7&amp;""))</f>
        <v>WESLEY</v>
      </c>
      <c r="Q373" t="s">
        <v>750</v>
      </c>
    </row>
    <row r="374">
      <c r="A374" t="s">
        <v>747</v>
      </c>
      <c r="B374" t="s">
        <v>654</v>
      </c>
      <c r="C374" s="912">
        <f>IF(N(Granulometria!$N$7)&gt;0,Granulometria!$N$7,"")</f>
        <v>46286</v>
      </c>
      <c r="D374" t="s">
        <v>748</v>
      </c>
      <c r="E374" t="s">
        <v>749</v>
      </c>
      <c r="F374" t="s">
        <v>402</v>
      </c>
      <c r="G374" t="str">
        <f>IF(N(SUM(Granulometria!$J$12:$J$21))=0,"",SUM(Granulometria!$J$19:$J$21)/SUM(Granulometria!$J$12:$J$21)*100)</f>
        <v/>
      </c>
      <c r="H374" t="str">
        <f>IF(N(SUM(Granulometria!$M$12:$M$21))=0,"",SUM(Granulometria!$M$19:$M$21)/SUM(Granulometria!$M$12:$M$21)*100)</f>
        <v/>
      </c>
      <c r="I374" t="str">
        <f>IF(OR(G374="",H374=""),"",G374-H374)</f>
        <v/>
      </c>
      <c r="L374">
        <f>BD_Limites!$H$11</f>
        <v>0.3</v>
      </c>
      <c r="M374" t="str">
        <f>IF(I374="","",IF(ROUND(ABS(I374),6)&lt;=L374,"Conforme","Não conforme"))</f>
        <v/>
      </c>
      <c r="N374" t="str">
        <f>IF(Granulometria!$J$7&amp;""="","",TRIM(Granulometria!$J$7&amp;""))</f>
        <v>Leonardo</v>
      </c>
      <c r="Q374" t="s">
        <v>756</v>
      </c>
    </row>
    <row r="375">
      <c r="A375" t="s">
        <v>747</v>
      </c>
      <c r="B375" t="s">
        <v>654</v>
      </c>
      <c r="C375" s="912">
        <f>IF(N(Granulometria!$N$7)&gt;0,Granulometria!$N$7,"")</f>
        <v>46286</v>
      </c>
      <c r="D375" t="s">
        <v>748</v>
      </c>
      <c r="E375" t="s">
        <v>751</v>
      </c>
      <c r="F375" t="s">
        <v>752</v>
      </c>
      <c r="G375" t="str">
        <f>IF(N(Granulometria!$J$16)=0,"",(Granulometria!$J$14+Granulometria!$J$15)/Granulometria!$J$16)</f>
        <v/>
      </c>
      <c r="H375" t="str">
        <f>IF(N(Granulometria!$M$16)=0,"",(Granulometria!$M$14+Granulometria!$M$15)/Granulometria!$M$16)</f>
        <v/>
      </c>
      <c r="I375" t="str">
        <f>IF(OR(G375="",H375=""),"",G375-H375)</f>
        <v/>
      </c>
      <c r="L375">
        <f>BD_Limites!$H$12</f>
        <v>0.15</v>
      </c>
      <c r="M375" t="str">
        <f>IF(I375="","",IF(ROUND(ABS(I375),6)&lt;=L375,"Conforme","Não conforme"))</f>
        <v/>
      </c>
      <c r="N375" t="str">
        <f>IF(Granulometria!$J$7&amp;""="","",TRIM(Granulometria!$J$7&amp;""))</f>
        <v>Leonardo</v>
      </c>
      <c r="Q375" t="s">
        <v>756</v>
      </c>
    </row>
    <row r="376">
      <c r="A376" t="s">
        <v>747</v>
      </c>
      <c r="B376" t="s">
        <v>654</v>
      </c>
      <c r="C376" s="912">
        <f>IF(N(Granulometria!$N$7)&gt;0,Granulometria!$N$7,"")</f>
        <v>46286</v>
      </c>
      <c r="D376" t="s">
        <v>748</v>
      </c>
      <c r="E376" t="s">
        <v>753</v>
      </c>
      <c r="F376" t="s">
        <v>402</v>
      </c>
      <c r="G376" t="str">
        <f>IF(N(SUM(Granulometria!$J$12:$J$21))=0,"",SUM(Granulometria!$J$14:$J$15)/SUM(Granulometria!$J$12:$J$21)*100)</f>
        <v/>
      </c>
      <c r="H376" t="str">
        <f>IF(N(SUM(Granulometria!$M$12:$M$21))=0,"",SUM(Granulometria!$M$14:$M$15)/SUM(Granulometria!$M$12:$M$21)*100)</f>
        <v/>
      </c>
      <c r="I376" t="str">
        <f>IF(OR(G376="",H376=""),"",G376-H376)</f>
        <v/>
      </c>
      <c r="M376" t="str">
        <f>IF(G376="","","Informativo")</f>
        <v/>
      </c>
      <c r="N376" t="str">
        <f>IF(Granulometria!$J$7&amp;""="","",TRIM(Granulometria!$J$7&amp;""))</f>
        <v>Leonardo</v>
      </c>
      <c r="Q376" t="s">
        <v>756</v>
      </c>
    </row>
    <row r="377">
      <c r="A377" t="s">
        <v>747</v>
      </c>
      <c r="B377" t="s">
        <v>654</v>
      </c>
      <c r="C377" s="912">
        <f>IF(N(Granulometria!$N$7)&gt;0,Granulometria!$N$7,"")</f>
        <v>46286</v>
      </c>
      <c r="D377" t="s">
        <v>748</v>
      </c>
      <c r="E377" t="s">
        <v>754</v>
      </c>
      <c r="F377" t="s">
        <v>402</v>
      </c>
      <c r="G377" t="str">
        <f>IF(N(SUM(Granulometria!$J$12:$J$21))=0,"",SUM(Granulometria!$J$14:$J$16)/SUM(Granulometria!$J$12:$J$21)*100)</f>
        <v/>
      </c>
      <c r="H377" t="str">
        <f>IF(N(SUM(Granulometria!$M$12:$M$21))=0,"",SUM(Granulometria!$M$14:$M$16)/SUM(Granulometria!$M$12:$M$21)*100)</f>
        <v/>
      </c>
      <c r="I377" t="str">
        <f>IF(OR(G377="",H377=""),"",G377-H377)</f>
        <v/>
      </c>
      <c r="M377" t="str">
        <f>IF(G377="","","Informativo")</f>
        <v/>
      </c>
      <c r="N377" t="str">
        <f>IF(Granulometria!$J$7&amp;""="","",TRIM(Granulometria!$J$7&amp;""))</f>
        <v>Leonardo</v>
      </c>
      <c r="Q377" t="s">
        <v>756</v>
      </c>
    </row>
    <row r="378">
      <c r="A378" t="s">
        <v>747</v>
      </c>
      <c r="B378" t="s">
        <v>654</v>
      </c>
      <c r="C378" s="912">
        <f>IF(N(Granulometria!$N$7)&gt;0,Granulometria!$N$7,"")</f>
        <v>46286</v>
      </c>
      <c r="D378" t="s">
        <v>748</v>
      </c>
      <c r="E378" t="s">
        <v>755</v>
      </c>
      <c r="F378" t="s">
        <v>402</v>
      </c>
      <c r="G378" t="str">
        <f>IF(N(SUM(Granulometria!$J$12:$J$21))=0,"",SUM(Granulometria!$J$14:$J$17)/SUM(Granulometria!$J$12:$J$21)*100)</f>
        <v/>
      </c>
      <c r="H378" t="str">
        <f>IF(N(SUM(Granulometria!$M$12:$M$21))=0,"",SUM(Granulometria!$M$14:$M$17)/SUM(Granulometria!$M$12:$M$21)*100)</f>
        <v/>
      </c>
      <c r="I378" t="str">
        <f>IF(OR(G378="",H378=""),"",G378-H378)</f>
        <v/>
      </c>
      <c r="M378" t="str">
        <f>IF(G378="","","Informativo")</f>
        <v/>
      </c>
      <c r="N378" t="str">
        <f>IF(Granulometria!$J$7&amp;""="","",TRIM(Granulometria!$J$7&amp;""))</f>
        <v>Leonardo</v>
      </c>
      <c r="Q378" t="s">
        <v>756</v>
      </c>
    </row>
    <row r="379">
      <c r="A379" t="s">
        <v>747</v>
      </c>
      <c r="B379" t="s">
        <v>654</v>
      </c>
      <c r="C379" s="912">
        <f>IF(N(Granulometria!$G$31)&gt;0,Granulometria!$G$31,"")</f>
        <v>46286</v>
      </c>
      <c r="D379" t="s">
        <v>748</v>
      </c>
      <c r="E379" t="s">
        <v>749</v>
      </c>
      <c r="F379" t="s">
        <v>402</v>
      </c>
      <c r="G379">
        <f>IF(N(SUM(Granulometria!$C$36:$C$45))=0,"",SUM(Granulometria!$C$43:$C$45)/SUM(Granulometria!$C$36:$C$45)*100)</f>
        <v>1.6420028380295966</v>
      </c>
      <c r="H379">
        <f>IF(N(SUM(Granulometria!$F$36:$F$45))=0,"",SUM(Granulometria!$F$43:$F$45)/SUM(Granulometria!$F$36:$F$45)*100)</f>
        <v>1.4811849479583667</v>
      </c>
      <c r="I379">
        <f>IF(OR(G379="",H379=""),"",G379-H379)</f>
        <v>0.16081789007122982</v>
      </c>
      <c r="L379">
        <f>BD_Limites!$H$11</f>
        <v>0.3</v>
      </c>
      <c r="M379" t="str">
        <f>IF(I379="","",IF(ROUND(ABS(I379),6)&lt;=L379,"Conforme","Não conforme"))</f>
        <v>Conforme</v>
      </c>
      <c r="N379" t="str">
        <f>IF(Granulometria!$C$31&amp;""="","",TRIM(Granulometria!$C$31&amp;""))</f>
        <v>Leonardo</v>
      </c>
      <c r="Q379" t="s">
        <v>757</v>
      </c>
    </row>
    <row r="380">
      <c r="A380" t="s">
        <v>747</v>
      </c>
      <c r="B380" t="s">
        <v>654</v>
      </c>
      <c r="C380" s="912">
        <f>IF(N(Granulometria!$G$31)&gt;0,Granulometria!$G$31,"")</f>
        <v>46286</v>
      </c>
      <c r="D380" t="s">
        <v>748</v>
      </c>
      <c r="E380" t="s">
        <v>751</v>
      </c>
      <c r="F380" t="s">
        <v>752</v>
      </c>
      <c r="G380">
        <f>IF(N(Granulometria!$C$40)=0,"",(Granulometria!$C$38+Granulometria!$C$39)/Granulometria!$C$40)</f>
        <v>1.0788863109048723</v>
      </c>
      <c r="H380">
        <f>IF(N(Granulometria!$F$40)=0,"",(Granulometria!$F$38+Granulometria!$F$39)/Granulometria!$F$40)</f>
        <v>1.0715555555555556</v>
      </c>
      <c r="I380">
        <f>IF(OR(G380="",H380=""),"",G380-H380)</f>
        <v>0.007330755349316709</v>
      </c>
      <c r="L380">
        <f>BD_Limites!$H$12</f>
        <v>0.15</v>
      </c>
      <c r="M380" t="str">
        <f>IF(I380="","",IF(ROUND(ABS(I380),6)&lt;=L380,"Conforme","Não conforme"))</f>
        <v>Conforme</v>
      </c>
      <c r="N380" t="str">
        <f>IF(Granulometria!$C$31&amp;""="","",TRIM(Granulometria!$C$31&amp;""))</f>
        <v>Leonardo</v>
      </c>
      <c r="Q380" t="s">
        <v>757</v>
      </c>
    </row>
    <row r="381">
      <c r="A381" t="s">
        <v>747</v>
      </c>
      <c r="B381" t="s">
        <v>654</v>
      </c>
      <c r="C381" s="912">
        <f>IF(N(Granulometria!$G$31)&gt;0,Granulometria!$G$31,"")</f>
        <v>46286</v>
      </c>
      <c r="D381" t="s">
        <v>748</v>
      </c>
      <c r="E381" t="s">
        <v>753</v>
      </c>
      <c r="F381" t="s">
        <v>402</v>
      </c>
      <c r="G381">
        <f>IF(N(SUM(Granulometria!$C$36:$C$45))=0,"",SUM(Granulometria!$C$38:$C$39)/SUM(Granulometria!$C$36:$C$45)*100)</f>
        <v>47.13156294344213</v>
      </c>
      <c r="H381">
        <f>IF(N(SUM(Granulometria!$F$36:$F$45))=0,"",SUM(Granulometria!$F$38:$F$39)/SUM(Granulometria!$F$36:$F$45)*100)</f>
        <v>48.25860688550841</v>
      </c>
      <c r="I381">
        <f>IF(OR(G381="",H381=""),"",G381-H381)</f>
        <v>-1.1270439420662797</v>
      </c>
      <c r="M381" t="str">
        <f>IF(G381="","","Informativo")</f>
        <v>Informativo</v>
      </c>
      <c r="N381" t="str">
        <f>IF(Granulometria!$C$31&amp;""="","",TRIM(Granulometria!$C$31&amp;""))</f>
        <v>Leonardo</v>
      </c>
      <c r="Q381" t="s">
        <v>757</v>
      </c>
    </row>
    <row r="382">
      <c r="A382" t="s">
        <v>747</v>
      </c>
      <c r="B382" t="s">
        <v>654</v>
      </c>
      <c r="C382" s="912">
        <f>IF(N(Granulometria!$G$31)&gt;0,Granulometria!$G$31,"")</f>
        <v>46286</v>
      </c>
      <c r="D382" t="s">
        <v>748</v>
      </c>
      <c r="E382" t="s">
        <v>754</v>
      </c>
      <c r="F382" t="s">
        <v>402</v>
      </c>
      <c r="G382">
        <f>IF(N(SUM(Granulometria!$C$36:$C$45))=0,"",SUM(Granulometria!$C$38:$C$40)/SUM(Granulometria!$C$36:$C$45)*100)</f>
        <v>90.81694709101966</v>
      </c>
      <c r="H382">
        <f>IF(N(SUM(Granulometria!$F$36:$F$45))=0,"",SUM(Granulometria!$F$38:$F$40)/SUM(Granulometria!$F$36:$F$45)*100)</f>
        <v>93.29463570856686</v>
      </c>
      <c r="I382">
        <f>IF(OR(G382="",H382=""),"",G382-H382)</f>
        <v>-2.4776886175472015</v>
      </c>
      <c r="M382" t="str">
        <f>IF(G382="","","Informativo")</f>
        <v>Informativo</v>
      </c>
      <c r="N382" t="str">
        <f>IF(Granulometria!$C$31&amp;""="","",TRIM(Granulometria!$C$31&amp;""))</f>
        <v>Leonardo</v>
      </c>
      <c r="Q382" t="s">
        <v>757</v>
      </c>
    </row>
    <row r="383">
      <c r="A383" t="s">
        <v>747</v>
      </c>
      <c r="B383" t="s">
        <v>654</v>
      </c>
      <c r="C383" s="912">
        <f>IF(N(Granulometria!$G$31)&gt;0,Granulometria!$G$31,"")</f>
        <v>46286</v>
      </c>
      <c r="D383" t="s">
        <v>748</v>
      </c>
      <c r="E383" t="s">
        <v>755</v>
      </c>
      <c r="F383" t="s">
        <v>402</v>
      </c>
      <c r="G383">
        <f>IF(N(SUM(Granulometria!$C$36:$C$45))=0,"",SUM(Granulometria!$C$38:$C$41)/SUM(Granulometria!$C$36:$C$45)*100)</f>
        <v>96.08757348469491</v>
      </c>
      <c r="H383">
        <f>IF(N(SUM(Granulometria!$F$36:$F$45))=0,"",SUM(Granulometria!$F$38:$F$41)/SUM(Granulometria!$F$36:$F$45)*100)</f>
        <v>96.39711769415533</v>
      </c>
      <c r="I383">
        <f>IF(OR(G383="",H383=""),"",G383-H383)</f>
        <v>-0.3095442094604124</v>
      </c>
      <c r="M383" t="str">
        <f>IF(G383="","","Informativo")</f>
        <v>Informativo</v>
      </c>
      <c r="N383" t="str">
        <f>IF(Granulometria!$C$31&amp;""="","",TRIM(Granulometria!$C$31&amp;""))</f>
        <v>Leonardo</v>
      </c>
      <c r="Q383" t="s">
        <v>757</v>
      </c>
    </row>
    <row r="384">
      <c r="A384" t="s">
        <v>747</v>
      </c>
      <c r="B384" t="s">
        <v>654</v>
      </c>
      <c r="C384" s="912" t="str">
        <f>IF(N(Granulometria!$N$31)&gt;0,Granulometria!$N$31,"")</f>
        <v/>
      </c>
      <c r="D384" t="s">
        <v>748</v>
      </c>
      <c r="E384" t="s">
        <v>749</v>
      </c>
      <c r="F384" t="s">
        <v>402</v>
      </c>
      <c r="G384" t="str">
        <f>IF(N(SUM(Granulometria!$J$36:$J$45))=0,"",SUM(Granulometria!$J$43:$J$45)/SUM(Granulometria!$J$36:$J$45)*100)</f>
        <v/>
      </c>
      <c r="H384" t="str">
        <f>IF(N(SUM(Granulometria!$M$36:$M$45))=0,"",SUM(Granulometria!$M$43:$M$45)/SUM(Granulometria!$M$36:$M$45)*100)</f>
        <v/>
      </c>
      <c r="I384" t="str">
        <f>IF(OR(G384="",H384=""),"",G384-H384)</f>
        <v/>
      </c>
      <c r="L384">
        <f>BD_Limites!$H$11</f>
        <v>0.3</v>
      </c>
      <c r="M384" t="str">
        <f>IF(I384="","",IF(ROUND(ABS(I384),6)&lt;=L384,"Conforme","Não conforme"))</f>
        <v/>
      </c>
      <c r="N384" t="str">
        <f>IF(Granulometria!$J$31&amp;""="","",TRIM(Granulometria!$J$31&amp;""))</f>
        <v/>
      </c>
      <c r="Q384" t="s">
        <v>758</v>
      </c>
    </row>
    <row r="385">
      <c r="A385" t="s">
        <v>747</v>
      </c>
      <c r="B385" t="s">
        <v>654</v>
      </c>
      <c r="C385" s="912" t="str">
        <f>IF(N(Granulometria!$N$31)&gt;0,Granulometria!$N$31,"")</f>
        <v/>
      </c>
      <c r="D385" t="s">
        <v>748</v>
      </c>
      <c r="E385" t="s">
        <v>751</v>
      </c>
      <c r="F385" t="s">
        <v>752</v>
      </c>
      <c r="G385" t="str">
        <f>IF(N(Granulometria!$J$40)=0,"",(Granulometria!$J$38+Granulometria!$J$39)/Granulometria!$J$40)</f>
        <v/>
      </c>
      <c r="H385" t="str">
        <f>IF(N(Granulometria!$M$40)=0,"",(Granulometria!$M$38+Granulometria!$M$39)/Granulometria!$M$40)</f>
        <v/>
      </c>
      <c r="I385" t="str">
        <f>IF(OR(G385="",H385=""),"",G385-H385)</f>
        <v/>
      </c>
      <c r="L385">
        <f>BD_Limites!$H$12</f>
        <v>0.15</v>
      </c>
      <c r="M385" t="str">
        <f>IF(I385="","",IF(ROUND(ABS(I385),6)&lt;=L385,"Conforme","Não conforme"))</f>
        <v/>
      </c>
      <c r="N385" t="str">
        <f>IF(Granulometria!$J$31&amp;""="","",TRIM(Granulometria!$J$31&amp;""))</f>
        <v/>
      </c>
      <c r="Q385" t="s">
        <v>758</v>
      </c>
    </row>
    <row r="386">
      <c r="A386" t="s">
        <v>747</v>
      </c>
      <c r="B386" t="s">
        <v>654</v>
      </c>
      <c r="C386" s="912" t="str">
        <f>IF(N(Granulometria!$N$31)&gt;0,Granulometria!$N$31,"")</f>
        <v/>
      </c>
      <c r="D386" t="s">
        <v>748</v>
      </c>
      <c r="E386" t="s">
        <v>753</v>
      </c>
      <c r="F386" t="s">
        <v>402</v>
      </c>
      <c r="G386" t="str">
        <f>IF(N(SUM(Granulometria!$J$36:$J$45))=0,"",SUM(Granulometria!$J$38:$J$39)/SUM(Granulometria!$J$36:$J$45)*100)</f>
        <v/>
      </c>
      <c r="H386" t="str">
        <f>IF(N(SUM(Granulometria!$M$36:$M$45))=0,"",SUM(Granulometria!$M$38:$M$39)/SUM(Granulometria!$M$36:$M$45)*100)</f>
        <v/>
      </c>
      <c r="I386" t="str">
        <f>IF(OR(G386="",H386=""),"",G386-H386)</f>
        <v/>
      </c>
      <c r="M386" t="str">
        <f>IF(G386="","","Informativo")</f>
        <v/>
      </c>
      <c r="N386" t="str">
        <f>IF(Granulometria!$J$31&amp;""="","",TRIM(Granulometria!$J$31&amp;""))</f>
        <v/>
      </c>
      <c r="Q386" t="s">
        <v>758</v>
      </c>
    </row>
    <row r="387">
      <c r="A387" t="s">
        <v>747</v>
      </c>
      <c r="B387" t="s">
        <v>654</v>
      </c>
      <c r="C387" s="912" t="str">
        <f>IF(N(Granulometria!$N$31)&gt;0,Granulometria!$N$31,"")</f>
        <v/>
      </c>
      <c r="D387" t="s">
        <v>748</v>
      </c>
      <c r="E387" t="s">
        <v>754</v>
      </c>
      <c r="F387" t="s">
        <v>402</v>
      </c>
      <c r="G387" t="str">
        <f>IF(N(SUM(Granulometria!$J$36:$J$45))=0,"",SUM(Granulometria!$J$38:$J$40)/SUM(Granulometria!$J$36:$J$45)*100)</f>
        <v/>
      </c>
      <c r="H387" t="str">
        <f>IF(N(SUM(Granulometria!$M$36:$M$45))=0,"",SUM(Granulometria!$M$38:$M$40)/SUM(Granulometria!$M$36:$M$45)*100)</f>
        <v/>
      </c>
      <c r="I387" t="str">
        <f>IF(OR(G387="",H387=""),"",G387-H387)</f>
        <v/>
      </c>
      <c r="M387" t="str">
        <f>IF(G387="","","Informativo")</f>
        <v/>
      </c>
      <c r="N387" t="str">
        <f>IF(Granulometria!$J$31&amp;""="","",TRIM(Granulometria!$J$31&amp;""))</f>
        <v/>
      </c>
      <c r="Q387" t="s">
        <v>758</v>
      </c>
    </row>
    <row r="388">
      <c r="A388" t="s">
        <v>747</v>
      </c>
      <c r="B388" t="s">
        <v>654</v>
      </c>
      <c r="C388" s="912" t="str">
        <f>IF(N(Granulometria!$N$31)&gt;0,Granulometria!$N$31,"")</f>
        <v/>
      </c>
      <c r="D388" t="s">
        <v>748</v>
      </c>
      <c r="E388" t="s">
        <v>755</v>
      </c>
      <c r="F388" t="s">
        <v>402</v>
      </c>
      <c r="G388" t="str">
        <f>IF(N(SUM(Granulometria!$J$36:$J$45))=0,"",SUM(Granulometria!$J$38:$J$41)/SUM(Granulometria!$J$36:$J$45)*100)</f>
        <v/>
      </c>
      <c r="H388" t="str">
        <f>IF(N(SUM(Granulometria!$M$36:$M$45))=0,"",SUM(Granulometria!$M$38:$M$41)/SUM(Granulometria!$M$36:$M$45)*100)</f>
        <v/>
      </c>
      <c r="I388" t="str">
        <f>IF(OR(G388="",H388=""),"",G388-H388)</f>
        <v/>
      </c>
      <c r="M388" t="str">
        <f>IF(G388="","","Informativo")</f>
        <v/>
      </c>
      <c r="N388" t="str">
        <f>IF(Granulometria!$J$31&amp;""="","",TRIM(Granulometria!$J$31&amp;""))</f>
        <v/>
      </c>
      <c r="Q388" t="s">
        <v>758</v>
      </c>
    </row>
    <row r="389">
      <c r="A389" t="s">
        <v>747</v>
      </c>
      <c r="B389" t="s">
        <v>654</v>
      </c>
      <c r="C389" s="912" t="str">
        <f>IF(N(Granulometria!$G$55)&gt;0,Granulometria!$G$55,"")</f>
        <v/>
      </c>
      <c r="D389" t="s">
        <v>748</v>
      </c>
      <c r="E389" t="s">
        <v>749</v>
      </c>
      <c r="F389" t="s">
        <v>402</v>
      </c>
      <c r="G389" t="str">
        <f>IF(N(SUM(Granulometria!$C$60:$C$69))=0,"",SUM(Granulometria!$C$67:$C$69)/SUM(Granulometria!$C$60:$C$69)*100)</f>
        <v/>
      </c>
      <c r="H389" t="str">
        <f>IF(N(SUM(Granulometria!$F$60:$F$69))=0,"",SUM(Granulometria!$F$67:$F$69)/SUM(Granulometria!$F$60:$F$69)*100)</f>
        <v/>
      </c>
      <c r="I389" t="str">
        <f>IF(OR(G389="",H389=""),"",G389-H389)</f>
        <v/>
      </c>
      <c r="L389">
        <f>BD_Limites!$H$11</f>
        <v>0.3</v>
      </c>
      <c r="M389" t="str">
        <f>IF(I389="","",IF(ROUND(ABS(I389),6)&lt;=L389,"Conforme","Não conforme"))</f>
        <v/>
      </c>
      <c r="N389" t="str">
        <f>IF(Granulometria!$C$55&amp;""="","",TRIM(Granulometria!$C$55&amp;""))</f>
        <v/>
      </c>
      <c r="Q389" t="s">
        <v>759</v>
      </c>
    </row>
    <row r="390">
      <c r="A390" t="s">
        <v>747</v>
      </c>
      <c r="B390" t="s">
        <v>654</v>
      </c>
      <c r="C390" s="912" t="str">
        <f>IF(N(Granulometria!$G$55)&gt;0,Granulometria!$G$55,"")</f>
        <v/>
      </c>
      <c r="D390" t="s">
        <v>748</v>
      </c>
      <c r="E390" t="s">
        <v>751</v>
      </c>
      <c r="F390" t="s">
        <v>752</v>
      </c>
      <c r="G390" t="str">
        <f>IF(N(Granulometria!$C$64)=0,"",(Granulometria!$C$62+Granulometria!$C$63)/Granulometria!$C$64)</f>
        <v/>
      </c>
      <c r="H390" t="str">
        <f>IF(N(Granulometria!$F$64)=0,"",(Granulometria!$F$62+Granulometria!$F$63)/Granulometria!$F$64)</f>
        <v/>
      </c>
      <c r="I390" t="str">
        <f>IF(OR(G390="",H390=""),"",G390-H390)</f>
        <v/>
      </c>
      <c r="L390">
        <f>BD_Limites!$H$12</f>
        <v>0.15</v>
      </c>
      <c r="M390" t="str">
        <f>IF(I390="","",IF(ROUND(ABS(I390),6)&lt;=L390,"Conforme","Não conforme"))</f>
        <v/>
      </c>
      <c r="N390" t="str">
        <f>IF(Granulometria!$C$55&amp;""="","",TRIM(Granulometria!$C$55&amp;""))</f>
        <v/>
      </c>
      <c r="Q390" t="s">
        <v>759</v>
      </c>
    </row>
    <row r="391">
      <c r="A391" t="s">
        <v>747</v>
      </c>
      <c r="B391" t="s">
        <v>654</v>
      </c>
      <c r="C391" s="912" t="str">
        <f>IF(N(Granulometria!$G$55)&gt;0,Granulometria!$G$55,"")</f>
        <v/>
      </c>
      <c r="D391" t="s">
        <v>748</v>
      </c>
      <c r="E391" t="s">
        <v>753</v>
      </c>
      <c r="F391" t="s">
        <v>402</v>
      </c>
      <c r="G391" t="str">
        <f>IF(N(SUM(Granulometria!$C$60:$C$69))=0,"",SUM(Granulometria!$C$62:$C$63)/SUM(Granulometria!$C$60:$C$69)*100)</f>
        <v/>
      </c>
      <c r="H391" t="str">
        <f>IF(N(SUM(Granulometria!$F$60:$F$69))=0,"",SUM(Granulometria!$F$62:$F$63)/SUM(Granulometria!$F$60:$F$69)*100)</f>
        <v/>
      </c>
      <c r="I391" t="str">
        <f>IF(OR(G391="",H391=""),"",G391-H391)</f>
        <v/>
      </c>
      <c r="M391" t="str">
        <f>IF(G391="","","Informativo")</f>
        <v/>
      </c>
      <c r="N391" t="str">
        <f>IF(Granulometria!$C$55&amp;""="","",TRIM(Granulometria!$C$55&amp;""))</f>
        <v/>
      </c>
      <c r="Q391" t="s">
        <v>759</v>
      </c>
    </row>
    <row r="392">
      <c r="A392" t="s">
        <v>747</v>
      </c>
      <c r="B392" t="s">
        <v>654</v>
      </c>
      <c r="C392" s="912" t="str">
        <f>IF(N(Granulometria!$G$55)&gt;0,Granulometria!$G$55,"")</f>
        <v/>
      </c>
      <c r="D392" t="s">
        <v>748</v>
      </c>
      <c r="E392" t="s">
        <v>754</v>
      </c>
      <c r="F392" t="s">
        <v>402</v>
      </c>
      <c r="G392" t="str">
        <f>IF(N(SUM(Granulometria!$C$60:$C$69))=0,"",SUM(Granulometria!$C$62:$C$64)/SUM(Granulometria!$C$60:$C$69)*100)</f>
        <v/>
      </c>
      <c r="H392" t="str">
        <f>IF(N(SUM(Granulometria!$F$60:$F$69))=0,"",SUM(Granulometria!$F$62:$F$64)/SUM(Granulometria!$F$60:$F$69)*100)</f>
        <v/>
      </c>
      <c r="I392" t="str">
        <f>IF(OR(G392="",H392=""),"",G392-H392)</f>
        <v/>
      </c>
      <c r="M392" t="str">
        <f>IF(G392="","","Informativo")</f>
        <v/>
      </c>
      <c r="N392" t="str">
        <f>IF(Granulometria!$C$55&amp;""="","",TRIM(Granulometria!$C$55&amp;""))</f>
        <v/>
      </c>
      <c r="Q392" t="s">
        <v>759</v>
      </c>
    </row>
    <row r="393">
      <c r="A393" t="s">
        <v>747</v>
      </c>
      <c r="B393" t="s">
        <v>654</v>
      </c>
      <c r="C393" s="912" t="str">
        <f>IF(N(Granulometria!$G$55)&gt;0,Granulometria!$G$55,"")</f>
        <v/>
      </c>
      <c r="D393" t="s">
        <v>748</v>
      </c>
      <c r="E393" t="s">
        <v>755</v>
      </c>
      <c r="F393" t="s">
        <v>402</v>
      </c>
      <c r="G393" t="str">
        <f>IF(N(SUM(Granulometria!$C$60:$C$69))=0,"",SUM(Granulometria!$C$62:$C$65)/SUM(Granulometria!$C$60:$C$69)*100)</f>
        <v/>
      </c>
      <c r="H393" t="str">
        <f>IF(N(SUM(Granulometria!$F$60:$F$69))=0,"",SUM(Granulometria!$F$62:$F$65)/SUM(Granulometria!$F$60:$F$69)*100)</f>
        <v/>
      </c>
      <c r="I393" t="str">
        <f>IF(OR(G393="",H393=""),"",G393-H393)</f>
        <v/>
      </c>
      <c r="M393" t="str">
        <f>IF(G393="","","Informativo")</f>
        <v/>
      </c>
      <c r="N393" t="str">
        <f>IF(Granulometria!$C$55&amp;""="","",TRIM(Granulometria!$C$55&amp;""))</f>
        <v/>
      </c>
      <c r="Q393" t="s">
        <v>759</v>
      </c>
    </row>
    <row r="394">
      <c r="A394" t="s">
        <v>747</v>
      </c>
      <c r="B394" t="s">
        <v>654</v>
      </c>
      <c r="C394" s="912" t="str">
        <f>IF(N(Granulometria!$N$55)&gt;0,Granulometria!$N$55,"")</f>
        <v/>
      </c>
      <c r="D394" t="s">
        <v>748</v>
      </c>
      <c r="E394" t="s">
        <v>749</v>
      </c>
      <c r="F394" t="s">
        <v>402</v>
      </c>
      <c r="G394" t="str">
        <f>IF(N(SUM(Granulometria!$J$60:$J$69))=0,"",SUM(Granulometria!$J$67:$J$69)/SUM(Granulometria!$J$60:$J$69)*100)</f>
        <v/>
      </c>
      <c r="H394" t="str">
        <f>IF(N(SUM(Granulometria!$M$60:$M$69))=0,"",SUM(Granulometria!$M$67:$M$69)/SUM(Granulometria!$M$60:$M$69)*100)</f>
        <v/>
      </c>
      <c r="I394" t="str">
        <f>IF(OR(G394="",H394=""),"",G394-H394)</f>
        <v/>
      </c>
      <c r="L394">
        <f>BD_Limites!$H$11</f>
        <v>0.3</v>
      </c>
      <c r="M394" t="str">
        <f>IF(I394="","",IF(ROUND(ABS(I394),6)&lt;=L394,"Conforme","Não conforme"))</f>
        <v/>
      </c>
      <c r="N394" t="str">
        <f>IF(Granulometria!$J$55&amp;""="","",TRIM(Granulometria!$J$55&amp;""))</f>
        <v/>
      </c>
      <c r="Q394" t="s">
        <v>760</v>
      </c>
    </row>
    <row r="395">
      <c r="A395" t="s">
        <v>747</v>
      </c>
      <c r="B395" t="s">
        <v>654</v>
      </c>
      <c r="C395" s="912" t="str">
        <f>IF(N(Granulometria!$N$55)&gt;0,Granulometria!$N$55,"")</f>
        <v/>
      </c>
      <c r="D395" t="s">
        <v>748</v>
      </c>
      <c r="E395" t="s">
        <v>751</v>
      </c>
      <c r="F395" t="s">
        <v>752</v>
      </c>
      <c r="G395" t="str">
        <f>IF(N(Granulometria!$J$64)=0,"",(Granulometria!$J$62+Granulometria!$J$63)/Granulometria!$J$64)</f>
        <v/>
      </c>
      <c r="H395" t="str">
        <f>IF(N(Granulometria!$M$64)=0,"",(Granulometria!$M$62+Granulometria!$M$63)/Granulometria!$M$64)</f>
        <v/>
      </c>
      <c r="I395" t="str">
        <f>IF(OR(G395="",H395=""),"",G395-H395)</f>
        <v/>
      </c>
      <c r="L395">
        <f>BD_Limites!$H$12</f>
        <v>0.15</v>
      </c>
      <c r="M395" t="str">
        <f>IF(I395="","",IF(ROUND(ABS(I395),6)&lt;=L395,"Conforme","Não conforme"))</f>
        <v/>
      </c>
      <c r="N395" t="str">
        <f>IF(Granulometria!$J$55&amp;""="","",TRIM(Granulometria!$J$55&amp;""))</f>
        <v/>
      </c>
      <c r="Q395" t="s">
        <v>760</v>
      </c>
    </row>
    <row r="396">
      <c r="A396" t="s">
        <v>747</v>
      </c>
      <c r="B396" t="s">
        <v>654</v>
      </c>
      <c r="C396" s="912" t="str">
        <f>IF(N(Granulometria!$N$55)&gt;0,Granulometria!$N$55,"")</f>
        <v/>
      </c>
      <c r="D396" t="s">
        <v>748</v>
      </c>
      <c r="E396" t="s">
        <v>753</v>
      </c>
      <c r="F396" t="s">
        <v>402</v>
      </c>
      <c r="G396" t="str">
        <f>IF(N(SUM(Granulometria!$J$60:$J$69))=0,"",SUM(Granulometria!$J$62:$J$63)/SUM(Granulometria!$J$60:$J$69)*100)</f>
        <v/>
      </c>
      <c r="H396" t="str">
        <f>IF(N(SUM(Granulometria!$M$60:$M$69))=0,"",SUM(Granulometria!$M$62:$M$63)/SUM(Granulometria!$M$60:$M$69)*100)</f>
        <v/>
      </c>
      <c r="I396" t="str">
        <f>IF(OR(G396="",H396=""),"",G396-H396)</f>
        <v/>
      </c>
      <c r="M396" t="str">
        <f>IF(G396="","","Informativo")</f>
        <v/>
      </c>
      <c r="N396" t="str">
        <f>IF(Granulometria!$J$55&amp;""="","",TRIM(Granulometria!$J$55&amp;""))</f>
        <v/>
      </c>
      <c r="Q396" t="s">
        <v>760</v>
      </c>
    </row>
    <row r="397">
      <c r="A397" t="s">
        <v>747</v>
      </c>
      <c r="B397" t="s">
        <v>654</v>
      </c>
      <c r="C397" s="912" t="str">
        <f>IF(N(Granulometria!$N$55)&gt;0,Granulometria!$N$55,"")</f>
        <v/>
      </c>
      <c r="D397" t="s">
        <v>748</v>
      </c>
      <c r="E397" t="s">
        <v>754</v>
      </c>
      <c r="F397" t="s">
        <v>402</v>
      </c>
      <c r="G397" t="str">
        <f>IF(N(SUM(Granulometria!$J$60:$J$69))=0,"",SUM(Granulometria!$J$62:$J$64)/SUM(Granulometria!$J$60:$J$69)*100)</f>
        <v/>
      </c>
      <c r="H397" t="str">
        <f>IF(N(SUM(Granulometria!$M$60:$M$69))=0,"",SUM(Granulometria!$M$62:$M$64)/SUM(Granulometria!$M$60:$M$69)*100)</f>
        <v/>
      </c>
      <c r="I397" t="str">
        <f>IF(OR(G397="",H397=""),"",G397-H397)</f>
        <v/>
      </c>
      <c r="M397" t="str">
        <f>IF(G397="","","Informativo")</f>
        <v/>
      </c>
      <c r="N397" t="str">
        <f>IF(Granulometria!$J$55&amp;""="","",TRIM(Granulometria!$J$55&amp;""))</f>
        <v/>
      </c>
      <c r="Q397" t="s">
        <v>760</v>
      </c>
    </row>
    <row r="398">
      <c r="A398" t="s">
        <v>747</v>
      </c>
      <c r="B398" t="s">
        <v>654</v>
      </c>
      <c r="C398" s="912" t="str">
        <f>IF(N(Granulometria!$N$55)&gt;0,Granulometria!$N$55,"")</f>
        <v/>
      </c>
      <c r="D398" t="s">
        <v>748</v>
      </c>
      <c r="E398" t="s">
        <v>755</v>
      </c>
      <c r="F398" t="s">
        <v>402</v>
      </c>
      <c r="G398" t="str">
        <f>IF(N(SUM(Granulometria!$J$60:$J$69))=0,"",SUM(Granulometria!$J$62:$J$65)/SUM(Granulometria!$J$60:$J$69)*100)</f>
        <v/>
      </c>
      <c r="H398" t="str">
        <f>IF(N(SUM(Granulometria!$M$60:$M$69))=0,"",SUM(Granulometria!$M$62:$M$65)/SUM(Granulometria!$M$60:$M$69)*100)</f>
        <v/>
      </c>
      <c r="I398" t="str">
        <f>IF(OR(G398="",H398=""),"",G398-H398)</f>
        <v/>
      </c>
      <c r="M398" t="str">
        <f>IF(G398="","","Informativo")</f>
        <v/>
      </c>
      <c r="N398" t="str">
        <f>IF(Granulometria!$J$55&amp;""="","",TRIM(Granulometria!$J$55&amp;""))</f>
        <v/>
      </c>
      <c r="Q398" t="s">
        <v>760</v>
      </c>
    </row>
    <row r="399">
      <c r="A399" t="s">
        <v>761</v>
      </c>
      <c r="B399" t="s">
        <v>654</v>
      </c>
      <c r="C399" s="912">
        <f>IF(N(Umidade!$A$5)&gt;0,Umidade!$A$5,"")</f>
        <v>46266</v>
      </c>
      <c r="D399" t="s">
        <v>762</v>
      </c>
      <c r="E399" t="s">
        <v>761</v>
      </c>
      <c r="F399" t="s">
        <v>402</v>
      </c>
      <c r="G399" t="str">
        <f>IF(ISNUMBER(Umidade!$B$5),Umidade!$B$5,"")</f>
        <v/>
      </c>
      <c r="H399">
        <f>IF(ISNUMBER(Umidade!$E$5),Umidade!$E$5,"")</f>
        <v>11.83</v>
      </c>
      <c r="I399" t="str">
        <f>IF(OR(G399="",H399=""),"",G399-H399)</f>
        <v/>
      </c>
      <c r="L399">
        <f>BD_Limites!$H$13</f>
        <v>0.05</v>
      </c>
      <c r="M399" t="str">
        <f>IF(I399="","",IF(ROUND(ABS(I399),6)&lt;=L399,"Conforme","Não conforme"))</f>
        <v/>
      </c>
      <c r="N399" t="str">
        <f>IF(Umidade!$L$5&amp;""="","",TRIM(Umidade!$L$5&amp;""))</f>
        <v>ALESANDRO</v>
      </c>
      <c r="O399" t="str">
        <f>IF(Umidade!$K$5&amp;""="","",TRIM(Umidade!$K$5&amp;""))</f>
        <v>A</v>
      </c>
      <c r="P399" t="str">
        <f>IF(Umidade!$N$5&amp;""="","",TRIM(Umidade!$N$5&amp;""))</f>
        <v>ANALISADOR 66 AN 10 EM MANUTENÇÃO</v>
      </c>
      <c r="Q399" t="s">
        <v>763</v>
      </c>
    </row>
    <row r="400">
      <c r="A400" t="s">
        <v>761</v>
      </c>
      <c r="B400" t="s">
        <v>654</v>
      </c>
      <c r="C400" s="912">
        <f>IF(N(Umidade!$A$6)&gt;0,Umidade!$A$6,"")</f>
        <v>46271</v>
      </c>
      <c r="D400" t="s">
        <v>762</v>
      </c>
      <c r="E400" t="s">
        <v>761</v>
      </c>
      <c r="F400" t="s">
        <v>402</v>
      </c>
      <c r="G400" t="str">
        <f>IF(ISNUMBER(Umidade!$B$6),Umidade!$B$6,"")</f>
        <v/>
      </c>
      <c r="H400">
        <f>IF(ISNUMBER(Umidade!$E$6),Umidade!$E$6,"")</f>
        <v>11.38</v>
      </c>
      <c r="I400" t="str">
        <f>IF(OR(G400="",H400=""),"",G400-H400)</f>
        <v/>
      </c>
      <c r="L400">
        <f>BD_Limites!$H$13</f>
        <v>0.05</v>
      </c>
      <c r="M400" t="str">
        <f>IF(I400="","",IF(ROUND(ABS(I400),6)&lt;=L400,"Conforme","Não conforme"))</f>
        <v/>
      </c>
      <c r="N400" t="str">
        <f>IF(Umidade!$L$6&amp;""="","",TRIM(Umidade!$L$6&amp;""))</f>
        <v>FELIPE</v>
      </c>
      <c r="O400" t="str">
        <f>IF(Umidade!$K$6&amp;""="","",TRIM(Umidade!$K$6&amp;""))</f>
        <v>B</v>
      </c>
      <c r="P400" t="str">
        <f>IF(Umidade!$N$6&amp;""="","",TRIM(Umidade!$N$6&amp;""))</f>
        <v>ANALISADOR 66 AN 10 EM MANUTENÇÃO</v>
      </c>
      <c r="Q400" t="s">
        <v>764</v>
      </c>
    </row>
    <row r="401">
      <c r="A401" t="s">
        <v>761</v>
      </c>
      <c r="B401" t="s">
        <v>654</v>
      </c>
      <c r="C401" s="912">
        <f>IF(N(Umidade!$A$7)&gt;0,Umidade!$A$7,"")</f>
        <v>46273</v>
      </c>
      <c r="D401" t="s">
        <v>762</v>
      </c>
      <c r="E401" t="s">
        <v>761</v>
      </c>
      <c r="F401" t="s">
        <v>402</v>
      </c>
      <c r="G401" t="str">
        <f>IF(ISNUMBER(Umidade!$B$7),Umidade!$B$7,"")</f>
        <v/>
      </c>
      <c r="H401">
        <f>IF(ISNUMBER(Umidade!$E$7),Umidade!$E$7,"")</f>
        <v>11.8</v>
      </c>
      <c r="I401" t="str">
        <f>IF(OR(G401="",H401=""),"",G401-H401)</f>
        <v/>
      </c>
      <c r="L401">
        <f>BD_Limites!$H$13</f>
        <v>0.05</v>
      </c>
      <c r="M401" t="str">
        <f>IF(I401="","",IF(ROUND(ABS(I401),6)&lt;=L401,"Conforme","Não conforme"))</f>
        <v/>
      </c>
      <c r="N401" t="str">
        <f>IF(Umidade!$L$7&amp;""="","",TRIM(Umidade!$L$7&amp;""))</f>
        <v>RENATO</v>
      </c>
      <c r="O401" t="str">
        <f>IF(Umidade!$K$7&amp;""="","",TRIM(Umidade!$K$7&amp;""))</f>
        <v>A</v>
      </c>
      <c r="P401" t="str">
        <f>IF(Umidade!$N$7&amp;""="","",TRIM(Umidade!$N$7&amp;""))</f>
        <v>ANALISADOR 66 AN 10 EM MANUTENÇÃO</v>
      </c>
      <c r="Q401" t="s">
        <v>765</v>
      </c>
    </row>
    <row r="402">
      <c r="A402" t="s">
        <v>761</v>
      </c>
      <c r="B402" t="s">
        <v>654</v>
      </c>
      <c r="C402" s="912">
        <f>IF(N(Umidade!$A$8)&gt;0,Umidade!$A$8,"")</f>
        <v>46278</v>
      </c>
      <c r="D402" t="s">
        <v>762</v>
      </c>
      <c r="E402" t="s">
        <v>761</v>
      </c>
      <c r="F402" t="s">
        <v>402</v>
      </c>
      <c r="G402" t="str">
        <f>IF(ISNUMBER(Umidade!$B$8),Umidade!$B$8,"")</f>
        <v/>
      </c>
      <c r="H402">
        <f>IF(ISNUMBER(Umidade!$E$8),Umidade!$E$8,"")</f>
        <v>12.03</v>
      </c>
      <c r="I402" t="str">
        <f>IF(OR(G402="",H402=""),"",G402-H402)</f>
        <v/>
      </c>
      <c r="L402">
        <f>BD_Limites!$H$13</f>
        <v>0.05</v>
      </c>
      <c r="M402" t="str">
        <f>IF(I402="","",IF(ROUND(ABS(I402),6)&lt;=L402,"Conforme","Não conforme"))</f>
        <v/>
      </c>
      <c r="N402" t="str">
        <f>IF(Umidade!$L$8&amp;""="","",TRIM(Umidade!$L$8&amp;""))</f>
        <v>LUIS FELIPE</v>
      </c>
      <c r="O402" t="str">
        <f>IF(Umidade!$K$8&amp;""="","",TRIM(Umidade!$K$8&amp;""))</f>
        <v>D</v>
      </c>
      <c r="P402" t="str">
        <f>IF(Umidade!$N$8&amp;""="","",TRIM(Umidade!$N$8&amp;""))</f>
        <v>ANALISADOR 66 AN 10 EM MANUTENÇÃO</v>
      </c>
      <c r="Q402" t="s">
        <v>766</v>
      </c>
    </row>
    <row r="403">
      <c r="A403" t="s">
        <v>761</v>
      </c>
      <c r="B403" t="s">
        <v>654</v>
      </c>
      <c r="C403" s="912">
        <f>IF(N(Umidade!$A$9)&gt;0,Umidade!$A$9,"")</f>
        <v>46280</v>
      </c>
      <c r="D403" t="s">
        <v>762</v>
      </c>
      <c r="E403" t="s">
        <v>761</v>
      </c>
      <c r="F403" t="s">
        <v>402</v>
      </c>
      <c r="G403" t="str">
        <f>IF(ISNUMBER(Umidade!$B$9),Umidade!$B$9,"")</f>
        <v/>
      </c>
      <c r="H403">
        <f>IF(ISNUMBER(Umidade!$E$9),Umidade!$E$9,"")</f>
        <v>11.75</v>
      </c>
      <c r="I403" t="str">
        <f>IF(OR(G403="",H403=""),"",G403-H403)</f>
        <v/>
      </c>
      <c r="L403">
        <f>BD_Limites!$H$13</f>
        <v>0.05</v>
      </c>
      <c r="M403" t="str">
        <f>IF(I403="","",IF(ROUND(ABS(I403),6)&lt;=L403,"Conforme","Não conforme"))</f>
        <v/>
      </c>
      <c r="N403" t="str">
        <f>IF(Umidade!$L$9&amp;""="","",TRIM(Umidade!$L$9&amp;""))</f>
        <v>WESLEY</v>
      </c>
      <c r="O403" t="str">
        <f>IF(Umidade!$K$9&amp;""="","",TRIM(Umidade!$K$9&amp;""))</f>
        <v>B</v>
      </c>
      <c r="P403" t="str">
        <f>IF(Umidade!$N$9&amp;""="","",TRIM(Umidade!$N$9&amp;""))</f>
        <v/>
      </c>
      <c r="Q403" t="s">
        <v>767</v>
      </c>
    </row>
    <row r="404">
      <c r="A404" t="s">
        <v>761</v>
      </c>
      <c r="B404" t="s">
        <v>654</v>
      </c>
      <c r="C404" s="912">
        <f>IF(N(Umidade!$A$10)&gt;0,Umidade!$A$10,"")</f>
        <v>46282</v>
      </c>
      <c r="D404" t="s">
        <v>762</v>
      </c>
      <c r="E404" t="s">
        <v>761</v>
      </c>
      <c r="F404" t="s">
        <v>402</v>
      </c>
      <c r="G404" t="str">
        <f>IF(ISNUMBER(Umidade!$B$10),Umidade!$B$10,"")</f>
        <v/>
      </c>
      <c r="H404">
        <f>IF(ISNUMBER(Umidade!$E$10),Umidade!$E$10,"")</f>
        <v>11.99</v>
      </c>
      <c r="I404" t="str">
        <f>IF(OR(G404="",H404=""),"",G404-H404)</f>
        <v/>
      </c>
      <c r="L404">
        <f>BD_Limites!$H$13</f>
        <v>0.05</v>
      </c>
      <c r="M404" t="str">
        <f>IF(I404="","",IF(ROUND(ABS(I404),6)&lt;=L404,"Conforme","Não conforme"))</f>
        <v/>
      </c>
      <c r="N404" t="str">
        <f>IF(Umidade!$L$10&amp;""="","",TRIM(Umidade!$L$10&amp;""))</f>
        <v>RENATO</v>
      </c>
      <c r="O404" t="str">
        <f>IF(Umidade!$K$10&amp;""="","",TRIM(Umidade!$K$10&amp;""))</f>
        <v>A</v>
      </c>
      <c r="P404" t="str">
        <f>IF(Umidade!$N$10&amp;""="","",TRIM(Umidade!$N$10&amp;""))</f>
        <v/>
      </c>
      <c r="Q404" t="s">
        <v>768</v>
      </c>
    </row>
    <row r="405">
      <c r="A405" t="s">
        <v>761</v>
      </c>
      <c r="B405" t="s">
        <v>654</v>
      </c>
      <c r="C405" s="912">
        <f>IF(N(Umidade!$A$11)&gt;0,Umidade!$A$11,"")</f>
        <v>46287</v>
      </c>
      <c r="D405" t="s">
        <v>762</v>
      </c>
      <c r="E405" t="s">
        <v>761</v>
      </c>
      <c r="F405" t="s">
        <v>402</v>
      </c>
      <c r="G405" t="str">
        <f>IF(ISNUMBER(Umidade!$B$11),Umidade!$B$11,"")</f>
        <v/>
      </c>
      <c r="H405">
        <f>IF(ISNUMBER(Umidade!$E$11),Umidade!$E$11,"")</f>
        <v>11.46</v>
      </c>
      <c r="I405" t="str">
        <f>IF(OR(G405="",H405=""),"",G405-H405)</f>
        <v/>
      </c>
      <c r="L405">
        <f>BD_Limites!$H$13</f>
        <v>0.05</v>
      </c>
      <c r="M405" t="str">
        <f>IF(I405="","",IF(ROUND(ABS(I405),6)&lt;=L405,"Conforme","Não conforme"))</f>
        <v/>
      </c>
      <c r="N405" t="str">
        <f>IF(Umidade!$L$11&amp;""="","",TRIM(Umidade!$L$11&amp;""))</f>
        <v>FELIPE</v>
      </c>
      <c r="O405" t="str">
        <f>IF(Umidade!$K$11&amp;""="","",TRIM(Umidade!$K$11&amp;""))</f>
        <v>B</v>
      </c>
      <c r="P405" t="str">
        <f>IF(Umidade!$N$11&amp;""="","",TRIM(Umidade!$N$11&amp;""))</f>
        <v/>
      </c>
      <c r="Q405" t="s">
        <v>769</v>
      </c>
    </row>
    <row r="406">
      <c r="A406" t="s">
        <v>761</v>
      </c>
      <c r="B406" t="s">
        <v>654</v>
      </c>
      <c r="C406" s="912" t="str">
        <f>IF(N(Umidade!$A$12)&gt;0,Umidade!$A$12,"")</f>
        <v/>
      </c>
      <c r="D406" t="s">
        <v>762</v>
      </c>
      <c r="E406" t="s">
        <v>761</v>
      </c>
      <c r="F406" t="s">
        <v>402</v>
      </c>
      <c r="G406" t="str">
        <f>IF(ISNUMBER(Umidade!$B$12),Umidade!$B$12,"")</f>
        <v/>
      </c>
      <c r="H406" t="str">
        <f>IF(ISNUMBER(Umidade!$E$12),Umidade!$E$12,"")</f>
        <v/>
      </c>
      <c r="I406" t="str">
        <f>IF(OR(G406="",H406=""),"",G406-H406)</f>
        <v/>
      </c>
      <c r="L406">
        <f>BD_Limites!$H$13</f>
        <v>0.05</v>
      </c>
      <c r="M406" t="str">
        <f>IF(I406="","",IF(ROUND(ABS(I406),6)&lt;=L406,"Conforme","Não conforme"))</f>
        <v/>
      </c>
      <c r="N406" t="str">
        <f>IF(Umidade!$L$12&amp;""="","",TRIM(Umidade!$L$12&amp;""))</f>
        <v/>
      </c>
      <c r="O406" t="str">
        <f>IF(Umidade!$K$12&amp;""="","",TRIM(Umidade!$K$12&amp;""))</f>
        <v/>
      </c>
      <c r="P406" t="str">
        <f>IF(Umidade!$N$12&amp;""="","",TRIM(Umidade!$N$12&amp;""))</f>
        <v/>
      </c>
      <c r="Q406" t="s">
        <v>770</v>
      </c>
    </row>
    <row r="407">
      <c r="A407" t="s">
        <v>761</v>
      </c>
      <c r="B407" t="s">
        <v>654</v>
      </c>
      <c r="C407" s="912" t="str">
        <f>IF(N(Umidade!$A$13)&gt;0,Umidade!$A$13,"")</f>
        <v/>
      </c>
      <c r="D407" t="s">
        <v>762</v>
      </c>
      <c r="E407" t="s">
        <v>761</v>
      </c>
      <c r="F407" t="s">
        <v>402</v>
      </c>
      <c r="G407" t="str">
        <f>IF(ISNUMBER(Umidade!$B$13),Umidade!$B$13,"")</f>
        <v/>
      </c>
      <c r="H407" t="str">
        <f>IF(ISNUMBER(Umidade!$E$13),Umidade!$E$13,"")</f>
        <v/>
      </c>
      <c r="I407" t="str">
        <f>IF(OR(G407="",H407=""),"",G407-H407)</f>
        <v/>
      </c>
      <c r="L407">
        <f>BD_Limites!$H$13</f>
        <v>0.05</v>
      </c>
      <c r="M407" t="str">
        <f>IF(I407="","",IF(ROUND(ABS(I407),6)&lt;=L407,"Conforme","Não conforme"))</f>
        <v/>
      </c>
      <c r="N407" t="str">
        <f>IF(Umidade!$L$13&amp;""="","",TRIM(Umidade!$L$13&amp;""))</f>
        <v/>
      </c>
      <c r="O407" t="str">
        <f>IF(Umidade!$K$13&amp;""="","",TRIM(Umidade!$K$13&amp;""))</f>
        <v/>
      </c>
      <c r="P407" t="str">
        <f>IF(Umidade!$N$13&amp;""="","",TRIM(Umidade!$N$13&amp;""))</f>
        <v/>
      </c>
      <c r="Q407" t="s">
        <v>771</v>
      </c>
    </row>
    <row r="408">
      <c r="A408" t="s">
        <v>761</v>
      </c>
      <c r="B408" t="s">
        <v>654</v>
      </c>
      <c r="C408" s="912" t="str">
        <f>IF(N(Umidade!$A$14)&gt;0,Umidade!$A$14,"")</f>
        <v/>
      </c>
      <c r="D408" t="s">
        <v>762</v>
      </c>
      <c r="E408" t="s">
        <v>761</v>
      </c>
      <c r="F408" t="s">
        <v>402</v>
      </c>
      <c r="G408" t="str">
        <f>IF(ISNUMBER(Umidade!$B$14),Umidade!$B$14,"")</f>
        <v/>
      </c>
      <c r="H408" t="str">
        <f>IF(ISNUMBER(Umidade!$E$14),Umidade!$E$14,"")</f>
        <v/>
      </c>
      <c r="I408" t="str">
        <f>IF(OR(G408="",H408=""),"",G408-H408)</f>
        <v/>
      </c>
      <c r="L408">
        <f>BD_Limites!$H$13</f>
        <v>0.05</v>
      </c>
      <c r="M408" t="str">
        <f>IF(I408="","",IF(ROUND(ABS(I408),6)&lt;=L408,"Conforme","Não conforme"))</f>
        <v/>
      </c>
      <c r="N408" t="str">
        <f>IF(Umidade!$L$14&amp;""="","",TRIM(Umidade!$L$14&amp;""))</f>
        <v/>
      </c>
      <c r="O408" t="str">
        <f>IF(Umidade!$K$14&amp;""="","",TRIM(Umidade!$K$14&amp;""))</f>
        <v/>
      </c>
      <c r="P408" t="str">
        <f>IF(Umidade!$N$14&amp;""="","",TRIM(Umidade!$N$14&amp;""))</f>
        <v/>
      </c>
      <c r="Q408" t="s">
        <v>772</v>
      </c>
    </row>
    <row r="409">
      <c r="A409" t="s">
        <v>761</v>
      </c>
      <c r="B409" t="s">
        <v>654</v>
      </c>
      <c r="C409" s="912" t="str">
        <f>IF(N(Umidade!$A$15)&gt;0,Umidade!$A$15,"")</f>
        <v/>
      </c>
      <c r="D409" t="s">
        <v>762</v>
      </c>
      <c r="E409" t="s">
        <v>761</v>
      </c>
      <c r="F409" t="s">
        <v>402</v>
      </c>
      <c r="G409" t="str">
        <f>IF(ISNUMBER(Umidade!$B$15),Umidade!$B$15,"")</f>
        <v/>
      </c>
      <c r="H409" t="str">
        <f>IF(ISNUMBER(Umidade!$E$15),Umidade!$E$15,"")</f>
        <v/>
      </c>
      <c r="I409" t="str">
        <f>IF(OR(G409="",H409=""),"",G409-H409)</f>
        <v/>
      </c>
      <c r="L409">
        <f>BD_Limites!$H$13</f>
        <v>0.05</v>
      </c>
      <c r="M409" t="str">
        <f>IF(I409="","",IF(ROUND(ABS(I409),6)&lt;=L409,"Conforme","Não conforme"))</f>
        <v/>
      </c>
      <c r="N409" t="str">
        <f>IF(Umidade!$L$15&amp;""="","",TRIM(Umidade!$L$15&amp;""))</f>
        <v/>
      </c>
      <c r="O409" t="str">
        <f>IF(Umidade!$K$15&amp;""="","",TRIM(Umidade!$K$15&amp;""))</f>
        <v/>
      </c>
      <c r="P409" t="str">
        <f>IF(Umidade!$N$15&amp;""="","",TRIM(Umidade!$N$15&amp;""))</f>
        <v/>
      </c>
      <c r="Q409" t="s">
        <v>773</v>
      </c>
    </row>
    <row r="410">
      <c r="A410" t="s">
        <v>761</v>
      </c>
      <c r="B410" t="s">
        <v>654</v>
      </c>
      <c r="C410" s="912" t="str">
        <f>IF(N(Umidade!$A$16)&gt;0,Umidade!$A$16,"")</f>
        <v/>
      </c>
      <c r="D410" t="s">
        <v>762</v>
      </c>
      <c r="E410" t="s">
        <v>761</v>
      </c>
      <c r="F410" t="s">
        <v>402</v>
      </c>
      <c r="G410" t="str">
        <f>IF(ISNUMBER(Umidade!$B$16),Umidade!$B$16,"")</f>
        <v/>
      </c>
      <c r="H410" t="str">
        <f>IF(ISNUMBER(Umidade!$E$16),Umidade!$E$16,"")</f>
        <v/>
      </c>
      <c r="I410" t="str">
        <f>IF(OR(G410="",H410=""),"",G410-H410)</f>
        <v/>
      </c>
      <c r="L410">
        <f>BD_Limites!$H$13</f>
        <v>0.05</v>
      </c>
      <c r="M410" t="str">
        <f>IF(I410="","",IF(ROUND(ABS(I410),6)&lt;=L410,"Conforme","Não conforme"))</f>
        <v/>
      </c>
      <c r="N410" t="str">
        <f>IF(Umidade!$L$16&amp;""="","",TRIM(Umidade!$L$16&amp;""))</f>
        <v/>
      </c>
      <c r="O410" t="str">
        <f>IF(Umidade!$K$16&amp;""="","",TRIM(Umidade!$K$16&amp;""))</f>
        <v/>
      </c>
      <c r="P410" t="str">
        <f>IF(Umidade!$N$16&amp;""="","",TRIM(Umidade!$N$16&amp;""))</f>
        <v/>
      </c>
      <c r="Q410" t="s">
        <v>774</v>
      </c>
    </row>
    <row r="411">
      <c r="A411" t="s">
        <v>761</v>
      </c>
      <c r="B411" t="s">
        <v>654</v>
      </c>
      <c r="C411" s="912" t="str">
        <f>IF(N(Umidade!$A$17)&gt;0,Umidade!$A$17,"")</f>
        <v/>
      </c>
      <c r="D411" t="s">
        <v>762</v>
      </c>
      <c r="E411" t="s">
        <v>761</v>
      </c>
      <c r="F411" t="s">
        <v>402</v>
      </c>
      <c r="G411" t="str">
        <f>IF(ISNUMBER(Umidade!$B$17),Umidade!$B$17,"")</f>
        <v/>
      </c>
      <c r="H411" t="str">
        <f>IF(ISNUMBER(Umidade!$E$17),Umidade!$E$17,"")</f>
        <v/>
      </c>
      <c r="I411" t="str">
        <f>IF(OR(G411="",H411=""),"",G411-H411)</f>
        <v/>
      </c>
      <c r="L411">
        <f>BD_Limites!$H$13</f>
        <v>0.05</v>
      </c>
      <c r="M411" t="str">
        <f>IF(I411="","",IF(ROUND(ABS(I411),6)&lt;=L411,"Conforme","Não conforme"))</f>
        <v/>
      </c>
      <c r="N411" t="str">
        <f>IF(Umidade!$L$17&amp;""="","",TRIM(Umidade!$L$17&amp;""))</f>
        <v/>
      </c>
      <c r="O411" t="str">
        <f>IF(Umidade!$K$17&amp;""="","",TRIM(Umidade!$K$17&amp;""))</f>
        <v/>
      </c>
      <c r="P411" t="str">
        <f>IF(Umidade!$N$17&amp;""="","",TRIM(Umidade!$N$17&amp;""))</f>
        <v/>
      </c>
      <c r="Q411" t="s">
        <v>775</v>
      </c>
    </row>
    <row r="412">
      <c r="A412" t="s">
        <v>761</v>
      </c>
      <c r="B412" t="s">
        <v>654</v>
      </c>
      <c r="C412" s="912" t="str">
        <f>IF(N(Umidade!$A$18)&gt;0,Umidade!$A$18,"")</f>
        <v/>
      </c>
      <c r="D412" t="s">
        <v>762</v>
      </c>
      <c r="E412" t="s">
        <v>761</v>
      </c>
      <c r="F412" t="s">
        <v>402</v>
      </c>
      <c r="G412" t="str">
        <f>IF(ISNUMBER(Umidade!$B$18),Umidade!$B$18,"")</f>
        <v/>
      </c>
      <c r="H412" t="str">
        <f>IF(ISNUMBER(Umidade!$E$18),Umidade!$E$18,"")</f>
        <v/>
      </c>
      <c r="I412" t="str">
        <f>IF(OR(G412="",H412=""),"",G412-H412)</f>
        <v/>
      </c>
      <c r="L412">
        <f>BD_Limites!$H$13</f>
        <v>0.05</v>
      </c>
      <c r="M412" t="str">
        <f>IF(I412="","",IF(ROUND(ABS(I412),6)&lt;=L412,"Conforme","Não conforme"))</f>
        <v/>
      </c>
      <c r="N412" t="str">
        <f>IF(Umidade!$L$18&amp;""="","",TRIM(Umidade!$L$18&amp;""))</f>
        <v/>
      </c>
      <c r="O412" t="str">
        <f>IF(Umidade!$K$18&amp;""="","",TRIM(Umidade!$K$18&amp;""))</f>
        <v/>
      </c>
      <c r="P412" t="str">
        <f>IF(Umidade!$N$18&amp;""="","",TRIM(Umidade!$N$18&amp;""))</f>
        <v/>
      </c>
      <c r="Q412" t="s">
        <v>776</v>
      </c>
    </row>
    <row r="413">
      <c r="A413" t="s">
        <v>761</v>
      </c>
      <c r="B413" t="s">
        <v>654</v>
      </c>
      <c r="C413" s="912">
        <f>IF(N(Umidade!$A$5)&gt;0,Umidade!$A$5,"")</f>
        <v>46266</v>
      </c>
      <c r="D413" t="s">
        <v>777</v>
      </c>
      <c r="E413" t="s">
        <v>761</v>
      </c>
      <c r="F413" t="s">
        <v>402</v>
      </c>
      <c r="G413">
        <f>IF(ISNUMBER(Umidade!$C$5),Umidade!$C$5,"")</f>
        <v>11.8</v>
      </c>
      <c r="H413">
        <f>IF(ISNUMBER(Umidade!$E$5),Umidade!$E$5,"")</f>
        <v>11.83</v>
      </c>
      <c r="I413">
        <f>IF(OR(G413="",H413=""),"",G413-H413)</f>
        <v>-0.02999999999999936</v>
      </c>
      <c r="L413">
        <f>BD_Limites!$H$13</f>
        <v>0.05</v>
      </c>
      <c r="M413" t="str">
        <f>IF(I413="","",IF(ROUND(ABS(I413),6)&lt;=L413,"Conforme","Não conforme"))</f>
        <v>Conforme</v>
      </c>
      <c r="N413" t="str">
        <f>IF(Umidade!$L$5&amp;""="","",TRIM(Umidade!$L$5&amp;""))</f>
        <v>ALESANDRO</v>
      </c>
      <c r="O413" t="str">
        <f>IF(Umidade!$K$5&amp;""="","",TRIM(Umidade!$K$5&amp;""))</f>
        <v>A</v>
      </c>
      <c r="P413" t="str">
        <f>IF(Umidade!$N$5&amp;""="","",TRIM(Umidade!$N$5&amp;""))</f>
        <v>ANALISADOR 66 AN 10 EM MANUTENÇÃO</v>
      </c>
      <c r="Q413" t="s">
        <v>778</v>
      </c>
    </row>
    <row r="414">
      <c r="A414" t="s">
        <v>761</v>
      </c>
      <c r="B414" t="s">
        <v>654</v>
      </c>
      <c r="C414" s="912">
        <f>IF(N(Umidade!$A$6)&gt;0,Umidade!$A$6,"")</f>
        <v>46271</v>
      </c>
      <c r="D414" t="s">
        <v>777</v>
      </c>
      <c r="E414" t="s">
        <v>761</v>
      </c>
      <c r="F414" t="s">
        <v>402</v>
      </c>
      <c r="G414">
        <f>IF(ISNUMBER(Umidade!$C$6),Umidade!$C$6,"")</f>
        <v>12.35</v>
      </c>
      <c r="H414">
        <f>IF(ISNUMBER(Umidade!$E$6),Umidade!$E$6,"")</f>
        <v>11.38</v>
      </c>
      <c r="I414">
        <f>IF(OR(G414="",H414=""),"",G414-H414)</f>
        <v>0.9699999999999989</v>
      </c>
      <c r="L414">
        <f>BD_Limites!$H$13</f>
        <v>0.05</v>
      </c>
      <c r="M414" t="str">
        <f>IF(I414="","",IF(ROUND(ABS(I414),6)&lt;=L414,"Conforme","Não conforme"))</f>
        <v>Não conforme</v>
      </c>
      <c r="N414" t="str">
        <f>IF(Umidade!$L$6&amp;""="","",TRIM(Umidade!$L$6&amp;""))</f>
        <v>FELIPE</v>
      </c>
      <c r="O414" t="str">
        <f>IF(Umidade!$K$6&amp;""="","",TRIM(Umidade!$K$6&amp;""))</f>
        <v>B</v>
      </c>
      <c r="P414" t="str">
        <f>IF(Umidade!$N$6&amp;""="","",TRIM(Umidade!$N$6&amp;""))</f>
        <v>ANALISADOR 66 AN 10 EM MANUTENÇÃO</v>
      </c>
      <c r="Q414" t="s">
        <v>779</v>
      </c>
    </row>
    <row r="415">
      <c r="A415" t="s">
        <v>761</v>
      </c>
      <c r="B415" t="s">
        <v>654</v>
      </c>
      <c r="C415" s="912">
        <f>IF(N(Umidade!$A$7)&gt;0,Umidade!$A$7,"")</f>
        <v>46273</v>
      </c>
      <c r="D415" t="s">
        <v>777</v>
      </c>
      <c r="E415" t="s">
        <v>761</v>
      </c>
      <c r="F415" t="s">
        <v>402</v>
      </c>
      <c r="G415">
        <f>IF(ISNUMBER(Umidade!$C$7),Umidade!$C$7,"")</f>
        <v>11.76</v>
      </c>
      <c r="H415">
        <f>IF(ISNUMBER(Umidade!$E$7),Umidade!$E$7,"")</f>
        <v>11.8</v>
      </c>
      <c r="I415">
        <f>IF(OR(G415="",H415=""),"",G415-H415)</f>
        <v>-0.040000000000000924</v>
      </c>
      <c r="L415">
        <f>BD_Limites!$H$13</f>
        <v>0.05</v>
      </c>
      <c r="M415" t="str">
        <f>IF(I415="","",IF(ROUND(ABS(I415),6)&lt;=L415,"Conforme","Não conforme"))</f>
        <v>Conforme</v>
      </c>
      <c r="N415" t="str">
        <f>IF(Umidade!$L$7&amp;""="","",TRIM(Umidade!$L$7&amp;""))</f>
        <v>RENATO</v>
      </c>
      <c r="O415" t="str">
        <f>IF(Umidade!$K$7&amp;""="","",TRIM(Umidade!$K$7&amp;""))</f>
        <v>A</v>
      </c>
      <c r="P415" t="str">
        <f>IF(Umidade!$N$7&amp;""="","",TRIM(Umidade!$N$7&amp;""))</f>
        <v>ANALISADOR 66 AN 10 EM MANUTENÇÃO</v>
      </c>
      <c r="Q415" t="s">
        <v>780</v>
      </c>
    </row>
    <row r="416">
      <c r="A416" t="s">
        <v>761</v>
      </c>
      <c r="B416" t="s">
        <v>654</v>
      </c>
      <c r="C416" s="912">
        <f>IF(N(Umidade!$A$8)&gt;0,Umidade!$A$8,"")</f>
        <v>46278</v>
      </c>
      <c r="D416" t="s">
        <v>777</v>
      </c>
      <c r="E416" t="s">
        <v>761</v>
      </c>
      <c r="F416" t="s">
        <v>402</v>
      </c>
      <c r="G416">
        <f>IF(ISNUMBER(Umidade!$C$8),Umidade!$C$8,"")</f>
        <v>12.02</v>
      </c>
      <c r="H416">
        <f>IF(ISNUMBER(Umidade!$E$8),Umidade!$E$8,"")</f>
        <v>12.03</v>
      </c>
      <c r="I416">
        <f>IF(OR(G416="",H416=""),"",G416-H416)</f>
        <v>-0.009999999999999787</v>
      </c>
      <c r="L416">
        <f>BD_Limites!$H$13</f>
        <v>0.05</v>
      </c>
      <c r="M416" t="str">
        <f>IF(I416="","",IF(ROUND(ABS(I416),6)&lt;=L416,"Conforme","Não conforme"))</f>
        <v>Conforme</v>
      </c>
      <c r="N416" t="str">
        <f>IF(Umidade!$L$8&amp;""="","",TRIM(Umidade!$L$8&amp;""))</f>
        <v>LUIS FELIPE</v>
      </c>
      <c r="O416" t="str">
        <f>IF(Umidade!$K$8&amp;""="","",TRIM(Umidade!$K$8&amp;""))</f>
        <v>D</v>
      </c>
      <c r="P416" t="str">
        <f>IF(Umidade!$N$8&amp;""="","",TRIM(Umidade!$N$8&amp;""))</f>
        <v>ANALISADOR 66 AN 10 EM MANUTENÇÃO</v>
      </c>
      <c r="Q416" t="s">
        <v>781</v>
      </c>
    </row>
    <row r="417">
      <c r="A417" t="s">
        <v>761</v>
      </c>
      <c r="B417" t="s">
        <v>654</v>
      </c>
      <c r="C417" s="912">
        <f>IF(N(Umidade!$A$9)&gt;0,Umidade!$A$9,"")</f>
        <v>46280</v>
      </c>
      <c r="D417" t="s">
        <v>777</v>
      </c>
      <c r="E417" t="s">
        <v>761</v>
      </c>
      <c r="F417" t="s">
        <v>402</v>
      </c>
      <c r="G417">
        <f>IF(ISNUMBER(Umidade!$C$9),Umidade!$C$9,"")</f>
        <v>11.72</v>
      </c>
      <c r="H417">
        <f>IF(ISNUMBER(Umidade!$E$9),Umidade!$E$9,"")</f>
        <v>11.75</v>
      </c>
      <c r="I417">
        <f>IF(OR(G417="",H417=""),"",G417-H417)</f>
        <v>-0.02999999999999936</v>
      </c>
      <c r="L417">
        <f>BD_Limites!$H$13</f>
        <v>0.05</v>
      </c>
      <c r="M417" t="str">
        <f>IF(I417="","",IF(ROUND(ABS(I417),6)&lt;=L417,"Conforme","Não conforme"))</f>
        <v>Conforme</v>
      </c>
      <c r="N417" t="str">
        <f>IF(Umidade!$L$9&amp;""="","",TRIM(Umidade!$L$9&amp;""))</f>
        <v>WESLEY</v>
      </c>
      <c r="O417" t="str">
        <f>IF(Umidade!$K$9&amp;""="","",TRIM(Umidade!$K$9&amp;""))</f>
        <v>B</v>
      </c>
      <c r="P417" t="str">
        <f>IF(Umidade!$N$9&amp;""="","",TRIM(Umidade!$N$9&amp;""))</f>
        <v/>
      </c>
      <c r="Q417" t="s">
        <v>782</v>
      </c>
    </row>
    <row r="418">
      <c r="A418" t="s">
        <v>761</v>
      </c>
      <c r="B418" t="s">
        <v>654</v>
      </c>
      <c r="C418" s="912">
        <f>IF(N(Umidade!$A$10)&gt;0,Umidade!$A$10,"")</f>
        <v>46282</v>
      </c>
      <c r="D418" t="s">
        <v>777</v>
      </c>
      <c r="E418" t="s">
        <v>761</v>
      </c>
      <c r="F418" t="s">
        <v>402</v>
      </c>
      <c r="G418">
        <f>IF(ISNUMBER(Umidade!$C$10),Umidade!$C$10,"")</f>
        <v>12.02</v>
      </c>
      <c r="H418">
        <f>IF(ISNUMBER(Umidade!$E$10),Umidade!$E$10,"")</f>
        <v>11.99</v>
      </c>
      <c r="I418">
        <f>IF(OR(G418="",H418=""),"",G418-H418)</f>
        <v>0.02999999999999936</v>
      </c>
      <c r="L418">
        <f>BD_Limites!$H$13</f>
        <v>0.05</v>
      </c>
      <c r="M418" t="str">
        <f>IF(I418="","",IF(ROUND(ABS(I418),6)&lt;=L418,"Conforme","Não conforme"))</f>
        <v>Conforme</v>
      </c>
      <c r="N418" t="str">
        <f>IF(Umidade!$L$10&amp;""="","",TRIM(Umidade!$L$10&amp;""))</f>
        <v>RENATO</v>
      </c>
      <c r="O418" t="str">
        <f>IF(Umidade!$K$10&amp;""="","",TRIM(Umidade!$K$10&amp;""))</f>
        <v>A</v>
      </c>
      <c r="P418" t="str">
        <f>IF(Umidade!$N$10&amp;""="","",TRIM(Umidade!$N$10&amp;""))</f>
        <v/>
      </c>
      <c r="Q418" t="s">
        <v>783</v>
      </c>
    </row>
    <row r="419">
      <c r="A419" t="s">
        <v>761</v>
      </c>
      <c r="B419" t="s">
        <v>654</v>
      </c>
      <c r="C419" s="912">
        <f>IF(N(Umidade!$A$11)&gt;0,Umidade!$A$11,"")</f>
        <v>46287</v>
      </c>
      <c r="D419" t="s">
        <v>777</v>
      </c>
      <c r="E419" t="s">
        <v>761</v>
      </c>
      <c r="F419" t="s">
        <v>402</v>
      </c>
      <c r="G419">
        <f>IF(ISNUMBER(Umidade!$C$11),Umidade!$C$11,"")</f>
        <v>11.467</v>
      </c>
      <c r="H419">
        <f>IF(ISNUMBER(Umidade!$E$11),Umidade!$E$11,"")</f>
        <v>11.46</v>
      </c>
      <c r="I419">
        <f>IF(OR(G419="",H419=""),"",G419-H419)</f>
        <v>0.006999999999999673</v>
      </c>
      <c r="L419">
        <f>BD_Limites!$H$13</f>
        <v>0.05</v>
      </c>
      <c r="M419" t="str">
        <f>IF(I419="","",IF(ROUND(ABS(I419),6)&lt;=L419,"Conforme","Não conforme"))</f>
        <v>Conforme</v>
      </c>
      <c r="N419" t="str">
        <f>IF(Umidade!$L$11&amp;""="","",TRIM(Umidade!$L$11&amp;""))</f>
        <v>FELIPE</v>
      </c>
      <c r="O419" t="str">
        <f>IF(Umidade!$K$11&amp;""="","",TRIM(Umidade!$K$11&amp;""))</f>
        <v>B</v>
      </c>
      <c r="P419" t="str">
        <f>IF(Umidade!$N$11&amp;""="","",TRIM(Umidade!$N$11&amp;""))</f>
        <v/>
      </c>
      <c r="Q419" t="s">
        <v>784</v>
      </c>
    </row>
    <row r="420">
      <c r="A420" t="s">
        <v>761</v>
      </c>
      <c r="B420" t="s">
        <v>654</v>
      </c>
      <c r="C420" s="912" t="str">
        <f>IF(N(Umidade!$A$12)&gt;0,Umidade!$A$12,"")</f>
        <v/>
      </c>
      <c r="D420" t="s">
        <v>777</v>
      </c>
      <c r="E420" t="s">
        <v>761</v>
      </c>
      <c r="F420" t="s">
        <v>402</v>
      </c>
      <c r="G420" t="str">
        <f>IF(ISNUMBER(Umidade!$C$12),Umidade!$C$12,"")</f>
        <v/>
      </c>
      <c r="H420" t="str">
        <f>IF(ISNUMBER(Umidade!$E$12),Umidade!$E$12,"")</f>
        <v/>
      </c>
      <c r="I420" t="str">
        <f>IF(OR(G420="",H420=""),"",G420-H420)</f>
        <v/>
      </c>
      <c r="L420">
        <f>BD_Limites!$H$13</f>
        <v>0.05</v>
      </c>
      <c r="M420" t="str">
        <f>IF(I420="","",IF(ROUND(ABS(I420),6)&lt;=L420,"Conforme","Não conforme"))</f>
        <v/>
      </c>
      <c r="N420" t="str">
        <f>IF(Umidade!$L$12&amp;""="","",TRIM(Umidade!$L$12&amp;""))</f>
        <v/>
      </c>
      <c r="O420" t="str">
        <f>IF(Umidade!$K$12&amp;""="","",TRIM(Umidade!$K$12&amp;""))</f>
        <v/>
      </c>
      <c r="P420" t="str">
        <f>IF(Umidade!$N$12&amp;""="","",TRIM(Umidade!$N$12&amp;""))</f>
        <v/>
      </c>
      <c r="Q420" t="s">
        <v>785</v>
      </c>
    </row>
    <row r="421">
      <c r="A421" t="s">
        <v>761</v>
      </c>
      <c r="B421" t="s">
        <v>654</v>
      </c>
      <c r="C421" s="912" t="str">
        <f>IF(N(Umidade!$A$13)&gt;0,Umidade!$A$13,"")</f>
        <v/>
      </c>
      <c r="D421" t="s">
        <v>777</v>
      </c>
      <c r="E421" t="s">
        <v>761</v>
      </c>
      <c r="F421" t="s">
        <v>402</v>
      </c>
      <c r="G421" t="str">
        <f>IF(ISNUMBER(Umidade!$C$13),Umidade!$C$13,"")</f>
        <v/>
      </c>
      <c r="H421" t="str">
        <f>IF(ISNUMBER(Umidade!$E$13),Umidade!$E$13,"")</f>
        <v/>
      </c>
      <c r="I421" t="str">
        <f>IF(OR(G421="",H421=""),"",G421-H421)</f>
        <v/>
      </c>
      <c r="L421">
        <f>BD_Limites!$H$13</f>
        <v>0.05</v>
      </c>
      <c r="M421" t="str">
        <f>IF(I421="","",IF(ROUND(ABS(I421),6)&lt;=L421,"Conforme","Não conforme"))</f>
        <v/>
      </c>
      <c r="N421" t="str">
        <f>IF(Umidade!$L$13&amp;""="","",TRIM(Umidade!$L$13&amp;""))</f>
        <v/>
      </c>
      <c r="O421" t="str">
        <f>IF(Umidade!$K$13&amp;""="","",TRIM(Umidade!$K$13&amp;""))</f>
        <v/>
      </c>
      <c r="P421" t="str">
        <f>IF(Umidade!$N$13&amp;""="","",TRIM(Umidade!$N$13&amp;""))</f>
        <v/>
      </c>
      <c r="Q421" t="s">
        <v>786</v>
      </c>
    </row>
    <row r="422">
      <c r="A422" t="s">
        <v>761</v>
      </c>
      <c r="B422" t="s">
        <v>654</v>
      </c>
      <c r="C422" s="912" t="str">
        <f>IF(N(Umidade!$A$14)&gt;0,Umidade!$A$14,"")</f>
        <v/>
      </c>
      <c r="D422" t="s">
        <v>777</v>
      </c>
      <c r="E422" t="s">
        <v>761</v>
      </c>
      <c r="F422" t="s">
        <v>402</v>
      </c>
      <c r="G422" t="str">
        <f>IF(ISNUMBER(Umidade!$C$14),Umidade!$C$14,"")</f>
        <v/>
      </c>
      <c r="H422" t="str">
        <f>IF(ISNUMBER(Umidade!$E$14),Umidade!$E$14,"")</f>
        <v/>
      </c>
      <c r="I422" t="str">
        <f>IF(OR(G422="",H422=""),"",G422-H422)</f>
        <v/>
      </c>
      <c r="L422">
        <f>BD_Limites!$H$13</f>
        <v>0.05</v>
      </c>
      <c r="M422" t="str">
        <f>IF(I422="","",IF(ROUND(ABS(I422),6)&lt;=L422,"Conforme","Não conforme"))</f>
        <v/>
      </c>
      <c r="N422" t="str">
        <f>IF(Umidade!$L$14&amp;""="","",TRIM(Umidade!$L$14&amp;""))</f>
        <v/>
      </c>
      <c r="O422" t="str">
        <f>IF(Umidade!$K$14&amp;""="","",TRIM(Umidade!$K$14&amp;""))</f>
        <v/>
      </c>
      <c r="P422" t="str">
        <f>IF(Umidade!$N$14&amp;""="","",TRIM(Umidade!$N$14&amp;""))</f>
        <v/>
      </c>
      <c r="Q422" t="s">
        <v>787</v>
      </c>
    </row>
    <row r="423">
      <c r="A423" t="s">
        <v>761</v>
      </c>
      <c r="B423" t="s">
        <v>654</v>
      </c>
      <c r="C423" s="912" t="str">
        <f>IF(N(Umidade!$A$15)&gt;0,Umidade!$A$15,"")</f>
        <v/>
      </c>
      <c r="D423" t="s">
        <v>777</v>
      </c>
      <c r="E423" t="s">
        <v>761</v>
      </c>
      <c r="F423" t="s">
        <v>402</v>
      </c>
      <c r="G423" t="str">
        <f>IF(ISNUMBER(Umidade!$C$15),Umidade!$C$15,"")</f>
        <v/>
      </c>
      <c r="H423" t="str">
        <f>IF(ISNUMBER(Umidade!$E$15),Umidade!$E$15,"")</f>
        <v/>
      </c>
      <c r="I423" t="str">
        <f>IF(OR(G423="",H423=""),"",G423-H423)</f>
        <v/>
      </c>
      <c r="L423">
        <f>BD_Limites!$H$13</f>
        <v>0.05</v>
      </c>
      <c r="M423" t="str">
        <f>IF(I423="","",IF(ROUND(ABS(I423),6)&lt;=L423,"Conforme","Não conforme"))</f>
        <v/>
      </c>
      <c r="N423" t="str">
        <f>IF(Umidade!$L$15&amp;""="","",TRIM(Umidade!$L$15&amp;""))</f>
        <v/>
      </c>
      <c r="O423" t="str">
        <f>IF(Umidade!$K$15&amp;""="","",TRIM(Umidade!$K$15&amp;""))</f>
        <v/>
      </c>
      <c r="P423" t="str">
        <f>IF(Umidade!$N$15&amp;""="","",TRIM(Umidade!$N$15&amp;""))</f>
        <v/>
      </c>
      <c r="Q423" t="s">
        <v>788</v>
      </c>
    </row>
    <row r="424">
      <c r="A424" t="s">
        <v>761</v>
      </c>
      <c r="B424" t="s">
        <v>654</v>
      </c>
      <c r="C424" s="912" t="str">
        <f>IF(N(Umidade!$A$16)&gt;0,Umidade!$A$16,"")</f>
        <v/>
      </c>
      <c r="D424" t="s">
        <v>777</v>
      </c>
      <c r="E424" t="s">
        <v>761</v>
      </c>
      <c r="F424" t="s">
        <v>402</v>
      </c>
      <c r="G424" t="str">
        <f>IF(ISNUMBER(Umidade!$C$16),Umidade!$C$16,"")</f>
        <v/>
      </c>
      <c r="H424" t="str">
        <f>IF(ISNUMBER(Umidade!$E$16),Umidade!$E$16,"")</f>
        <v/>
      </c>
      <c r="I424" t="str">
        <f>IF(OR(G424="",H424=""),"",G424-H424)</f>
        <v/>
      </c>
      <c r="L424">
        <f>BD_Limites!$H$13</f>
        <v>0.05</v>
      </c>
      <c r="M424" t="str">
        <f>IF(I424="","",IF(ROUND(ABS(I424),6)&lt;=L424,"Conforme","Não conforme"))</f>
        <v/>
      </c>
      <c r="N424" t="str">
        <f>IF(Umidade!$L$16&amp;""="","",TRIM(Umidade!$L$16&amp;""))</f>
        <v/>
      </c>
      <c r="O424" t="str">
        <f>IF(Umidade!$K$16&amp;""="","",TRIM(Umidade!$K$16&amp;""))</f>
        <v/>
      </c>
      <c r="P424" t="str">
        <f>IF(Umidade!$N$16&amp;""="","",TRIM(Umidade!$N$16&amp;""))</f>
        <v/>
      </c>
      <c r="Q424" t="s">
        <v>789</v>
      </c>
    </row>
    <row r="425">
      <c r="A425" t="s">
        <v>761</v>
      </c>
      <c r="B425" t="s">
        <v>654</v>
      </c>
      <c r="C425" s="912" t="str">
        <f>IF(N(Umidade!$A$17)&gt;0,Umidade!$A$17,"")</f>
        <v/>
      </c>
      <c r="D425" t="s">
        <v>777</v>
      </c>
      <c r="E425" t="s">
        <v>761</v>
      </c>
      <c r="F425" t="s">
        <v>402</v>
      </c>
      <c r="G425" t="str">
        <f>IF(ISNUMBER(Umidade!$C$17),Umidade!$C$17,"")</f>
        <v/>
      </c>
      <c r="H425" t="str">
        <f>IF(ISNUMBER(Umidade!$E$17),Umidade!$E$17,"")</f>
        <v/>
      </c>
      <c r="I425" t="str">
        <f>IF(OR(G425="",H425=""),"",G425-H425)</f>
        <v/>
      </c>
      <c r="L425">
        <f>BD_Limites!$H$13</f>
        <v>0.05</v>
      </c>
      <c r="M425" t="str">
        <f>IF(I425="","",IF(ROUND(ABS(I425),6)&lt;=L425,"Conforme","Não conforme"))</f>
        <v/>
      </c>
      <c r="N425" t="str">
        <f>IF(Umidade!$L$17&amp;""="","",TRIM(Umidade!$L$17&amp;""))</f>
        <v/>
      </c>
      <c r="O425" t="str">
        <f>IF(Umidade!$K$17&amp;""="","",TRIM(Umidade!$K$17&amp;""))</f>
        <v/>
      </c>
      <c r="P425" t="str">
        <f>IF(Umidade!$N$17&amp;""="","",TRIM(Umidade!$N$17&amp;""))</f>
        <v/>
      </c>
      <c r="Q425" t="s">
        <v>790</v>
      </c>
    </row>
    <row r="426">
      <c r="A426" t="s">
        <v>761</v>
      </c>
      <c r="B426" t="s">
        <v>654</v>
      </c>
      <c r="C426" s="912" t="str">
        <f>IF(N(Umidade!$A$18)&gt;0,Umidade!$A$18,"")</f>
        <v/>
      </c>
      <c r="D426" t="s">
        <v>777</v>
      </c>
      <c r="E426" t="s">
        <v>761</v>
      </c>
      <c r="F426" t="s">
        <v>402</v>
      </c>
      <c r="G426" t="str">
        <f>IF(ISNUMBER(Umidade!$C$18),Umidade!$C$18,"")</f>
        <v/>
      </c>
      <c r="H426" t="str">
        <f>IF(ISNUMBER(Umidade!$E$18),Umidade!$E$18,"")</f>
        <v/>
      </c>
      <c r="I426" t="str">
        <f>IF(OR(G426="",H426=""),"",G426-H426)</f>
        <v/>
      </c>
      <c r="L426">
        <f>BD_Limites!$H$13</f>
        <v>0.05</v>
      </c>
      <c r="M426" t="str">
        <f>IF(I426="","",IF(ROUND(ABS(I426),6)&lt;=L426,"Conforme","Não conforme"))</f>
        <v/>
      </c>
      <c r="N426" t="str">
        <f>IF(Umidade!$L$18&amp;""="","",TRIM(Umidade!$L$18&amp;""))</f>
        <v/>
      </c>
      <c r="O426" t="str">
        <f>IF(Umidade!$K$18&amp;""="","",TRIM(Umidade!$K$18&amp;""))</f>
        <v/>
      </c>
      <c r="P426" t="str">
        <f>IF(Umidade!$N$18&amp;""="","",TRIM(Umidade!$N$18&amp;""))</f>
        <v/>
      </c>
      <c r="Q426" t="s">
        <v>791</v>
      </c>
    </row>
    <row r="427">
      <c r="A427" t="s">
        <v>761</v>
      </c>
      <c r="B427" t="s">
        <v>654</v>
      </c>
      <c r="C427" s="912">
        <f>IF(N(Umidade!$A$5)&gt;0,Umidade!$A$5,"")</f>
        <v>46266</v>
      </c>
      <c r="D427" t="s">
        <v>792</v>
      </c>
      <c r="E427" t="s">
        <v>761</v>
      </c>
      <c r="F427" t="s">
        <v>402</v>
      </c>
      <c r="G427">
        <f>IF(ISNUMBER(Umidade!$D$5),Umidade!$D$5,"")</f>
        <v>11.79</v>
      </c>
      <c r="H427">
        <f>IF(ISNUMBER(Umidade!$E$5),Umidade!$E$5,"")</f>
        <v>11.83</v>
      </c>
      <c r="I427">
        <f>IF(OR(G427="",H427=""),"",G427-H427)</f>
        <v>-0.040000000000000924</v>
      </c>
      <c r="L427">
        <f>BD_Limites!$H$13</f>
        <v>0.05</v>
      </c>
      <c r="M427" t="str">
        <f>IF(I427="","",IF(ROUND(ABS(I427),6)&lt;=L427,"Conforme","Não conforme"))</f>
        <v>Conforme</v>
      </c>
      <c r="N427" t="str">
        <f>IF(Umidade!$L$5&amp;""="","",TRIM(Umidade!$L$5&amp;""))</f>
        <v>ALESANDRO</v>
      </c>
      <c r="O427" t="str">
        <f>IF(Umidade!$K$5&amp;""="","",TRIM(Umidade!$K$5&amp;""))</f>
        <v>A</v>
      </c>
      <c r="P427" t="str">
        <f>IF(Umidade!$N$5&amp;""="","",TRIM(Umidade!$N$5&amp;""))</f>
        <v>ANALISADOR 66 AN 10 EM MANUTENÇÃO</v>
      </c>
      <c r="Q427" t="s">
        <v>793</v>
      </c>
    </row>
    <row r="428">
      <c r="A428" t="s">
        <v>761</v>
      </c>
      <c r="B428" t="s">
        <v>654</v>
      </c>
      <c r="C428" s="912">
        <f>IF(N(Umidade!$A$6)&gt;0,Umidade!$A$6,"")</f>
        <v>46271</v>
      </c>
      <c r="D428" t="s">
        <v>792</v>
      </c>
      <c r="E428" t="s">
        <v>761</v>
      </c>
      <c r="F428" t="s">
        <v>402</v>
      </c>
      <c r="G428">
        <f>IF(ISNUMBER(Umidade!$D$6),Umidade!$D$6,"")</f>
        <v>12.356</v>
      </c>
      <c r="H428">
        <f>IF(ISNUMBER(Umidade!$E$6),Umidade!$E$6,"")</f>
        <v>11.38</v>
      </c>
      <c r="I428">
        <f>IF(OR(G428="",H428=""),"",G428-H428)</f>
        <v>0.9759999999999991</v>
      </c>
      <c r="L428">
        <f>BD_Limites!$H$13</f>
        <v>0.05</v>
      </c>
      <c r="M428" t="str">
        <f>IF(I428="","",IF(ROUND(ABS(I428),6)&lt;=L428,"Conforme","Não conforme"))</f>
        <v>Não conforme</v>
      </c>
      <c r="N428" t="str">
        <f>IF(Umidade!$L$6&amp;""="","",TRIM(Umidade!$L$6&amp;""))</f>
        <v>FELIPE</v>
      </c>
      <c r="O428" t="str">
        <f>IF(Umidade!$K$6&amp;""="","",TRIM(Umidade!$K$6&amp;""))</f>
        <v>B</v>
      </c>
      <c r="P428" t="str">
        <f>IF(Umidade!$N$6&amp;""="","",TRIM(Umidade!$N$6&amp;""))</f>
        <v>ANALISADOR 66 AN 10 EM MANUTENÇÃO</v>
      </c>
      <c r="Q428" t="s">
        <v>794</v>
      </c>
    </row>
    <row r="429">
      <c r="A429" t="s">
        <v>761</v>
      </c>
      <c r="B429" t="s">
        <v>654</v>
      </c>
      <c r="C429" s="912">
        <f>IF(N(Umidade!$A$7)&gt;0,Umidade!$A$7,"")</f>
        <v>46273</v>
      </c>
      <c r="D429" t="s">
        <v>792</v>
      </c>
      <c r="E429" t="s">
        <v>761</v>
      </c>
      <c r="F429" t="s">
        <v>402</v>
      </c>
      <c r="G429">
        <f>IF(ISNUMBER(Umidade!$D$7),Umidade!$D$7,"")</f>
        <v>11.82</v>
      </c>
      <c r="H429">
        <f>IF(ISNUMBER(Umidade!$E$7),Umidade!$E$7,"")</f>
        <v>11.8</v>
      </c>
      <c r="I429">
        <f>IF(OR(G429="",H429=""),"",G429-H429)</f>
        <v>0.019999999999999574</v>
      </c>
      <c r="L429">
        <f>BD_Limites!$H$13</f>
        <v>0.05</v>
      </c>
      <c r="M429" t="str">
        <f>IF(I429="","",IF(ROUND(ABS(I429),6)&lt;=L429,"Conforme","Não conforme"))</f>
        <v>Conforme</v>
      </c>
      <c r="N429" t="str">
        <f>IF(Umidade!$L$7&amp;""="","",TRIM(Umidade!$L$7&amp;""))</f>
        <v>RENATO</v>
      </c>
      <c r="O429" t="str">
        <f>IF(Umidade!$K$7&amp;""="","",TRIM(Umidade!$K$7&amp;""))</f>
        <v>A</v>
      </c>
      <c r="P429" t="str">
        <f>IF(Umidade!$N$7&amp;""="","",TRIM(Umidade!$N$7&amp;""))</f>
        <v>ANALISADOR 66 AN 10 EM MANUTENÇÃO</v>
      </c>
      <c r="Q429" t="s">
        <v>795</v>
      </c>
    </row>
    <row r="430">
      <c r="A430" t="s">
        <v>761</v>
      </c>
      <c r="B430" t="s">
        <v>654</v>
      </c>
      <c r="C430" s="912">
        <f>IF(N(Umidade!$A$8)&gt;0,Umidade!$A$8,"")</f>
        <v>46278</v>
      </c>
      <c r="D430" t="s">
        <v>792</v>
      </c>
      <c r="E430" t="s">
        <v>761</v>
      </c>
      <c r="F430" t="s">
        <v>402</v>
      </c>
      <c r="G430">
        <f>IF(ISNUMBER(Umidade!$D$8),Umidade!$D$8,"")</f>
        <v>12</v>
      </c>
      <c r="H430">
        <f>IF(ISNUMBER(Umidade!$E$8),Umidade!$E$8,"")</f>
        <v>12.03</v>
      </c>
      <c r="I430">
        <f>IF(OR(G430="",H430=""),"",G430-H430)</f>
        <v>-0.02999999999999936</v>
      </c>
      <c r="L430">
        <f>BD_Limites!$H$13</f>
        <v>0.05</v>
      </c>
      <c r="M430" t="str">
        <f>IF(I430="","",IF(ROUND(ABS(I430),6)&lt;=L430,"Conforme","Não conforme"))</f>
        <v>Conforme</v>
      </c>
      <c r="N430" t="str">
        <f>IF(Umidade!$L$8&amp;""="","",TRIM(Umidade!$L$8&amp;""))</f>
        <v>LUIS FELIPE</v>
      </c>
      <c r="O430" t="str">
        <f>IF(Umidade!$K$8&amp;""="","",TRIM(Umidade!$K$8&amp;""))</f>
        <v>D</v>
      </c>
      <c r="P430" t="str">
        <f>IF(Umidade!$N$8&amp;""="","",TRIM(Umidade!$N$8&amp;""))</f>
        <v>ANALISADOR 66 AN 10 EM MANUTENÇÃO</v>
      </c>
      <c r="Q430" t="s">
        <v>796</v>
      </c>
    </row>
    <row r="431">
      <c r="A431" t="s">
        <v>761</v>
      </c>
      <c r="B431" t="s">
        <v>654</v>
      </c>
      <c r="C431" s="912">
        <f>IF(N(Umidade!$A$9)&gt;0,Umidade!$A$9,"")</f>
        <v>46280</v>
      </c>
      <c r="D431" t="s">
        <v>792</v>
      </c>
      <c r="E431" t="s">
        <v>761</v>
      </c>
      <c r="F431" t="s">
        <v>402</v>
      </c>
      <c r="G431">
        <f>IF(ISNUMBER(Umidade!$D$9),Umidade!$D$9,"")</f>
        <v>11.72</v>
      </c>
      <c r="H431">
        <f>IF(ISNUMBER(Umidade!$E$9),Umidade!$E$9,"")</f>
        <v>11.75</v>
      </c>
      <c r="I431">
        <f>IF(OR(G431="",H431=""),"",G431-H431)</f>
        <v>-0.02999999999999936</v>
      </c>
      <c r="L431">
        <f>BD_Limites!$H$13</f>
        <v>0.05</v>
      </c>
      <c r="M431" t="str">
        <f>IF(I431="","",IF(ROUND(ABS(I431),6)&lt;=L431,"Conforme","Não conforme"))</f>
        <v>Conforme</v>
      </c>
      <c r="N431" t="str">
        <f>IF(Umidade!$L$9&amp;""="","",TRIM(Umidade!$L$9&amp;""))</f>
        <v>WESLEY</v>
      </c>
      <c r="O431" t="str">
        <f>IF(Umidade!$K$9&amp;""="","",TRIM(Umidade!$K$9&amp;""))</f>
        <v>B</v>
      </c>
      <c r="P431" t="str">
        <f>IF(Umidade!$N$9&amp;""="","",TRIM(Umidade!$N$9&amp;""))</f>
        <v/>
      </c>
      <c r="Q431" t="s">
        <v>797</v>
      </c>
    </row>
    <row r="432">
      <c r="A432" t="s">
        <v>761</v>
      </c>
      <c r="B432" t="s">
        <v>654</v>
      </c>
      <c r="C432" s="912">
        <f>IF(N(Umidade!$A$10)&gt;0,Umidade!$A$10,"")</f>
        <v>46282</v>
      </c>
      <c r="D432" t="s">
        <v>792</v>
      </c>
      <c r="E432" t="s">
        <v>761</v>
      </c>
      <c r="F432" t="s">
        <v>402</v>
      </c>
      <c r="G432">
        <f>IF(ISNUMBER(Umidade!$D$10),Umidade!$D$10,"")</f>
        <v>11.98</v>
      </c>
      <c r="H432">
        <f>IF(ISNUMBER(Umidade!$E$10),Umidade!$E$10,"")</f>
        <v>11.99</v>
      </c>
      <c r="I432">
        <f>IF(OR(G432="",H432=""),"",G432-H432)</f>
        <v>-0.009999999999999787</v>
      </c>
      <c r="L432">
        <f>BD_Limites!$H$13</f>
        <v>0.05</v>
      </c>
      <c r="M432" t="str">
        <f>IF(I432="","",IF(ROUND(ABS(I432),6)&lt;=L432,"Conforme","Não conforme"))</f>
        <v>Conforme</v>
      </c>
      <c r="N432" t="str">
        <f>IF(Umidade!$L$10&amp;""="","",TRIM(Umidade!$L$10&amp;""))</f>
        <v>RENATO</v>
      </c>
      <c r="O432" t="str">
        <f>IF(Umidade!$K$10&amp;""="","",TRIM(Umidade!$K$10&amp;""))</f>
        <v>A</v>
      </c>
      <c r="P432" t="str">
        <f>IF(Umidade!$N$10&amp;""="","",TRIM(Umidade!$N$10&amp;""))</f>
        <v/>
      </c>
      <c r="Q432" t="s">
        <v>798</v>
      </c>
    </row>
    <row r="433">
      <c r="A433" t="s">
        <v>761</v>
      </c>
      <c r="B433" t="s">
        <v>654</v>
      </c>
      <c r="C433" s="912">
        <f>IF(N(Umidade!$A$11)&gt;0,Umidade!$A$11,"")</f>
        <v>46287</v>
      </c>
      <c r="D433" t="s">
        <v>792</v>
      </c>
      <c r="E433" t="s">
        <v>761</v>
      </c>
      <c r="F433" t="s">
        <v>402</v>
      </c>
      <c r="G433">
        <f>IF(ISNUMBER(Umidade!$D$11),Umidade!$D$11,"")</f>
        <v>11.477</v>
      </c>
      <c r="H433">
        <f>IF(ISNUMBER(Umidade!$E$11),Umidade!$E$11,"")</f>
        <v>11.46</v>
      </c>
      <c r="I433">
        <f>IF(OR(G433="",H433=""),"",G433-H433)</f>
        <v>0.01699999999999946</v>
      </c>
      <c r="L433">
        <f>BD_Limites!$H$13</f>
        <v>0.05</v>
      </c>
      <c r="M433" t="str">
        <f>IF(I433="","",IF(ROUND(ABS(I433),6)&lt;=L433,"Conforme","Não conforme"))</f>
        <v>Conforme</v>
      </c>
      <c r="N433" t="str">
        <f>IF(Umidade!$L$11&amp;""="","",TRIM(Umidade!$L$11&amp;""))</f>
        <v>FELIPE</v>
      </c>
      <c r="O433" t="str">
        <f>IF(Umidade!$K$11&amp;""="","",TRIM(Umidade!$K$11&amp;""))</f>
        <v>B</v>
      </c>
      <c r="P433" t="str">
        <f>IF(Umidade!$N$11&amp;""="","",TRIM(Umidade!$N$11&amp;""))</f>
        <v/>
      </c>
      <c r="Q433" t="s">
        <v>799</v>
      </c>
    </row>
    <row r="434">
      <c r="A434" t="s">
        <v>761</v>
      </c>
      <c r="B434" t="s">
        <v>654</v>
      </c>
      <c r="C434" s="912" t="str">
        <f>IF(N(Umidade!$A$12)&gt;0,Umidade!$A$12,"")</f>
        <v/>
      </c>
      <c r="D434" t="s">
        <v>792</v>
      </c>
      <c r="E434" t="s">
        <v>761</v>
      </c>
      <c r="F434" t="s">
        <v>402</v>
      </c>
      <c r="G434" t="str">
        <f>IF(ISNUMBER(Umidade!$D$12),Umidade!$D$12,"")</f>
        <v/>
      </c>
      <c r="H434" t="str">
        <f>IF(ISNUMBER(Umidade!$E$12),Umidade!$E$12,"")</f>
        <v/>
      </c>
      <c r="I434" t="str">
        <f>IF(OR(G434="",H434=""),"",G434-H434)</f>
        <v/>
      </c>
      <c r="L434">
        <f>BD_Limites!$H$13</f>
        <v>0.05</v>
      </c>
      <c r="M434" t="str">
        <f>IF(I434="","",IF(ROUND(ABS(I434),6)&lt;=L434,"Conforme","Não conforme"))</f>
        <v/>
      </c>
      <c r="N434" t="str">
        <f>IF(Umidade!$L$12&amp;""="","",TRIM(Umidade!$L$12&amp;""))</f>
        <v/>
      </c>
      <c r="O434" t="str">
        <f>IF(Umidade!$K$12&amp;""="","",TRIM(Umidade!$K$12&amp;""))</f>
        <v/>
      </c>
      <c r="P434" t="str">
        <f>IF(Umidade!$N$12&amp;""="","",TRIM(Umidade!$N$12&amp;""))</f>
        <v/>
      </c>
      <c r="Q434" t="s">
        <v>800</v>
      </c>
    </row>
    <row r="435">
      <c r="A435" t="s">
        <v>761</v>
      </c>
      <c r="B435" t="s">
        <v>654</v>
      </c>
      <c r="C435" s="912" t="str">
        <f>IF(N(Umidade!$A$13)&gt;0,Umidade!$A$13,"")</f>
        <v/>
      </c>
      <c r="D435" t="s">
        <v>792</v>
      </c>
      <c r="E435" t="s">
        <v>761</v>
      </c>
      <c r="F435" t="s">
        <v>402</v>
      </c>
      <c r="G435" t="str">
        <f>IF(ISNUMBER(Umidade!$D$13),Umidade!$D$13,"")</f>
        <v/>
      </c>
      <c r="H435" t="str">
        <f>IF(ISNUMBER(Umidade!$E$13),Umidade!$E$13,"")</f>
        <v/>
      </c>
      <c r="I435" t="str">
        <f>IF(OR(G435="",H435=""),"",G435-H435)</f>
        <v/>
      </c>
      <c r="L435">
        <f>BD_Limites!$H$13</f>
        <v>0.05</v>
      </c>
      <c r="M435" t="str">
        <f>IF(I435="","",IF(ROUND(ABS(I435),6)&lt;=L435,"Conforme","Não conforme"))</f>
        <v/>
      </c>
      <c r="N435" t="str">
        <f>IF(Umidade!$L$13&amp;""="","",TRIM(Umidade!$L$13&amp;""))</f>
        <v/>
      </c>
      <c r="O435" t="str">
        <f>IF(Umidade!$K$13&amp;""="","",TRIM(Umidade!$K$13&amp;""))</f>
        <v/>
      </c>
      <c r="P435" t="str">
        <f>IF(Umidade!$N$13&amp;""="","",TRIM(Umidade!$N$13&amp;""))</f>
        <v/>
      </c>
      <c r="Q435" t="s">
        <v>801</v>
      </c>
    </row>
    <row r="436">
      <c r="A436" t="s">
        <v>761</v>
      </c>
      <c r="B436" t="s">
        <v>654</v>
      </c>
      <c r="C436" s="912" t="str">
        <f>IF(N(Umidade!$A$14)&gt;0,Umidade!$A$14,"")</f>
        <v/>
      </c>
      <c r="D436" t="s">
        <v>792</v>
      </c>
      <c r="E436" t="s">
        <v>761</v>
      </c>
      <c r="F436" t="s">
        <v>402</v>
      </c>
      <c r="G436" t="str">
        <f>IF(ISNUMBER(Umidade!$D$14),Umidade!$D$14,"")</f>
        <v/>
      </c>
      <c r="H436" t="str">
        <f>IF(ISNUMBER(Umidade!$E$14),Umidade!$E$14,"")</f>
        <v/>
      </c>
      <c r="I436" t="str">
        <f>IF(OR(G436="",H436=""),"",G436-H436)</f>
        <v/>
      </c>
      <c r="L436">
        <f>BD_Limites!$H$13</f>
        <v>0.05</v>
      </c>
      <c r="M436" t="str">
        <f>IF(I436="","",IF(ROUND(ABS(I436),6)&lt;=L436,"Conforme","Não conforme"))</f>
        <v/>
      </c>
      <c r="N436" t="str">
        <f>IF(Umidade!$L$14&amp;""="","",TRIM(Umidade!$L$14&amp;""))</f>
        <v/>
      </c>
      <c r="O436" t="str">
        <f>IF(Umidade!$K$14&amp;""="","",TRIM(Umidade!$K$14&amp;""))</f>
        <v/>
      </c>
      <c r="P436" t="str">
        <f>IF(Umidade!$N$14&amp;""="","",TRIM(Umidade!$N$14&amp;""))</f>
        <v/>
      </c>
      <c r="Q436" t="s">
        <v>802</v>
      </c>
    </row>
    <row r="437">
      <c r="A437" t="s">
        <v>761</v>
      </c>
      <c r="B437" t="s">
        <v>654</v>
      </c>
      <c r="C437" s="912" t="str">
        <f>IF(N(Umidade!$A$15)&gt;0,Umidade!$A$15,"")</f>
        <v/>
      </c>
      <c r="D437" t="s">
        <v>792</v>
      </c>
      <c r="E437" t="s">
        <v>761</v>
      </c>
      <c r="F437" t="s">
        <v>402</v>
      </c>
      <c r="G437" t="str">
        <f>IF(ISNUMBER(Umidade!$D$15),Umidade!$D$15,"")</f>
        <v/>
      </c>
      <c r="H437" t="str">
        <f>IF(ISNUMBER(Umidade!$E$15),Umidade!$E$15,"")</f>
        <v/>
      </c>
      <c r="I437" t="str">
        <f>IF(OR(G437="",H437=""),"",G437-H437)</f>
        <v/>
      </c>
      <c r="L437">
        <f>BD_Limites!$H$13</f>
        <v>0.05</v>
      </c>
      <c r="M437" t="str">
        <f>IF(I437="","",IF(ROUND(ABS(I437),6)&lt;=L437,"Conforme","Não conforme"))</f>
        <v/>
      </c>
      <c r="N437" t="str">
        <f>IF(Umidade!$L$15&amp;""="","",TRIM(Umidade!$L$15&amp;""))</f>
        <v/>
      </c>
      <c r="O437" t="str">
        <f>IF(Umidade!$K$15&amp;""="","",TRIM(Umidade!$K$15&amp;""))</f>
        <v/>
      </c>
      <c r="P437" t="str">
        <f>IF(Umidade!$N$15&amp;""="","",TRIM(Umidade!$N$15&amp;""))</f>
        <v/>
      </c>
      <c r="Q437" t="s">
        <v>803</v>
      </c>
    </row>
    <row r="438">
      <c r="A438" t="s">
        <v>761</v>
      </c>
      <c r="B438" t="s">
        <v>654</v>
      </c>
      <c r="C438" s="912" t="str">
        <f>IF(N(Umidade!$A$16)&gt;0,Umidade!$A$16,"")</f>
        <v/>
      </c>
      <c r="D438" t="s">
        <v>792</v>
      </c>
      <c r="E438" t="s">
        <v>761</v>
      </c>
      <c r="F438" t="s">
        <v>402</v>
      </c>
      <c r="G438" t="str">
        <f>IF(ISNUMBER(Umidade!$D$16),Umidade!$D$16,"")</f>
        <v/>
      </c>
      <c r="H438" t="str">
        <f>IF(ISNUMBER(Umidade!$E$16),Umidade!$E$16,"")</f>
        <v/>
      </c>
      <c r="I438" t="str">
        <f>IF(OR(G438="",H438=""),"",G438-H438)</f>
        <v/>
      </c>
      <c r="L438">
        <f>BD_Limites!$H$13</f>
        <v>0.05</v>
      </c>
      <c r="M438" t="str">
        <f>IF(I438="","",IF(ROUND(ABS(I438),6)&lt;=L438,"Conforme","Não conforme"))</f>
        <v/>
      </c>
      <c r="N438" t="str">
        <f>IF(Umidade!$L$16&amp;""="","",TRIM(Umidade!$L$16&amp;""))</f>
        <v/>
      </c>
      <c r="O438" t="str">
        <f>IF(Umidade!$K$16&amp;""="","",TRIM(Umidade!$K$16&amp;""))</f>
        <v/>
      </c>
      <c r="P438" t="str">
        <f>IF(Umidade!$N$16&amp;""="","",TRIM(Umidade!$N$16&amp;""))</f>
        <v/>
      </c>
      <c r="Q438" t="s">
        <v>804</v>
      </c>
    </row>
    <row r="439">
      <c r="A439" t="s">
        <v>761</v>
      </c>
      <c r="B439" t="s">
        <v>654</v>
      </c>
      <c r="C439" s="912" t="str">
        <f>IF(N(Umidade!$A$17)&gt;0,Umidade!$A$17,"")</f>
        <v/>
      </c>
      <c r="D439" t="s">
        <v>792</v>
      </c>
      <c r="E439" t="s">
        <v>761</v>
      </c>
      <c r="F439" t="s">
        <v>402</v>
      </c>
      <c r="G439" t="str">
        <f>IF(ISNUMBER(Umidade!$D$17),Umidade!$D$17,"")</f>
        <v/>
      </c>
      <c r="H439" t="str">
        <f>IF(ISNUMBER(Umidade!$E$17),Umidade!$E$17,"")</f>
        <v/>
      </c>
      <c r="I439" t="str">
        <f>IF(OR(G439="",H439=""),"",G439-H439)</f>
        <v/>
      </c>
      <c r="L439">
        <f>BD_Limites!$H$13</f>
        <v>0.05</v>
      </c>
      <c r="M439" t="str">
        <f>IF(I439="","",IF(ROUND(ABS(I439),6)&lt;=L439,"Conforme","Não conforme"))</f>
        <v/>
      </c>
      <c r="N439" t="str">
        <f>IF(Umidade!$L$17&amp;""="","",TRIM(Umidade!$L$17&amp;""))</f>
        <v/>
      </c>
      <c r="O439" t="str">
        <f>IF(Umidade!$K$17&amp;""="","",TRIM(Umidade!$K$17&amp;""))</f>
        <v/>
      </c>
      <c r="P439" t="str">
        <f>IF(Umidade!$N$17&amp;""="","",TRIM(Umidade!$N$17&amp;""))</f>
        <v/>
      </c>
      <c r="Q439" t="s">
        <v>805</v>
      </c>
    </row>
    <row r="440">
      <c r="A440" t="s">
        <v>761</v>
      </c>
      <c r="B440" t="s">
        <v>654</v>
      </c>
      <c r="C440" s="912" t="str">
        <f>IF(N(Umidade!$A$18)&gt;0,Umidade!$A$18,"")</f>
        <v/>
      </c>
      <c r="D440" t="s">
        <v>792</v>
      </c>
      <c r="E440" t="s">
        <v>761</v>
      </c>
      <c r="F440" t="s">
        <v>402</v>
      </c>
      <c r="G440" t="str">
        <f>IF(ISNUMBER(Umidade!$D$18),Umidade!$D$18,"")</f>
        <v/>
      </c>
      <c r="H440" t="str">
        <f>IF(ISNUMBER(Umidade!$E$18),Umidade!$E$18,"")</f>
        <v/>
      </c>
      <c r="I440" t="str">
        <f>IF(OR(G440="",H440=""),"",G440-H440)</f>
        <v/>
      </c>
      <c r="L440">
        <f>BD_Limites!$H$13</f>
        <v>0.05</v>
      </c>
      <c r="M440" t="str">
        <f>IF(I440="","",IF(ROUND(ABS(I440),6)&lt;=L440,"Conforme","Não conforme"))</f>
        <v/>
      </c>
      <c r="N440" t="str">
        <f>IF(Umidade!$L$18&amp;""="","",TRIM(Umidade!$L$18&amp;""))</f>
        <v/>
      </c>
      <c r="O440" t="str">
        <f>IF(Umidade!$K$18&amp;""="","",TRIM(Umidade!$K$18&amp;""))</f>
        <v/>
      </c>
      <c r="P440" t="str">
        <f>IF(Umidade!$N$18&amp;""="","",TRIM(Umidade!$N$18&amp;""))</f>
        <v/>
      </c>
      <c r="Q440" t="s">
        <v>806</v>
      </c>
    </row>
    <row r="441">
      <c r="A441" t="s">
        <v>807</v>
      </c>
      <c r="B441" t="s">
        <v>654</v>
      </c>
      <c r="C441" s="912">
        <f>IF(N('Tamb Kg x Tamb 15,0Kg'!$D$7)&gt;0,'Tamb Kg x Tamb 15,0Kg'!$D$7,"")</f>
        <v>46279</v>
      </c>
      <c r="D441" t="s">
        <v>808</v>
      </c>
      <c r="E441" t="s">
        <v>809</v>
      </c>
      <c r="F441" t="s">
        <v>402</v>
      </c>
      <c r="G441">
        <f>IF(N('Tamb Kg x Tamb 15,0Kg'!$C$11)=0,"",'Tamb Kg x Tamb 15,0Kg'!$C$11/50)</f>
        <v>93.8</v>
      </c>
      <c r="H441">
        <f>IF(N('Tamb Kg x Tamb 15,0Kg'!$G$11)=0,"",'Tamb Kg x Tamb 15,0Kg'!$G$11/150)</f>
        <v>93.53333333333333</v>
      </c>
      <c r="I441">
        <f>IF(OR(G441="",H441=""),"",G441-H441)</f>
        <v>0.2666666666666657</v>
      </c>
      <c r="L441">
        <f>BD_Limites!$H$14</f>
        <v>0.5</v>
      </c>
      <c r="M441" t="str">
        <f>IF(I441="","",IF(ROUND(ABS(I441),6)&lt;=L441,"Conforme","Não conforme"))</f>
        <v>Conforme</v>
      </c>
      <c r="N441" t="str">
        <f>IF('Tamb Kg x Tamb 15,0Kg'!$G$7&amp;""="","",TRIM('Tamb Kg x Tamb 15,0Kg'!$G$7&amp;""))</f>
        <v>WESLEY</v>
      </c>
      <c r="Q441" t="s">
        <v>810</v>
      </c>
    </row>
    <row r="442">
      <c r="A442" t="s">
        <v>807</v>
      </c>
      <c r="B442" t="s">
        <v>654</v>
      </c>
      <c r="C442" s="912">
        <f>IF(N('Tamb Kg x Tamb 15,0Kg'!$L$7)&gt;0,'Tamb Kg x Tamb 15,0Kg'!$L$7,"")</f>
        <v>46286</v>
      </c>
      <c r="D442" t="s">
        <v>808</v>
      </c>
      <c r="E442" t="s">
        <v>809</v>
      </c>
      <c r="F442" t="s">
        <v>402</v>
      </c>
      <c r="G442">
        <f>IF(N('Tamb Kg x Tamb 15,0Kg'!$K$11)=0,"",'Tamb Kg x Tamb 15,0Kg'!$K$11/50)</f>
        <v>94</v>
      </c>
      <c r="H442">
        <f>IF(N('Tamb Kg x Tamb 15,0Kg'!$O$11)=0,"",'Tamb Kg x Tamb 15,0Kg'!$O$11/150)</f>
        <v>93.8</v>
      </c>
      <c r="I442">
        <f>IF(OR(G442="",H442=""),"",G442-H442)</f>
        <v>0.20000000000000284</v>
      </c>
      <c r="L442">
        <f>BD_Limites!$H$14</f>
        <v>0.5</v>
      </c>
      <c r="M442" t="str">
        <f>IF(I442="","",IF(ROUND(ABS(I442),6)&lt;=L442,"Conforme","Não conforme"))</f>
        <v>Conforme</v>
      </c>
      <c r="N442" t="str">
        <f>IF('Tamb Kg x Tamb 15,0Kg'!$O$7&amp;""="","",TRIM('Tamb Kg x Tamb 15,0Kg'!$O$7&amp;""))</f>
        <v>leonardo</v>
      </c>
      <c r="Q442" t="s">
        <v>811</v>
      </c>
    </row>
    <row r="443">
      <c r="A443" t="s">
        <v>807</v>
      </c>
      <c r="B443" t="s">
        <v>654</v>
      </c>
      <c r="C443" s="912">
        <f>IF(N('Tamb Kg x Tamb 15,0Kg'!$D$16)&gt;0,'Tamb Kg x Tamb 15,0Kg'!$D$16,"")</f>
        <v>45978</v>
      </c>
      <c r="D443" t="s">
        <v>808</v>
      </c>
      <c r="E443" t="s">
        <v>809</v>
      </c>
      <c r="F443" t="s">
        <v>402</v>
      </c>
      <c r="G443" t="str">
        <f>IF(N('Tamb Kg x Tamb 15,0Kg'!$C$20)=0,"",'Tamb Kg x Tamb 15,0Kg'!$C$20/50)</f>
        <v/>
      </c>
      <c r="H443" t="str">
        <f>IF(N('Tamb Kg x Tamb 15,0Kg'!$G$20)=0,"",'Tamb Kg x Tamb 15,0Kg'!$G$20/150)</f>
        <v/>
      </c>
      <c r="I443" t="str">
        <f>IF(OR(G443="",H443=""),"",G443-H443)</f>
        <v/>
      </c>
      <c r="L443">
        <f>BD_Limites!$H$14</f>
        <v>0.5</v>
      </c>
      <c r="M443" t="str">
        <f>IF(I443="","",IF(ROUND(ABS(I443),6)&lt;=L443,"Conforme","Não conforme"))</f>
        <v/>
      </c>
      <c r="N443" t="str">
        <f>IF('Tamb Kg x Tamb 15,0Kg'!$G$16&amp;""="","",TRIM('Tamb Kg x Tamb 15,0Kg'!$G$16&amp;""))</f>
        <v/>
      </c>
      <c r="Q443" t="s">
        <v>812</v>
      </c>
    </row>
    <row r="444">
      <c r="A444" t="s">
        <v>807</v>
      </c>
      <c r="B444" t="s">
        <v>654</v>
      </c>
      <c r="C444" s="912" t="str">
        <f>IF(N('Tamb Kg x Tamb 15,0Kg'!$L$16)&gt;0,'Tamb Kg x Tamb 15,0Kg'!$L$16,"")</f>
        <v/>
      </c>
      <c r="D444" t="s">
        <v>808</v>
      </c>
      <c r="E444" t="s">
        <v>809</v>
      </c>
      <c r="F444" t="s">
        <v>402</v>
      </c>
      <c r="G444" t="str">
        <f>IF(N('Tamb Kg x Tamb 15,0Kg'!$K$20)=0,"",'Tamb Kg x Tamb 15,0Kg'!$K$20/50)</f>
        <v/>
      </c>
      <c r="H444" t="str">
        <f>IF(N('Tamb Kg x Tamb 15,0Kg'!$O$20)=0,"",'Tamb Kg x Tamb 15,0Kg'!$O$20/150)</f>
        <v/>
      </c>
      <c r="I444" t="str">
        <f>IF(OR(G444="",H444=""),"",G444-H444)</f>
        <v/>
      </c>
      <c r="L444">
        <f>BD_Limites!$H$14</f>
        <v>0.5</v>
      </c>
      <c r="M444" t="str">
        <f>IF(I444="","",IF(ROUND(ABS(I444),6)&lt;=L444,"Conforme","Não conforme"))</f>
        <v/>
      </c>
      <c r="N444" t="str">
        <f>IF('Tamb Kg x Tamb 15,0Kg'!$O$16&amp;""="","",TRIM('Tamb Kg x Tamb 15,0Kg'!$O$16&amp;""))</f>
        <v/>
      </c>
      <c r="Q444" t="s">
        <v>813</v>
      </c>
    </row>
    <row r="445">
      <c r="A445" t="s">
        <v>807</v>
      </c>
      <c r="B445" t="s">
        <v>654</v>
      </c>
      <c r="C445" s="912">
        <f>IF(N('Tamb Kg x Tamb 15,0Kg'!$D$25)&gt;0,'Tamb Kg x Tamb 15,0Kg'!$D$25,"")</f>
        <v>46013</v>
      </c>
      <c r="D445" t="s">
        <v>808</v>
      </c>
      <c r="E445" t="s">
        <v>809</v>
      </c>
      <c r="F445" t="s">
        <v>402</v>
      </c>
      <c r="G445" t="str">
        <f>IF(N('Tamb Kg x Tamb 15,0Kg'!$C$29)=0,"",'Tamb Kg x Tamb 15,0Kg'!$C$29/50)</f>
        <v/>
      </c>
      <c r="H445" t="str">
        <f>IF(N('Tamb Kg x Tamb 15,0Kg'!$G$29)=0,"",'Tamb Kg x Tamb 15,0Kg'!$G$29/150)</f>
        <v/>
      </c>
      <c r="I445" t="str">
        <f>IF(OR(G445="",H445=""),"",G445-H445)</f>
        <v/>
      </c>
      <c r="L445">
        <f>BD_Limites!$H$14</f>
        <v>0.5</v>
      </c>
      <c r="M445" t="str">
        <f>IF(I445="","",IF(ROUND(ABS(I445),6)&lt;=L445,"Conforme","Não conforme"))</f>
        <v/>
      </c>
      <c r="N445" t="str">
        <f>IF('Tamb Kg x Tamb 15,0Kg'!$G$25&amp;""="","",TRIM('Tamb Kg x Tamb 15,0Kg'!$G$25&amp;""))</f>
        <v/>
      </c>
      <c r="Q445" t="s">
        <v>814</v>
      </c>
    </row>
    <row r="446">
      <c r="A446" t="s">
        <v>807</v>
      </c>
      <c r="B446" t="s">
        <v>654</v>
      </c>
      <c r="C446" s="912" t="str">
        <f>IF(N('Tamb Kg x Tamb 15,0Kg'!$L$25)&gt;0,'Tamb Kg x Tamb 15,0Kg'!$L$25,"")</f>
        <v/>
      </c>
      <c r="D446" t="s">
        <v>808</v>
      </c>
      <c r="E446" t="s">
        <v>809</v>
      </c>
      <c r="F446" t="s">
        <v>402</v>
      </c>
      <c r="G446" t="str">
        <f>IF(N('Tamb Kg x Tamb 15,0Kg'!$K$29)=0,"",'Tamb Kg x Tamb 15,0Kg'!$K$29/50)</f>
        <v/>
      </c>
      <c r="H446" t="str">
        <f>IF(N('Tamb Kg x Tamb 15,0Kg'!$O$29)=0,"",'Tamb Kg x Tamb 15,0Kg'!$O$29/150)</f>
        <v/>
      </c>
      <c r="I446" t="str">
        <f>IF(OR(G446="",H446=""),"",G446-H446)</f>
        <v/>
      </c>
      <c r="L446">
        <f>BD_Limites!$H$14</f>
        <v>0.5</v>
      </c>
      <c r="M446" t="str">
        <f>IF(I446="","",IF(ROUND(ABS(I446),6)&lt;=L446,"Conforme","Não conforme"))</f>
        <v/>
      </c>
      <c r="N446" t="str">
        <f>IF('Tamb Kg x Tamb 15,0Kg'!$O$25&amp;""="","",TRIM('Tamb Kg x Tamb 15,0Kg'!$O$25&amp;""))</f>
        <v/>
      </c>
      <c r="Q446" t="s">
        <v>815</v>
      </c>
    </row>
    <row r="447">
      <c r="A447" t="s">
        <v>816</v>
      </c>
      <c r="B447" t="s">
        <v>667</v>
      </c>
      <c r="C447" s="912">
        <f>IF(MAX('Verificação Peneiradores'!$AC$3:$AC$12)=0,"",MAX('Verificação Peneiradores'!$AC$3:$AC$12))</f>
        <v>46271</v>
      </c>
      <c r="D447" t="str">
        <f>IF('Verificação Peneiradores'!$B$4&amp;""="","Circulares",TRIM('Verificação Peneiradores'!$B$4&amp;""))</f>
        <v>PN0423</v>
      </c>
      <c r="E447" t="str">
        <f>"Malha "&amp;'Verificação Peneiradores'!$B$3&amp;" mm ("&amp;"Circulares"&amp;")"</f>
        <v>Malha 19 mm (Circulares)</v>
      </c>
      <c r="F447" t="s">
        <v>817</v>
      </c>
      <c r="G447">
        <f>IF(COUNTA('Verificação Peneiradores'!$B$6:$B$10)=0,"",COUNTIF('Verificação Peneiradores'!$B$6:$B$10,"OK"))</f>
        <v>5</v>
      </c>
      <c r="H447">
        <f>IF(COUNTA('Verificação Peneiradores'!$B$6:$B$10)=0,"",COUNTA('Verificação Peneiradores'!$B$6:$B$10))</f>
        <v>5</v>
      </c>
      <c r="M447" t="str">
        <f>IF(COUNTA('Verificação Peneiradores'!$B$6:$B$10)=0,"",IF(COUNTIF('Verificação Peneiradores'!$B$6:$B$10,"NÃO OK")&gt;0,"Não conforme","Conforme"))</f>
        <v>Conforme</v>
      </c>
      <c r="N447" t="str">
        <f>IFERROR(TRIM(INDEX('Verificação Peneiradores'!$AE$3:$AE$12,MATCH("*",'Verificação Peneiradores'!$AE$3:$AE$12,0))),"")</f>
        <v>WESLEY</v>
      </c>
      <c r="O447" t="str">
        <f>IFERROR(TRIM(INDEX('Verificação Peneiradores'!$AD$3:$AD$12,MATCH("*",'Verificação Peneiradores'!$AD$3:$AD$12,0))),"")</f>
        <v>B</v>
      </c>
      <c r="P447" t="str">
        <f>IF(COUNTIF('Verificação Peneiradores'!$B$6:$B$10,"SEM TAG")&gt;0,"Sem TAG de calibração; ","")&amp;IF('Verificação Peneiradores'!$B$6="NÃO OK","Condições das telas; ","")&amp;IF('Verificação Peneiradores'!$B$7="NÃO OK","Inclinação das telas; ","")&amp;IF('Verificação Peneiradores'!$B$8="NÃO OK","Vibração do peneirador; ","")&amp;IF('Verificação Peneiradores'!$B$9="NÃO OK","Travamento das peneiras; ","")&amp;IF('Verificação Peneiradores'!$B$10="NÃO OK","Calibração; ","")</f>
        <v/>
      </c>
      <c r="Q447" t="s">
        <v>818</v>
      </c>
    </row>
    <row r="448">
      <c r="A448" t="s">
        <v>816</v>
      </c>
      <c r="B448" t="s">
        <v>667</v>
      </c>
      <c r="C448" s="912">
        <f>IF(MAX('Verificação Peneiradores'!$AC$3:$AC$12)=0,"",MAX('Verificação Peneiradores'!$AC$3:$AC$12))</f>
        <v>46271</v>
      </c>
      <c r="D448" t="str">
        <f>IF('Verificação Peneiradores'!$C$4&amp;""="","Circulares",TRIM('Verificação Peneiradores'!$C$4&amp;""))</f>
        <v>PN0482</v>
      </c>
      <c r="E448" t="str">
        <f>"Malha "&amp;'Verificação Peneiradores'!$C$3&amp;" mm ("&amp;"Circulares"&amp;")"</f>
        <v>Malha 16 mm (Circulares)</v>
      </c>
      <c r="F448" t="s">
        <v>817</v>
      </c>
      <c r="G448">
        <f>IF(COUNTA('Verificação Peneiradores'!$C$6:$C$10)=0,"",COUNTIF('Verificação Peneiradores'!$C$6:$C$10,"OK"))</f>
        <v>4</v>
      </c>
      <c r="H448">
        <f>IF(COUNTA('Verificação Peneiradores'!$C$6:$C$10)=0,"",COUNTA('Verificação Peneiradores'!$C$6:$C$10))</f>
        <v>5</v>
      </c>
      <c r="M448" t="str">
        <f>IF(COUNTA('Verificação Peneiradores'!$C$6:$C$10)=0,"",IF(COUNTIF('Verificação Peneiradores'!$C$6:$C$10,"NÃO OK")&gt;0,"Não conforme","Conforme"))</f>
        <v>Conforme</v>
      </c>
      <c r="N448" t="str">
        <f>IFERROR(TRIM(INDEX('Verificação Peneiradores'!$AE$3:$AE$12,MATCH("*",'Verificação Peneiradores'!$AE$3:$AE$12,0))),"")</f>
        <v>WESLEY</v>
      </c>
      <c r="O448" t="str">
        <f>IFERROR(TRIM(INDEX('Verificação Peneiradores'!$AD$3:$AD$12,MATCH("*",'Verificação Peneiradores'!$AD$3:$AD$12,0))),"")</f>
        <v>B</v>
      </c>
      <c r="P448" t="str">
        <f>IF(COUNTIF('Verificação Peneiradores'!$C$6:$C$10,"SEM TAG")&gt;0,"Sem TAG de calibração; ","")&amp;IF('Verificação Peneiradores'!$C$6="NÃO OK","Condições das telas; ","")&amp;IF('Verificação Peneiradores'!$C$7="NÃO OK","Inclinação das telas; ","")&amp;IF('Verificação Peneiradores'!$C$8="NÃO OK","Vibração do peneirador; ","")&amp;IF('Verificação Peneiradores'!$C$9="NÃO OK","Travamento das peneiras; ","")&amp;IF('Verificação Peneiradores'!$C$10="NÃO OK","Calibração; ","")</f>
        <v>Sem TAG de calibração; </v>
      </c>
      <c r="Q448" t="s">
        <v>819</v>
      </c>
    </row>
    <row r="449">
      <c r="A449" t="s">
        <v>816</v>
      </c>
      <c r="B449" t="s">
        <v>667</v>
      </c>
      <c r="C449" s="912">
        <f>IF(MAX('Verificação Peneiradores'!$AC$3:$AC$12)=0,"",MAX('Verificação Peneiradores'!$AC$3:$AC$12))</f>
        <v>46271</v>
      </c>
      <c r="D449" t="str">
        <f>IF('Verificação Peneiradores'!$D$4&amp;""="","Circulares",TRIM('Verificação Peneiradores'!$D$4&amp;""))</f>
        <v>PN 497</v>
      </c>
      <c r="E449" t="str">
        <f>"Malha "&amp;'Verificação Peneiradores'!$D$3&amp;" mm ("&amp;"Circulares"&amp;")"</f>
        <v>Malha 12,5 mm (Circulares)</v>
      </c>
      <c r="F449" t="s">
        <v>817</v>
      </c>
      <c r="G449">
        <f>IF(COUNTA('Verificação Peneiradores'!$D$6:$D$10)=0,"",COUNTIF('Verificação Peneiradores'!$D$6:$D$10,"OK"))</f>
        <v>4</v>
      </c>
      <c r="H449">
        <f>IF(COUNTA('Verificação Peneiradores'!$D$6:$D$10)=0,"",COUNTA('Verificação Peneiradores'!$D$6:$D$10))</f>
        <v>5</v>
      </c>
      <c r="M449" t="str">
        <f>IF(COUNTA('Verificação Peneiradores'!$D$6:$D$10)=0,"",IF(COUNTIF('Verificação Peneiradores'!$D$6:$D$10,"NÃO OK")&gt;0,"Não conforme","Conforme"))</f>
        <v>Conforme</v>
      </c>
      <c r="N449" t="str">
        <f>IFERROR(TRIM(INDEX('Verificação Peneiradores'!$AE$3:$AE$12,MATCH("*",'Verificação Peneiradores'!$AE$3:$AE$12,0))),"")</f>
        <v>WESLEY</v>
      </c>
      <c r="O449" t="str">
        <f>IFERROR(TRIM(INDEX('Verificação Peneiradores'!$AD$3:$AD$12,MATCH("*",'Verificação Peneiradores'!$AD$3:$AD$12,0))),"")</f>
        <v>B</v>
      </c>
      <c r="P449" t="str">
        <f>IF(COUNTIF('Verificação Peneiradores'!$D$6:$D$10,"SEM TAG")&gt;0,"Sem TAG de calibração; ","")&amp;IF('Verificação Peneiradores'!$D$6="NÃO OK","Condições das telas; ","")&amp;IF('Verificação Peneiradores'!$D$7="NÃO OK","Inclinação das telas; ","")&amp;IF('Verificação Peneiradores'!$D$8="NÃO OK","Vibração do peneirador; ","")&amp;IF('Verificação Peneiradores'!$D$9="NÃO OK","Travamento das peneiras; ","")&amp;IF('Verificação Peneiradores'!$D$10="NÃO OK","Calibração; ","")</f>
        <v>Sem TAG de calibração; </v>
      </c>
      <c r="Q449" t="s">
        <v>820</v>
      </c>
    </row>
    <row r="450">
      <c r="A450" t="s">
        <v>816</v>
      </c>
      <c r="B450" t="s">
        <v>667</v>
      </c>
      <c r="C450" s="912">
        <f>IF(MAX('Verificação Peneiradores'!$AC$3:$AC$12)=0,"",MAX('Verificação Peneiradores'!$AC$3:$AC$12))</f>
        <v>46271</v>
      </c>
      <c r="D450" t="str">
        <f>IF('Verificação Peneiradores'!$E$4&amp;""="","Circulares",TRIM('Verificação Peneiradores'!$E$4&amp;""))</f>
        <v>PN 303</v>
      </c>
      <c r="E450" t="str">
        <f>"Malha "&amp;'Verificação Peneiradores'!$E$3&amp;" mm ("&amp;"Circulares"&amp;")"</f>
        <v>Malha 10 mm (Circulares)</v>
      </c>
      <c r="F450" t="s">
        <v>817</v>
      </c>
      <c r="G450">
        <f>IF(COUNTA('Verificação Peneiradores'!$E$6:$E$10)=0,"",COUNTIF('Verificação Peneiradores'!$E$6:$E$10,"OK"))</f>
        <v>4</v>
      </c>
      <c r="H450">
        <f>IF(COUNTA('Verificação Peneiradores'!$E$6:$E$10)=0,"",COUNTA('Verificação Peneiradores'!$E$6:$E$10))</f>
        <v>5</v>
      </c>
      <c r="M450" t="str">
        <f>IF(COUNTA('Verificação Peneiradores'!$E$6:$E$10)=0,"",IF(COUNTIF('Verificação Peneiradores'!$E$6:$E$10,"NÃO OK")&gt;0,"Não conforme","Conforme"))</f>
        <v>Conforme</v>
      </c>
      <c r="N450" t="str">
        <f>IFERROR(TRIM(INDEX('Verificação Peneiradores'!$AE$3:$AE$12,MATCH("*",'Verificação Peneiradores'!$AE$3:$AE$12,0))),"")</f>
        <v>WESLEY</v>
      </c>
      <c r="O450" t="str">
        <f>IFERROR(TRIM(INDEX('Verificação Peneiradores'!$AD$3:$AD$12,MATCH("*",'Verificação Peneiradores'!$AD$3:$AD$12,0))),"")</f>
        <v>B</v>
      </c>
      <c r="P450" t="str">
        <f>IF(COUNTIF('Verificação Peneiradores'!$E$6:$E$10,"SEM TAG")&gt;0,"Sem TAG de calibração; ","")&amp;IF('Verificação Peneiradores'!$E$6="NÃO OK","Condições das telas; ","")&amp;IF('Verificação Peneiradores'!$E$7="NÃO OK","Inclinação das telas; ","")&amp;IF('Verificação Peneiradores'!$E$8="NÃO OK","Vibração do peneirador; ","")&amp;IF('Verificação Peneiradores'!$E$9="NÃO OK","Travamento das peneiras; ","")&amp;IF('Verificação Peneiradores'!$E$10="NÃO OK","Calibração; ","")</f>
        <v>Sem TAG de calibração; </v>
      </c>
      <c r="Q450" t="s">
        <v>821</v>
      </c>
    </row>
    <row r="451">
      <c r="A451" t="s">
        <v>816</v>
      </c>
      <c r="B451" t="s">
        <v>667</v>
      </c>
      <c r="C451" s="912">
        <f>IF(MAX('Verificação Peneiradores'!$AC$3:$AC$12)=0,"",MAX('Verificação Peneiradores'!$AC$3:$AC$12))</f>
        <v>46271</v>
      </c>
      <c r="D451" t="str">
        <f>IF('Verificação Peneiradores'!$F$4&amp;""="","Circulares",TRIM('Verificação Peneiradores'!$F$4&amp;""))</f>
        <v>PN431</v>
      </c>
      <c r="E451" t="str">
        <f>"Malha "&amp;'Verificação Peneiradores'!$F$3&amp;" mm ("&amp;"Circulares"&amp;")"</f>
        <v>Malha 9 mm (Circulares)</v>
      </c>
      <c r="F451" t="s">
        <v>817</v>
      </c>
      <c r="G451">
        <f>IF(COUNTA('Verificação Peneiradores'!$F$6:$F$10)=0,"",COUNTIF('Verificação Peneiradores'!$F$6:$F$10,"OK"))</f>
        <v>5</v>
      </c>
      <c r="H451">
        <f>IF(COUNTA('Verificação Peneiradores'!$F$6:$F$10)=0,"",COUNTA('Verificação Peneiradores'!$F$6:$F$10))</f>
        <v>5</v>
      </c>
      <c r="M451" t="str">
        <f>IF(COUNTA('Verificação Peneiradores'!$F$6:$F$10)=0,"",IF(COUNTIF('Verificação Peneiradores'!$F$6:$F$10,"NÃO OK")&gt;0,"Não conforme","Conforme"))</f>
        <v>Conforme</v>
      </c>
      <c r="N451" t="str">
        <f>IFERROR(TRIM(INDEX('Verificação Peneiradores'!$AE$3:$AE$12,MATCH("*",'Verificação Peneiradores'!$AE$3:$AE$12,0))),"")</f>
        <v>WESLEY</v>
      </c>
      <c r="O451" t="str">
        <f>IFERROR(TRIM(INDEX('Verificação Peneiradores'!$AD$3:$AD$12,MATCH("*",'Verificação Peneiradores'!$AD$3:$AD$12,0))),"")</f>
        <v>B</v>
      </c>
      <c r="P451" t="str">
        <f>IF(COUNTIF('Verificação Peneiradores'!$F$6:$F$10,"SEM TAG")&gt;0,"Sem TAG de calibração; ","")&amp;IF('Verificação Peneiradores'!$F$6="NÃO OK","Condições das telas; ","")&amp;IF('Verificação Peneiradores'!$F$7="NÃO OK","Inclinação das telas; ","")&amp;IF('Verificação Peneiradores'!$F$8="NÃO OK","Vibração do peneirador; ","")&amp;IF('Verificação Peneiradores'!$F$9="NÃO OK","Travamento das peneiras; ","")&amp;IF('Verificação Peneiradores'!$F$10="NÃO OK","Calibração; ","")</f>
        <v/>
      </c>
      <c r="Q451" t="s">
        <v>822</v>
      </c>
    </row>
    <row r="452">
      <c r="A452" t="s">
        <v>816</v>
      </c>
      <c r="B452" t="s">
        <v>667</v>
      </c>
      <c r="C452" s="912">
        <f>IF(MAX('Verificação Peneiradores'!$AC$3:$AC$12)=0,"",MAX('Verificação Peneiradores'!$AC$3:$AC$12))</f>
        <v>46271</v>
      </c>
      <c r="D452" t="str">
        <f>IF('Verificação Peneiradores'!$G$4&amp;""="","Circulares",TRIM('Verificação Peneiradores'!$G$4&amp;""))</f>
        <v>PN432</v>
      </c>
      <c r="E452" t="str">
        <f>"Malha "&amp;'Verificação Peneiradores'!$G$3&amp;" mm ("&amp;"Circulares"&amp;")"</f>
        <v>Malha 8 mm (Circulares)</v>
      </c>
      <c r="F452" t="s">
        <v>817</v>
      </c>
      <c r="G452">
        <f>IF(COUNTA('Verificação Peneiradores'!$G$6:$G$10)=0,"",COUNTIF('Verificação Peneiradores'!$G$6:$G$10,"OK"))</f>
        <v>5</v>
      </c>
      <c r="H452">
        <f>IF(COUNTA('Verificação Peneiradores'!$G$6:$G$10)=0,"",COUNTA('Verificação Peneiradores'!$G$6:$G$10))</f>
        <v>5</v>
      </c>
      <c r="M452" t="str">
        <f>IF(COUNTA('Verificação Peneiradores'!$G$6:$G$10)=0,"",IF(COUNTIF('Verificação Peneiradores'!$G$6:$G$10,"NÃO OK")&gt;0,"Não conforme","Conforme"))</f>
        <v>Conforme</v>
      </c>
      <c r="N452" t="str">
        <f>IFERROR(TRIM(INDEX('Verificação Peneiradores'!$AE$3:$AE$12,MATCH("*",'Verificação Peneiradores'!$AE$3:$AE$12,0))),"")</f>
        <v>WESLEY</v>
      </c>
      <c r="O452" t="str">
        <f>IFERROR(TRIM(INDEX('Verificação Peneiradores'!$AD$3:$AD$12,MATCH("*",'Verificação Peneiradores'!$AD$3:$AD$12,0))),"")</f>
        <v>B</v>
      </c>
      <c r="P452" t="str">
        <f>IF(COUNTIF('Verificação Peneiradores'!$G$6:$G$10,"SEM TAG")&gt;0,"Sem TAG de calibração; ","")&amp;IF('Verificação Peneiradores'!$G$6="NÃO OK","Condições das telas; ","")&amp;IF('Verificação Peneiradores'!$G$7="NÃO OK","Inclinação das telas; ","")&amp;IF('Verificação Peneiradores'!$G$8="NÃO OK","Vibração do peneirador; ","")&amp;IF('Verificação Peneiradores'!$G$9="NÃO OK","Travamento das peneiras; ","")&amp;IF('Verificação Peneiradores'!$G$10="NÃO OK","Calibração; ","")</f>
        <v/>
      </c>
      <c r="Q452" t="s">
        <v>823</v>
      </c>
    </row>
    <row r="453">
      <c r="A453" t="s">
        <v>816</v>
      </c>
      <c r="B453" t="s">
        <v>667</v>
      </c>
      <c r="C453" s="912">
        <f>IF(MAX('Verificação Peneiradores'!$AC$3:$AC$12)=0,"",MAX('Verificação Peneiradores'!$AC$3:$AC$12))</f>
        <v>46271</v>
      </c>
      <c r="D453" t="str">
        <f>IF('Verificação Peneiradores'!$H$4&amp;""="","Circulares",TRIM('Verificação Peneiradores'!$H$4&amp;""))</f>
        <v>PN430</v>
      </c>
      <c r="E453" t="str">
        <f>"Malha "&amp;'Verificação Peneiradores'!$H$3&amp;" mm ("&amp;"Circulares"&amp;")"</f>
        <v>Malha 6,3 mm (Circulares)</v>
      </c>
      <c r="F453" t="s">
        <v>817</v>
      </c>
      <c r="G453">
        <f>IF(COUNTA('Verificação Peneiradores'!$H$6:$H$10)=0,"",COUNTIF('Verificação Peneiradores'!$H$6:$H$10,"OK"))</f>
        <v>5</v>
      </c>
      <c r="H453">
        <f>IF(COUNTA('Verificação Peneiradores'!$H$6:$H$10)=0,"",COUNTA('Verificação Peneiradores'!$H$6:$H$10))</f>
        <v>5</v>
      </c>
      <c r="M453" t="str">
        <f>IF(COUNTA('Verificação Peneiradores'!$H$6:$H$10)=0,"",IF(COUNTIF('Verificação Peneiradores'!$H$6:$H$10,"NÃO OK")&gt;0,"Não conforme","Conforme"))</f>
        <v>Conforme</v>
      </c>
      <c r="N453" t="str">
        <f>IFERROR(TRIM(INDEX('Verificação Peneiradores'!$AE$3:$AE$12,MATCH("*",'Verificação Peneiradores'!$AE$3:$AE$12,0))),"")</f>
        <v>WESLEY</v>
      </c>
      <c r="O453" t="str">
        <f>IFERROR(TRIM(INDEX('Verificação Peneiradores'!$AD$3:$AD$12,MATCH("*",'Verificação Peneiradores'!$AD$3:$AD$12,0))),"")</f>
        <v>B</v>
      </c>
      <c r="P453" t="str">
        <f>IF(COUNTIF('Verificação Peneiradores'!$H$6:$H$10,"SEM TAG")&gt;0,"Sem TAG de calibração; ","")&amp;IF('Verificação Peneiradores'!$H$6="NÃO OK","Condições das telas; ","")&amp;IF('Verificação Peneiradores'!$H$7="NÃO OK","Inclinação das telas; ","")&amp;IF('Verificação Peneiradores'!$H$8="NÃO OK","Vibração do peneirador; ","")&amp;IF('Verificação Peneiradores'!$H$9="NÃO OK","Travamento das peneiras; ","")&amp;IF('Verificação Peneiradores'!$H$10="NÃO OK","Calibração; ","")</f>
        <v/>
      </c>
      <c r="Q453" t="s">
        <v>824</v>
      </c>
    </row>
    <row r="454">
      <c r="A454" t="s">
        <v>816</v>
      </c>
      <c r="B454" t="s">
        <v>667</v>
      </c>
      <c r="C454" s="912">
        <f>IF(MAX('Verificação Peneiradores'!$AC$3:$AC$12)=0,"",MAX('Verificação Peneiradores'!$AC$3:$AC$12))</f>
        <v>46271</v>
      </c>
      <c r="D454" t="str">
        <f>IF('Verificação Peneiradores'!$I$4&amp;""="","Circulares",TRIM('Verificação Peneiradores'!$I$4&amp;""))</f>
        <v>PN425</v>
      </c>
      <c r="E454" t="str">
        <f>"Malha "&amp;'Verificação Peneiradores'!$I$3&amp;" mm ("&amp;"Circulares"&amp;")"</f>
        <v>Malha 5 mm (Circulares)</v>
      </c>
      <c r="F454" t="s">
        <v>817</v>
      </c>
      <c r="G454">
        <f>IF(COUNTA('Verificação Peneiradores'!$I$6:$I$10)=0,"",COUNTIF('Verificação Peneiradores'!$I$6:$I$10,"OK"))</f>
        <v>5</v>
      </c>
      <c r="H454">
        <f>IF(COUNTA('Verificação Peneiradores'!$I$6:$I$10)=0,"",COUNTA('Verificação Peneiradores'!$I$6:$I$10))</f>
        <v>5</v>
      </c>
      <c r="M454" t="str">
        <f>IF(COUNTA('Verificação Peneiradores'!$I$6:$I$10)=0,"",IF(COUNTIF('Verificação Peneiradores'!$I$6:$I$10,"NÃO OK")&gt;0,"Não conforme","Conforme"))</f>
        <v>Conforme</v>
      </c>
      <c r="N454" t="str">
        <f>IFERROR(TRIM(INDEX('Verificação Peneiradores'!$AE$3:$AE$12,MATCH("*",'Verificação Peneiradores'!$AE$3:$AE$12,0))),"")</f>
        <v>WESLEY</v>
      </c>
      <c r="O454" t="str">
        <f>IFERROR(TRIM(INDEX('Verificação Peneiradores'!$AD$3:$AD$12,MATCH("*",'Verificação Peneiradores'!$AD$3:$AD$12,0))),"")</f>
        <v>B</v>
      </c>
      <c r="P454" t="str">
        <f>IF(COUNTIF('Verificação Peneiradores'!$I$6:$I$10,"SEM TAG")&gt;0,"Sem TAG de calibração; ","")&amp;IF('Verificação Peneiradores'!$I$6="NÃO OK","Condições das telas; ","")&amp;IF('Verificação Peneiradores'!$I$7="NÃO OK","Inclinação das telas; ","")&amp;IF('Verificação Peneiradores'!$I$8="NÃO OK","Vibração do peneirador; ","")&amp;IF('Verificação Peneiradores'!$I$9="NÃO OK","Travamento das peneiras; ","")&amp;IF('Verificação Peneiradores'!$I$10="NÃO OK","Calibração; ","")</f>
        <v/>
      </c>
      <c r="Q454" t="s">
        <v>825</v>
      </c>
    </row>
    <row r="455">
      <c r="A455" t="s">
        <v>816</v>
      </c>
      <c r="B455" t="s">
        <v>667</v>
      </c>
      <c r="C455" s="912">
        <f>IF(MAX('Verificação Peneiradores'!$AC$3:$AC$12)=0,"",MAX('Verificação Peneiradores'!$AC$3:$AC$12))</f>
        <v>46271</v>
      </c>
      <c r="D455" t="str">
        <f>IF('Verificação Peneiradores'!$J$4&amp;""="","Circulares",TRIM('Verificação Peneiradores'!$J$4&amp;""))</f>
        <v>PN046</v>
      </c>
      <c r="E455" t="str">
        <f>"Malha "&amp;'Verificação Peneiradores'!$J$3&amp;" mm ("&amp;"Circulares"&amp;")"</f>
        <v>Malha 3,15 mm (Circulares)</v>
      </c>
      <c r="F455" t="s">
        <v>817</v>
      </c>
      <c r="G455">
        <f>IF(COUNTA('Verificação Peneiradores'!$J$6:$J$10)=0,"",COUNTIF('Verificação Peneiradores'!$J$6:$J$10,"OK"))</f>
        <v>5</v>
      </c>
      <c r="H455">
        <f>IF(COUNTA('Verificação Peneiradores'!$J$6:$J$10)=0,"",COUNTA('Verificação Peneiradores'!$J$6:$J$10))</f>
        <v>5</v>
      </c>
      <c r="M455" t="str">
        <f>IF(COUNTA('Verificação Peneiradores'!$J$6:$J$10)=0,"",IF(COUNTIF('Verificação Peneiradores'!$J$6:$J$10,"NÃO OK")&gt;0,"Não conforme","Conforme"))</f>
        <v>Conforme</v>
      </c>
      <c r="N455" t="str">
        <f>IFERROR(TRIM(INDEX('Verificação Peneiradores'!$AE$3:$AE$12,MATCH("*",'Verificação Peneiradores'!$AE$3:$AE$12,0))),"")</f>
        <v>WESLEY</v>
      </c>
      <c r="O455" t="str">
        <f>IFERROR(TRIM(INDEX('Verificação Peneiradores'!$AD$3:$AD$12,MATCH("*",'Verificação Peneiradores'!$AD$3:$AD$12,0))),"")</f>
        <v>B</v>
      </c>
      <c r="P455" t="str">
        <f>IF(COUNTIF('Verificação Peneiradores'!$J$6:$J$10,"SEM TAG")&gt;0,"Sem TAG de calibração; ","")&amp;IF('Verificação Peneiradores'!$J$6="NÃO OK","Condições das telas; ","")&amp;IF('Verificação Peneiradores'!$J$7="NÃO OK","Inclinação das telas; ","")&amp;IF('Verificação Peneiradores'!$J$8="NÃO OK","Vibração do peneirador; ","")&amp;IF('Verificação Peneiradores'!$J$9="NÃO OK","Travamento das peneiras; ","")&amp;IF('Verificação Peneiradores'!$J$10="NÃO OK","Calibração; ","")</f>
        <v/>
      </c>
      <c r="Q455" t="s">
        <v>826</v>
      </c>
    </row>
    <row r="456">
      <c r="A456" t="s">
        <v>816</v>
      </c>
      <c r="B456" t="s">
        <v>667</v>
      </c>
      <c r="C456" s="912">
        <f>IF(MAX('Verificação Peneiradores'!$AC$3:$AC$12)=0,"",MAX('Verificação Peneiradores'!$AC$3:$AC$12))</f>
        <v>46271</v>
      </c>
      <c r="D456" t="str">
        <f>IF('Verificação Peneiradores'!$K$4&amp;""="","Circulares",TRIM('Verificação Peneiradores'!$K$4&amp;""))</f>
        <v>PN500</v>
      </c>
      <c r="E456" t="str">
        <f>"Malha "&amp;'Verificação Peneiradores'!$K$3&amp;" mm ("&amp;"Circulares"&amp;")"</f>
        <v>Malha 0,5 mm (Circulares)</v>
      </c>
      <c r="F456" t="s">
        <v>817</v>
      </c>
      <c r="G456">
        <f>IF(COUNTA('Verificação Peneiradores'!$K$6:$K$10)=0,"",COUNTIF('Verificação Peneiradores'!$K$6:$K$10,"OK"))</f>
        <v>5</v>
      </c>
      <c r="H456">
        <f>IF(COUNTA('Verificação Peneiradores'!$K$6:$K$10)=0,"",COUNTA('Verificação Peneiradores'!$K$6:$K$10))</f>
        <v>5</v>
      </c>
      <c r="M456" t="str">
        <f>IF(COUNTA('Verificação Peneiradores'!$K$6:$K$10)=0,"",IF(COUNTIF('Verificação Peneiradores'!$K$6:$K$10,"NÃO OK")&gt;0,"Não conforme","Conforme"))</f>
        <v>Conforme</v>
      </c>
      <c r="N456" t="str">
        <f>IFERROR(TRIM(INDEX('Verificação Peneiradores'!$AE$3:$AE$12,MATCH("*",'Verificação Peneiradores'!$AE$3:$AE$12,0))),"")</f>
        <v>WESLEY</v>
      </c>
      <c r="O456" t="str">
        <f>IFERROR(TRIM(INDEX('Verificação Peneiradores'!$AD$3:$AD$12,MATCH("*",'Verificação Peneiradores'!$AD$3:$AD$12,0))),"")</f>
        <v>B</v>
      </c>
      <c r="P456" t="str">
        <f>IF(COUNTIF('Verificação Peneiradores'!$K$6:$K$10,"SEM TAG")&gt;0,"Sem TAG de calibração; ","")&amp;IF('Verificação Peneiradores'!$K$6="NÃO OK","Condições das telas; ","")&amp;IF('Verificação Peneiradores'!$K$7="NÃO OK","Inclinação das telas; ","")&amp;IF('Verificação Peneiradores'!$K$8="NÃO OK","Vibração do peneirador; ","")&amp;IF('Verificação Peneiradores'!$K$9="NÃO OK","Travamento das peneiras; ","")&amp;IF('Verificação Peneiradores'!$K$10="NÃO OK","Calibração; ","")</f>
        <v/>
      </c>
      <c r="Q456" t="s">
        <v>827</v>
      </c>
    </row>
    <row r="457">
      <c r="A457" t="s">
        <v>816</v>
      </c>
      <c r="B457" t="s">
        <v>667</v>
      </c>
      <c r="C457" s="912">
        <f>IF(MAX('Verificação Peneiradores'!$AC$3:$AC$12)=0,"",MAX('Verificação Peneiradores'!$AC$3:$AC$12))</f>
        <v>46271</v>
      </c>
      <c r="D457" t="str">
        <f>IF('Verificação Peneiradores'!$L$4&amp;""="","Circulares",TRIM('Verificação Peneiradores'!$L$4&amp;""))</f>
        <v>PN434</v>
      </c>
      <c r="E457" t="str">
        <f>"Malha "&amp;'Verificação Peneiradores'!$L$3&amp;" mm ("&amp;"Circulares"&amp;")"</f>
        <v>Malha 1 mm (Circulares)</v>
      </c>
      <c r="F457" t="s">
        <v>817</v>
      </c>
      <c r="G457">
        <f>IF(COUNTA('Verificação Peneiradores'!$L$6:$L$10)=0,"",COUNTIF('Verificação Peneiradores'!$L$6:$L$10,"OK"))</f>
        <v>5</v>
      </c>
      <c r="H457">
        <f>IF(COUNTA('Verificação Peneiradores'!$L$6:$L$10)=0,"",COUNTA('Verificação Peneiradores'!$L$6:$L$10))</f>
        <v>5</v>
      </c>
      <c r="M457" t="str">
        <f>IF(COUNTA('Verificação Peneiradores'!$L$6:$L$10)=0,"",IF(COUNTIF('Verificação Peneiradores'!$L$6:$L$10,"NÃO OK")&gt;0,"Não conforme","Conforme"))</f>
        <v>Conforme</v>
      </c>
      <c r="N457" t="str">
        <f>IFERROR(TRIM(INDEX('Verificação Peneiradores'!$AE$3:$AE$12,MATCH("*",'Verificação Peneiradores'!$AE$3:$AE$12,0))),"")</f>
        <v>WESLEY</v>
      </c>
      <c r="O457" t="str">
        <f>IFERROR(TRIM(INDEX('Verificação Peneiradores'!$AD$3:$AD$12,MATCH("*",'Verificação Peneiradores'!$AD$3:$AD$12,0))),"")</f>
        <v>B</v>
      </c>
      <c r="P457" t="str">
        <f>IF(COUNTIF('Verificação Peneiradores'!$L$6:$L$10,"SEM TAG")&gt;0,"Sem TAG de calibração; ","")&amp;IF('Verificação Peneiradores'!$L$6="NÃO OK","Condições das telas; ","")&amp;IF('Verificação Peneiradores'!$L$7="NÃO OK","Inclinação das telas; ","")&amp;IF('Verificação Peneiradores'!$L$8="NÃO OK","Vibração do peneirador; ","")&amp;IF('Verificação Peneiradores'!$L$9="NÃO OK","Travamento das peneiras; ","")&amp;IF('Verificação Peneiradores'!$L$10="NÃO OK","Calibração; ","")</f>
        <v/>
      </c>
      <c r="Q457" t="s">
        <v>828</v>
      </c>
    </row>
    <row r="458">
      <c r="A458" t="s">
        <v>816</v>
      </c>
      <c r="B458" t="s">
        <v>667</v>
      </c>
      <c r="C458" s="912">
        <f>IF(MAX('Verificação Peneiradores'!$AC$3:$AC$12)=0,"",MAX('Verificação Peneiradores'!$AC$3:$AC$12))</f>
        <v>46271</v>
      </c>
      <c r="D458" t="str">
        <f>IF('Verificação Peneiradores'!$M$4&amp;""="","Peneirador 09",TRIM('Verificação Peneiradores'!$M$4&amp;""))</f>
        <v>PN478</v>
      </c>
      <c r="E458" t="str">
        <f>"Malha "&amp;'Verificação Peneiradores'!$M$3&amp;" mm ("&amp;"Peneirador 09"&amp;")"</f>
        <v>Malha 19 mm (Peneirador 09)</v>
      </c>
      <c r="F458" t="s">
        <v>817</v>
      </c>
      <c r="G458">
        <f>IF(COUNTA('Verificação Peneiradores'!$M$6:$M$10)=0,"",COUNTIF('Verificação Peneiradores'!$M$6:$M$10,"OK"))</f>
        <v>5</v>
      </c>
      <c r="H458">
        <f>IF(COUNTA('Verificação Peneiradores'!$M$6:$M$10)=0,"",COUNTA('Verificação Peneiradores'!$M$6:$M$10))</f>
        <v>5</v>
      </c>
      <c r="M458" t="str">
        <f>IF(COUNTA('Verificação Peneiradores'!$M$6:$M$10)=0,"",IF(COUNTIF('Verificação Peneiradores'!$M$6:$M$10,"NÃO OK")&gt;0,"Não conforme","Conforme"))</f>
        <v>Conforme</v>
      </c>
      <c r="N458" t="str">
        <f>IFERROR(TRIM(INDEX('Verificação Peneiradores'!$AE$3:$AE$12,MATCH("*",'Verificação Peneiradores'!$AE$3:$AE$12,0))),"")</f>
        <v>WESLEY</v>
      </c>
      <c r="O458" t="str">
        <f>IFERROR(TRIM(INDEX('Verificação Peneiradores'!$AD$3:$AD$12,MATCH("*",'Verificação Peneiradores'!$AD$3:$AD$12,0))),"")</f>
        <v>B</v>
      </c>
      <c r="P458" t="str">
        <f>IF(COUNTIF('Verificação Peneiradores'!$M$6:$M$10,"SEM TAG")&gt;0,"Sem TAG de calibração; ","")&amp;IF('Verificação Peneiradores'!$M$6="NÃO OK","Condições das telas; ","")&amp;IF('Verificação Peneiradores'!$M$7="NÃO OK","Inclinação das telas; ","")&amp;IF('Verificação Peneiradores'!$M$8="NÃO OK","Vibração do peneirador; ","")&amp;IF('Verificação Peneiradores'!$M$9="NÃO OK","Travamento das peneiras; ","")&amp;IF('Verificação Peneiradores'!$M$10="NÃO OK","Calibração; ","")</f>
        <v/>
      </c>
      <c r="Q458" t="s">
        <v>829</v>
      </c>
    </row>
    <row r="459">
      <c r="A459" t="s">
        <v>816</v>
      </c>
      <c r="B459" t="s">
        <v>667</v>
      </c>
      <c r="C459" s="912">
        <f>IF(MAX('Verificação Peneiradores'!$AC$3:$AC$12)=0,"",MAX('Verificação Peneiradores'!$AC$3:$AC$12))</f>
        <v>46271</v>
      </c>
      <c r="D459" t="str">
        <f>IF('Verificação Peneiradores'!$N$4&amp;""="","Peneirador 09",TRIM('Verificação Peneiradores'!$N$4&amp;""))</f>
        <v>PN516</v>
      </c>
      <c r="E459" t="str">
        <f>"Malha "&amp;'Verificação Peneiradores'!$N$3&amp;" mm ("&amp;"Peneirador 09"&amp;")"</f>
        <v>Malha 16 mm (Peneirador 09)</v>
      </c>
      <c r="F459" t="s">
        <v>817</v>
      </c>
      <c r="G459">
        <f>IF(COUNTA('Verificação Peneiradores'!$N$6:$N$10)=0,"",COUNTIF('Verificação Peneiradores'!$N$6:$N$10,"OK"))</f>
        <v>5</v>
      </c>
      <c r="H459">
        <f>IF(COUNTA('Verificação Peneiradores'!$N$6:$N$10)=0,"",COUNTA('Verificação Peneiradores'!$N$6:$N$10))</f>
        <v>5</v>
      </c>
      <c r="M459" t="str">
        <f>IF(COUNTA('Verificação Peneiradores'!$N$6:$N$10)=0,"",IF(COUNTIF('Verificação Peneiradores'!$N$6:$N$10,"NÃO OK")&gt;0,"Não conforme","Conforme"))</f>
        <v>Conforme</v>
      </c>
      <c r="N459" t="str">
        <f>IFERROR(TRIM(INDEX('Verificação Peneiradores'!$AE$3:$AE$12,MATCH("*",'Verificação Peneiradores'!$AE$3:$AE$12,0))),"")</f>
        <v>WESLEY</v>
      </c>
      <c r="O459" t="str">
        <f>IFERROR(TRIM(INDEX('Verificação Peneiradores'!$AD$3:$AD$12,MATCH("*",'Verificação Peneiradores'!$AD$3:$AD$12,0))),"")</f>
        <v>B</v>
      </c>
      <c r="P459" t="str">
        <f>IF(COUNTIF('Verificação Peneiradores'!$N$6:$N$10,"SEM TAG")&gt;0,"Sem TAG de calibração; ","")&amp;IF('Verificação Peneiradores'!$N$6="NÃO OK","Condições das telas; ","")&amp;IF('Verificação Peneiradores'!$N$7="NÃO OK","Inclinação das telas; ","")&amp;IF('Verificação Peneiradores'!$N$8="NÃO OK","Vibração do peneirador; ","")&amp;IF('Verificação Peneiradores'!$N$9="NÃO OK","Travamento das peneiras; ","")&amp;IF('Verificação Peneiradores'!$N$10="NÃO OK","Calibração; ","")</f>
        <v/>
      </c>
      <c r="Q459" t="s">
        <v>830</v>
      </c>
    </row>
    <row r="460">
      <c r="A460" t="s">
        <v>816</v>
      </c>
      <c r="B460" t="s">
        <v>667</v>
      </c>
      <c r="C460" s="912">
        <f>IF(MAX('Verificação Peneiradores'!$AC$3:$AC$12)=0,"",MAX('Verificação Peneiradores'!$AC$3:$AC$12))</f>
        <v>46271</v>
      </c>
      <c r="D460" t="str">
        <f>IF('Verificação Peneiradores'!$O$4&amp;""="","Peneirador 09",TRIM('Verificação Peneiradores'!$O$4&amp;""))</f>
        <v>PN665</v>
      </c>
      <c r="E460" t="str">
        <f>"Malha "&amp;'Verificação Peneiradores'!$O$3&amp;" mm ("&amp;"Peneirador 09"&amp;")"</f>
        <v>Malha 14 mm (Peneirador 09)</v>
      </c>
      <c r="F460" t="s">
        <v>817</v>
      </c>
      <c r="G460">
        <f>IF(COUNTA('Verificação Peneiradores'!$O$6:$O$10)=0,"",COUNTIF('Verificação Peneiradores'!$O$6:$O$10,"OK"))</f>
        <v>4</v>
      </c>
      <c r="H460">
        <f>IF(COUNTA('Verificação Peneiradores'!$O$6:$O$10)=0,"",COUNTA('Verificação Peneiradores'!$O$6:$O$10))</f>
        <v>5</v>
      </c>
      <c r="M460" t="str">
        <f>IF(COUNTA('Verificação Peneiradores'!$O$6:$O$10)=0,"",IF(COUNTIF('Verificação Peneiradores'!$O$6:$O$10,"NÃO OK")&gt;0,"Não conforme","Conforme"))</f>
        <v>Conforme</v>
      </c>
      <c r="N460" t="str">
        <f>IFERROR(TRIM(INDEX('Verificação Peneiradores'!$AE$3:$AE$12,MATCH("*",'Verificação Peneiradores'!$AE$3:$AE$12,0))),"")</f>
        <v>WESLEY</v>
      </c>
      <c r="O460" t="str">
        <f>IFERROR(TRIM(INDEX('Verificação Peneiradores'!$AD$3:$AD$12,MATCH("*",'Verificação Peneiradores'!$AD$3:$AD$12,0))),"")</f>
        <v>B</v>
      </c>
      <c r="P460" t="str">
        <f>IF(COUNTIF('Verificação Peneiradores'!$O$6:$O$10,"SEM TAG")&gt;0,"Sem TAG de calibração; ","")&amp;IF('Verificação Peneiradores'!$O$6="NÃO OK","Condições das telas; ","")&amp;IF('Verificação Peneiradores'!$O$7="NÃO OK","Inclinação das telas; ","")&amp;IF('Verificação Peneiradores'!$O$8="NÃO OK","Vibração do peneirador; ","")&amp;IF('Verificação Peneiradores'!$O$9="NÃO OK","Travamento das peneiras; ","")&amp;IF('Verificação Peneiradores'!$O$10="NÃO OK","Calibração; ","")</f>
        <v>Sem TAG de calibração; </v>
      </c>
      <c r="Q460" t="s">
        <v>831</v>
      </c>
    </row>
    <row r="461">
      <c r="A461" t="s">
        <v>816</v>
      </c>
      <c r="B461" t="s">
        <v>667</v>
      </c>
      <c r="C461" s="912">
        <f>IF(MAX('Verificação Peneiradores'!$AC$3:$AC$12)=0,"",MAX('Verificação Peneiradores'!$AC$3:$AC$12))</f>
        <v>46271</v>
      </c>
      <c r="D461" t="str">
        <f>IF('Verificação Peneiradores'!$P$4&amp;""="","Peneirador 09",TRIM('Verificação Peneiradores'!$P$4&amp;""))</f>
        <v>PN666</v>
      </c>
      <c r="E461" t="str">
        <f>"Malha "&amp;'Verificação Peneiradores'!$P$3&amp;" mm ("&amp;"Peneirador 09"&amp;")"</f>
        <v>Malha 12,5 mm (Peneirador 09)</v>
      </c>
      <c r="F461" t="s">
        <v>817</v>
      </c>
      <c r="G461">
        <f>IF(COUNTA('Verificação Peneiradores'!$P$6:$P$10)=0,"",COUNTIF('Verificação Peneiradores'!$P$6:$P$10,"OK"))</f>
        <v>5</v>
      </c>
      <c r="H461">
        <f>IF(COUNTA('Verificação Peneiradores'!$P$6:$P$10)=0,"",COUNTA('Verificação Peneiradores'!$P$6:$P$10))</f>
        <v>5</v>
      </c>
      <c r="M461" t="str">
        <f>IF(COUNTA('Verificação Peneiradores'!$P$6:$P$10)=0,"",IF(COUNTIF('Verificação Peneiradores'!$P$6:$P$10,"NÃO OK")&gt;0,"Não conforme","Conforme"))</f>
        <v>Conforme</v>
      </c>
      <c r="N461" t="str">
        <f>IFERROR(TRIM(INDEX('Verificação Peneiradores'!$AE$3:$AE$12,MATCH("*",'Verificação Peneiradores'!$AE$3:$AE$12,0))),"")</f>
        <v>WESLEY</v>
      </c>
      <c r="O461" t="str">
        <f>IFERROR(TRIM(INDEX('Verificação Peneiradores'!$AD$3:$AD$12,MATCH("*",'Verificação Peneiradores'!$AD$3:$AD$12,0))),"")</f>
        <v>B</v>
      </c>
      <c r="P461" t="str">
        <f>IF(COUNTIF('Verificação Peneiradores'!$P$6:$P$10,"SEM TAG")&gt;0,"Sem TAG de calibração; ","")&amp;IF('Verificação Peneiradores'!$P$6="NÃO OK","Condições das telas; ","")&amp;IF('Verificação Peneiradores'!$P$7="NÃO OK","Inclinação das telas; ","")&amp;IF('Verificação Peneiradores'!$P$8="NÃO OK","Vibração do peneirador; ","")&amp;IF('Verificação Peneiradores'!$P$9="NÃO OK","Travamento das peneiras; ","")&amp;IF('Verificação Peneiradores'!$P$10="NÃO OK","Calibração; ","")</f>
        <v/>
      </c>
      <c r="Q461" t="s">
        <v>832</v>
      </c>
    </row>
    <row r="462">
      <c r="A462" t="s">
        <v>816</v>
      </c>
      <c r="B462" t="s">
        <v>667</v>
      </c>
      <c r="C462" s="912">
        <f>IF(MAX('Verificação Peneiradores'!$AC$3:$AC$12)=0,"",MAX('Verificação Peneiradores'!$AC$3:$AC$12))</f>
        <v>46271</v>
      </c>
      <c r="D462" t="str">
        <f>IF('Verificação Peneiradores'!$Q$4&amp;""="","Peneirador 09",TRIM('Verificação Peneiradores'!$Q$4&amp;""))</f>
        <v>PN510</v>
      </c>
      <c r="E462" t="str">
        <f>"Malha "&amp;'Verificação Peneiradores'!$Q$3&amp;" mm ("&amp;"Peneirador 09"&amp;")"</f>
        <v>Malha 9 mm (Peneirador 09)</v>
      </c>
      <c r="F462" t="s">
        <v>817</v>
      </c>
      <c r="G462">
        <f>IF(COUNTA('Verificação Peneiradores'!$Q$6:$Q$10)=0,"",COUNTIF('Verificação Peneiradores'!$Q$6:$Q$10,"OK"))</f>
        <v>5</v>
      </c>
      <c r="H462">
        <f>IF(COUNTA('Verificação Peneiradores'!$Q$6:$Q$10)=0,"",COUNTA('Verificação Peneiradores'!$Q$6:$Q$10))</f>
        <v>5</v>
      </c>
      <c r="M462" t="str">
        <f>IF(COUNTA('Verificação Peneiradores'!$Q$6:$Q$10)=0,"",IF(COUNTIF('Verificação Peneiradores'!$Q$6:$Q$10,"NÃO OK")&gt;0,"Não conforme","Conforme"))</f>
        <v>Conforme</v>
      </c>
      <c r="N462" t="str">
        <f>IFERROR(TRIM(INDEX('Verificação Peneiradores'!$AE$3:$AE$12,MATCH("*",'Verificação Peneiradores'!$AE$3:$AE$12,0))),"")</f>
        <v>WESLEY</v>
      </c>
      <c r="O462" t="str">
        <f>IFERROR(TRIM(INDEX('Verificação Peneiradores'!$AD$3:$AD$12,MATCH("*",'Verificação Peneiradores'!$AD$3:$AD$12,0))),"")</f>
        <v>B</v>
      </c>
      <c r="P462" t="str">
        <f>IF(COUNTIF('Verificação Peneiradores'!$Q$6:$Q$10,"SEM TAG")&gt;0,"Sem TAG de calibração; ","")&amp;IF('Verificação Peneiradores'!$Q$6="NÃO OK","Condições das telas; ","")&amp;IF('Verificação Peneiradores'!$Q$7="NÃO OK","Inclinação das telas; ","")&amp;IF('Verificação Peneiradores'!$Q$8="NÃO OK","Vibração do peneirador; ","")&amp;IF('Verificação Peneiradores'!$Q$9="NÃO OK","Travamento das peneiras; ","")&amp;IF('Verificação Peneiradores'!$Q$10="NÃO OK","Calibração; ","")</f>
        <v/>
      </c>
      <c r="Q462" t="s">
        <v>833</v>
      </c>
    </row>
    <row r="463">
      <c r="A463" t="s">
        <v>816</v>
      </c>
      <c r="B463" t="s">
        <v>667</v>
      </c>
      <c r="C463" s="912">
        <f>IF(MAX('Verificação Peneiradores'!$AC$3:$AC$12)=0,"",MAX('Verificação Peneiradores'!$AC$3:$AC$12))</f>
        <v>46271</v>
      </c>
      <c r="D463" t="str">
        <f>IF('Verificação Peneiradores'!$R$4&amp;""="","Peneirador 09",TRIM('Verificação Peneiradores'!$R$4&amp;""))</f>
        <v>PN647</v>
      </c>
      <c r="E463" t="str">
        <f>"Malha "&amp;'Verificação Peneiradores'!$R$3&amp;" mm ("&amp;"Peneirador 09"&amp;")"</f>
        <v>Malha 8 mm (Peneirador 09)</v>
      </c>
      <c r="F463" t="s">
        <v>817</v>
      </c>
      <c r="G463">
        <f>IF(COUNTA('Verificação Peneiradores'!$R$6:$R$10)=0,"",COUNTIF('Verificação Peneiradores'!$R$6:$R$10,"OK"))</f>
        <v>5</v>
      </c>
      <c r="H463">
        <f>IF(COUNTA('Verificação Peneiradores'!$R$6:$R$10)=0,"",COUNTA('Verificação Peneiradores'!$R$6:$R$10))</f>
        <v>5</v>
      </c>
      <c r="M463" t="str">
        <f>IF(COUNTA('Verificação Peneiradores'!$R$6:$R$10)=0,"",IF(COUNTIF('Verificação Peneiradores'!$R$6:$R$10,"NÃO OK")&gt;0,"Não conforme","Conforme"))</f>
        <v>Conforme</v>
      </c>
      <c r="N463" t="str">
        <f>IFERROR(TRIM(INDEX('Verificação Peneiradores'!$AE$3:$AE$12,MATCH("*",'Verificação Peneiradores'!$AE$3:$AE$12,0))),"")</f>
        <v>WESLEY</v>
      </c>
      <c r="O463" t="str">
        <f>IFERROR(TRIM(INDEX('Verificação Peneiradores'!$AD$3:$AD$12,MATCH("*",'Verificação Peneiradores'!$AD$3:$AD$12,0))),"")</f>
        <v>B</v>
      </c>
      <c r="P463" t="str">
        <f>IF(COUNTIF('Verificação Peneiradores'!$R$6:$R$10,"SEM TAG")&gt;0,"Sem TAG de calibração; ","")&amp;IF('Verificação Peneiradores'!$R$6="NÃO OK","Condições das telas; ","")&amp;IF('Verificação Peneiradores'!$R$7="NÃO OK","Inclinação das telas; ","")&amp;IF('Verificação Peneiradores'!$R$8="NÃO OK","Vibração do peneirador; ","")&amp;IF('Verificação Peneiradores'!$R$9="NÃO OK","Travamento das peneiras; ","")&amp;IF('Verificação Peneiradores'!$R$10="NÃO OK","Calibração; ","")</f>
        <v/>
      </c>
      <c r="Q463" t="s">
        <v>834</v>
      </c>
    </row>
    <row r="464">
      <c r="A464" t="s">
        <v>816</v>
      </c>
      <c r="B464" t="s">
        <v>667</v>
      </c>
      <c r="C464" s="912">
        <f>IF(MAX('Verificação Peneiradores'!$AC$3:$AC$12)=0,"",MAX('Verificação Peneiradores'!$AC$3:$AC$12))</f>
        <v>46271</v>
      </c>
      <c r="D464" t="str">
        <f>IF('Verificação Peneiradores'!$S$4&amp;""="","Peneirador 09",TRIM('Verificação Peneiradores'!$S$4&amp;""))</f>
        <v>PN459</v>
      </c>
      <c r="E464" t="str">
        <f>"Malha "&amp;'Verificação Peneiradores'!$S$3&amp;" mm ("&amp;"Peneirador 09"&amp;")"</f>
        <v>Malha 6,3 mm (Peneirador 09)</v>
      </c>
      <c r="F464" t="s">
        <v>817</v>
      </c>
      <c r="G464">
        <f>IF(COUNTA('Verificação Peneiradores'!$S$6:$S$10)=0,"",COUNTIF('Verificação Peneiradores'!$S$6:$S$10,"OK"))</f>
        <v>4</v>
      </c>
      <c r="H464">
        <f>IF(COUNTA('Verificação Peneiradores'!$S$6:$S$10)=0,"",COUNTA('Verificação Peneiradores'!$S$6:$S$10))</f>
        <v>5</v>
      </c>
      <c r="M464" t="str">
        <f>IF(COUNTA('Verificação Peneiradores'!$S$6:$S$10)=0,"",IF(COUNTIF('Verificação Peneiradores'!$S$6:$S$10,"NÃO OK")&gt;0,"Não conforme","Conforme"))</f>
        <v>Conforme</v>
      </c>
      <c r="N464" t="str">
        <f>IFERROR(TRIM(INDEX('Verificação Peneiradores'!$AE$3:$AE$12,MATCH("*",'Verificação Peneiradores'!$AE$3:$AE$12,0))),"")</f>
        <v>WESLEY</v>
      </c>
      <c r="O464" t="str">
        <f>IFERROR(TRIM(INDEX('Verificação Peneiradores'!$AD$3:$AD$12,MATCH("*",'Verificação Peneiradores'!$AD$3:$AD$12,0))),"")</f>
        <v>B</v>
      </c>
      <c r="P464" t="str">
        <f>IF(COUNTIF('Verificação Peneiradores'!$S$6:$S$10,"SEM TAG")&gt;0,"Sem TAG de calibração; ","")&amp;IF('Verificação Peneiradores'!$S$6="NÃO OK","Condições das telas; ","")&amp;IF('Verificação Peneiradores'!$S$7="NÃO OK","Inclinação das telas; ","")&amp;IF('Verificação Peneiradores'!$S$8="NÃO OK","Vibração do peneirador; ","")&amp;IF('Verificação Peneiradores'!$S$9="NÃO OK","Travamento das peneiras; ","")&amp;IF('Verificação Peneiradores'!$S$10="NÃO OK","Calibração; ","")</f>
        <v>Sem TAG de calibração; </v>
      </c>
      <c r="Q464" t="s">
        <v>835</v>
      </c>
    </row>
    <row r="465">
      <c r="A465" t="s">
        <v>816</v>
      </c>
      <c r="B465" t="s">
        <v>667</v>
      </c>
      <c r="C465" s="912">
        <f>IF(MAX('Verificação Peneiradores'!$AC$3:$AC$12)=0,"",MAX('Verificação Peneiradores'!$AC$3:$AC$12))</f>
        <v>46271</v>
      </c>
      <c r="D465" t="str">
        <f>IF('Verificação Peneiradores'!$T$4&amp;""="","Peneirador 05",TRIM('Verificação Peneiradores'!$T$4&amp;""))</f>
        <v>Sem IDENT.</v>
      </c>
      <c r="E465" t="str">
        <f>"Malha "&amp;'Verificação Peneiradores'!$T$3&amp;" mm ("&amp;"Peneirador 05"&amp;")"</f>
        <v>Malha 19 mm (Peneirador 05)</v>
      </c>
      <c r="F465" t="s">
        <v>817</v>
      </c>
      <c r="G465">
        <f>IF(COUNTA('Verificação Peneiradores'!$T$6:$T$10)=0,"",COUNTIF('Verificação Peneiradores'!$T$6:$T$10,"OK"))</f>
        <v>4</v>
      </c>
      <c r="H465">
        <f>IF(COUNTA('Verificação Peneiradores'!$T$6:$T$10)=0,"",COUNTA('Verificação Peneiradores'!$T$6:$T$10))</f>
        <v>5</v>
      </c>
      <c r="M465" t="str">
        <f>IF(COUNTA('Verificação Peneiradores'!$T$6:$T$10)=0,"",IF(COUNTIF('Verificação Peneiradores'!$T$6:$T$10,"NÃO OK")&gt;0,"Não conforme","Conforme"))</f>
        <v>Conforme</v>
      </c>
      <c r="N465" t="str">
        <f>IFERROR(TRIM(INDEX('Verificação Peneiradores'!$AE$3:$AE$12,MATCH("*",'Verificação Peneiradores'!$AE$3:$AE$12,0))),"")</f>
        <v>WESLEY</v>
      </c>
      <c r="O465" t="str">
        <f>IFERROR(TRIM(INDEX('Verificação Peneiradores'!$AD$3:$AD$12,MATCH("*",'Verificação Peneiradores'!$AD$3:$AD$12,0))),"")</f>
        <v>B</v>
      </c>
      <c r="P465" t="str">
        <f>IF(COUNTIF('Verificação Peneiradores'!$T$6:$T$10,"SEM TAG")&gt;0,"Sem TAG de calibração; ","")&amp;IF('Verificação Peneiradores'!$T$6="NÃO OK","Condições das telas; ","")&amp;IF('Verificação Peneiradores'!$T$7="NÃO OK","Inclinação das telas; ","")&amp;IF('Verificação Peneiradores'!$T$8="NÃO OK","Vibração do peneirador; ","")&amp;IF('Verificação Peneiradores'!$T$9="NÃO OK","Travamento das peneiras; ","")&amp;IF('Verificação Peneiradores'!$T$10="NÃO OK","Calibração; ","")</f>
        <v>Sem TAG de calibração; </v>
      </c>
      <c r="Q465" t="s">
        <v>836</v>
      </c>
    </row>
    <row r="466">
      <c r="A466" t="s">
        <v>816</v>
      </c>
      <c r="B466" t="s">
        <v>667</v>
      </c>
      <c r="C466" s="912">
        <f>IF(MAX('Verificação Peneiradores'!$AC$3:$AC$12)=0,"",MAX('Verificação Peneiradores'!$AC$3:$AC$12))</f>
        <v>46271</v>
      </c>
      <c r="D466" t="str">
        <f>IF('Verificação Peneiradores'!$U$4&amp;""="","Peneirador 05",TRIM('Verificação Peneiradores'!$U$4&amp;""))</f>
        <v>PN334</v>
      </c>
      <c r="E466" t="str">
        <f>"Malha "&amp;'Verificação Peneiradores'!$U$3&amp;" mm ("&amp;"Peneirador 05"&amp;")"</f>
        <v>Malha 16 mm (Peneirador 05)</v>
      </c>
      <c r="F466" t="s">
        <v>817</v>
      </c>
      <c r="G466">
        <f>IF(COUNTA('Verificação Peneiradores'!$U$6:$U$10)=0,"",COUNTIF('Verificação Peneiradores'!$U$6:$U$10,"OK"))</f>
        <v>5</v>
      </c>
      <c r="H466">
        <f>IF(COUNTA('Verificação Peneiradores'!$U$6:$U$10)=0,"",COUNTA('Verificação Peneiradores'!$U$6:$U$10))</f>
        <v>5</v>
      </c>
      <c r="M466" t="str">
        <f>IF(COUNTA('Verificação Peneiradores'!$U$6:$U$10)=0,"",IF(COUNTIF('Verificação Peneiradores'!$U$6:$U$10,"NÃO OK")&gt;0,"Não conforme","Conforme"))</f>
        <v>Conforme</v>
      </c>
      <c r="N466" t="str">
        <f>IFERROR(TRIM(INDEX('Verificação Peneiradores'!$AE$3:$AE$12,MATCH("*",'Verificação Peneiradores'!$AE$3:$AE$12,0))),"")</f>
        <v>WESLEY</v>
      </c>
      <c r="O466" t="str">
        <f>IFERROR(TRIM(INDEX('Verificação Peneiradores'!$AD$3:$AD$12,MATCH("*",'Verificação Peneiradores'!$AD$3:$AD$12,0))),"")</f>
        <v>B</v>
      </c>
      <c r="P466" t="str">
        <f>IF(COUNTIF('Verificação Peneiradores'!$U$6:$U$10,"SEM TAG")&gt;0,"Sem TAG de calibração; ","")&amp;IF('Verificação Peneiradores'!$U$6="NÃO OK","Condições das telas; ","")&amp;IF('Verificação Peneiradores'!$U$7="NÃO OK","Inclinação das telas; ","")&amp;IF('Verificação Peneiradores'!$U$8="NÃO OK","Vibração do peneirador; ","")&amp;IF('Verificação Peneiradores'!$U$9="NÃO OK","Travamento das peneiras; ","")&amp;IF('Verificação Peneiradores'!$U$10="NÃO OK","Calibração; ","")</f>
        <v/>
      </c>
      <c r="Q466" t="s">
        <v>837</v>
      </c>
    </row>
    <row r="467">
      <c r="A467" t="s">
        <v>816</v>
      </c>
      <c r="B467" t="s">
        <v>667</v>
      </c>
      <c r="C467" s="912">
        <f>IF(MAX('Verificação Peneiradores'!$AC$3:$AC$12)=0,"",MAX('Verificação Peneiradores'!$AC$3:$AC$12))</f>
        <v>46271</v>
      </c>
      <c r="D467" t="str">
        <f>IF('Verificação Peneiradores'!$V$4&amp;""="","Peneirador 05",TRIM('Verificação Peneiradores'!$V$4&amp;""))</f>
        <v>SEM PN</v>
      </c>
      <c r="E467" t="str">
        <f>"Malha "&amp;'Verificação Peneiradores'!$V$3&amp;" mm ("&amp;"Peneirador 05"&amp;")"</f>
        <v>Malha 14 mm (Peneirador 05)</v>
      </c>
      <c r="F467" t="s">
        <v>817</v>
      </c>
      <c r="G467" t="str">
        <f>IF(COUNTA('Verificação Peneiradores'!$V$6:$V$10)=0,"",COUNTIF('Verificação Peneiradores'!$V$6:$V$10,"OK"))</f>
        <v/>
      </c>
      <c r="H467" t="str">
        <f>IF(COUNTA('Verificação Peneiradores'!$V$6:$V$10)=0,"",COUNTA('Verificação Peneiradores'!$V$6:$V$10))</f>
        <v/>
      </c>
      <c r="M467" t="str">
        <f>IF(COUNTA('Verificação Peneiradores'!$V$6:$V$10)=0,"",IF(COUNTIF('Verificação Peneiradores'!$V$6:$V$10,"NÃO OK")&gt;0,"Não conforme","Conforme"))</f>
        <v/>
      </c>
      <c r="N467" t="str">
        <f>IFERROR(TRIM(INDEX('Verificação Peneiradores'!$AE$3:$AE$12,MATCH("*",'Verificação Peneiradores'!$AE$3:$AE$12,0))),"")</f>
        <v>WESLEY</v>
      </c>
      <c r="O467" t="str">
        <f>IFERROR(TRIM(INDEX('Verificação Peneiradores'!$AD$3:$AD$12,MATCH("*",'Verificação Peneiradores'!$AD$3:$AD$12,0))),"")</f>
        <v>B</v>
      </c>
      <c r="P467" t="str">
        <f>IF(COUNTIF('Verificação Peneiradores'!$V$6:$V$10,"SEM TAG")&gt;0,"Sem TAG de calibração; ","")&amp;IF('Verificação Peneiradores'!$V$6="NÃO OK","Condições das telas; ","")&amp;IF('Verificação Peneiradores'!$V$7="NÃO OK","Inclinação das telas; ","")&amp;IF('Verificação Peneiradores'!$V$8="NÃO OK","Vibração do peneirador; ","")&amp;IF('Verificação Peneiradores'!$V$9="NÃO OK","Travamento das peneiras; ","")&amp;IF('Verificação Peneiradores'!$V$10="NÃO OK","Calibração; ","")</f>
        <v/>
      </c>
      <c r="Q467" t="s">
        <v>838</v>
      </c>
    </row>
    <row r="468">
      <c r="A468" t="s">
        <v>816</v>
      </c>
      <c r="B468" t="s">
        <v>667</v>
      </c>
      <c r="C468" s="912">
        <f>IF(MAX('Verificação Peneiradores'!$AC$3:$AC$12)=0,"",MAX('Verificação Peneiradores'!$AC$3:$AC$12))</f>
        <v>46271</v>
      </c>
      <c r="D468" t="str">
        <f>IF('Verificação Peneiradores'!$W$4&amp;""="","Peneirador 05",TRIM('Verificação Peneiradores'!$W$4&amp;""))</f>
        <v>SEM PN</v>
      </c>
      <c r="E468" t="str">
        <f>"Malha "&amp;'Verificação Peneiradores'!$W$3&amp;" mm ("&amp;"Peneirador 05"&amp;")"</f>
        <v>Malha 12,5 mm (Peneirador 05)</v>
      </c>
      <c r="F468" t="s">
        <v>817</v>
      </c>
      <c r="G468" t="str">
        <f>IF(COUNTA('Verificação Peneiradores'!$W$6:$W$10)=0,"",COUNTIF('Verificação Peneiradores'!$W$6:$W$10,"OK"))</f>
        <v/>
      </c>
      <c r="H468" t="str">
        <f>IF(COUNTA('Verificação Peneiradores'!$W$6:$W$10)=0,"",COUNTA('Verificação Peneiradores'!$W$6:$W$10))</f>
        <v/>
      </c>
      <c r="M468" t="str">
        <f>IF(COUNTA('Verificação Peneiradores'!$W$6:$W$10)=0,"",IF(COUNTIF('Verificação Peneiradores'!$W$6:$W$10,"NÃO OK")&gt;0,"Não conforme","Conforme"))</f>
        <v/>
      </c>
      <c r="N468" t="str">
        <f>IFERROR(TRIM(INDEX('Verificação Peneiradores'!$AE$3:$AE$12,MATCH("*",'Verificação Peneiradores'!$AE$3:$AE$12,0))),"")</f>
        <v>WESLEY</v>
      </c>
      <c r="O468" t="str">
        <f>IFERROR(TRIM(INDEX('Verificação Peneiradores'!$AD$3:$AD$12,MATCH("*",'Verificação Peneiradores'!$AD$3:$AD$12,0))),"")</f>
        <v>B</v>
      </c>
      <c r="P468" t="str">
        <f>IF(COUNTIF('Verificação Peneiradores'!$W$6:$W$10,"SEM TAG")&gt;0,"Sem TAG de calibração; ","")&amp;IF('Verificação Peneiradores'!$W$6="NÃO OK","Condições das telas; ","")&amp;IF('Verificação Peneiradores'!$W$7="NÃO OK","Inclinação das telas; ","")&amp;IF('Verificação Peneiradores'!$W$8="NÃO OK","Vibração do peneirador; ","")&amp;IF('Verificação Peneiradores'!$W$9="NÃO OK","Travamento das peneiras; ","")&amp;IF('Verificação Peneiradores'!$W$10="NÃO OK","Calibração; ","")</f>
        <v/>
      </c>
      <c r="Q468" t="s">
        <v>839</v>
      </c>
    </row>
    <row r="469">
      <c r="A469" t="s">
        <v>816</v>
      </c>
      <c r="B469" t="s">
        <v>667</v>
      </c>
      <c r="C469" s="912">
        <f>IF(MAX('Verificação Peneiradores'!$AC$3:$AC$12)=0,"",MAX('Verificação Peneiradores'!$AC$3:$AC$12))</f>
        <v>46271</v>
      </c>
      <c r="D469" t="str">
        <f>IF('Verificação Peneiradores'!$X$4&amp;""="","Peneirador 05",TRIM('Verificação Peneiradores'!$X$4&amp;""))</f>
        <v>PN646</v>
      </c>
      <c r="E469" t="str">
        <f>"Malha "&amp;'Verificação Peneiradores'!$X$3&amp;" mm ("&amp;"Peneirador 05"&amp;")"</f>
        <v>Malha 9 mm (Peneirador 05)</v>
      </c>
      <c r="F469" t="s">
        <v>817</v>
      </c>
      <c r="G469">
        <f>IF(COUNTA('Verificação Peneiradores'!$X$6:$X$10)=0,"",COUNTIF('Verificação Peneiradores'!$X$6:$X$10,"OK"))</f>
        <v>4</v>
      </c>
      <c r="H469">
        <f>IF(COUNTA('Verificação Peneiradores'!$X$6:$X$10)=0,"",COUNTA('Verificação Peneiradores'!$X$6:$X$10))</f>
        <v>5</v>
      </c>
      <c r="M469" t="str">
        <f>IF(COUNTA('Verificação Peneiradores'!$X$6:$X$10)=0,"",IF(COUNTIF('Verificação Peneiradores'!$X$6:$X$10,"NÃO OK")&gt;0,"Não conforme","Conforme"))</f>
        <v>Não conforme</v>
      </c>
      <c r="N469" t="str">
        <f>IFERROR(TRIM(INDEX('Verificação Peneiradores'!$AE$3:$AE$12,MATCH("*",'Verificação Peneiradores'!$AE$3:$AE$12,0))),"")</f>
        <v>WESLEY</v>
      </c>
      <c r="O469" t="str">
        <f>IFERROR(TRIM(INDEX('Verificação Peneiradores'!$AD$3:$AD$12,MATCH("*",'Verificação Peneiradores'!$AD$3:$AD$12,0))),"")</f>
        <v>B</v>
      </c>
      <c r="P469" t="str">
        <f>IF(COUNTIF('Verificação Peneiradores'!$X$6:$X$10,"SEM TAG")&gt;0,"Sem TAG de calibração; ","")&amp;IF('Verificação Peneiradores'!$X$6="NÃO OK","Condições das telas; ","")&amp;IF('Verificação Peneiradores'!$X$7="NÃO OK","Inclinação das telas; ","")&amp;IF('Verificação Peneiradores'!$X$8="NÃO OK","Vibração do peneirador; ","")&amp;IF('Verificação Peneiradores'!$X$9="NÃO OK","Travamento das peneiras; ","")&amp;IF('Verificação Peneiradores'!$X$10="NÃO OK","Calibração; ","")</f>
        <v>Calibração; </v>
      </c>
      <c r="Q469" t="s">
        <v>840</v>
      </c>
    </row>
    <row r="470">
      <c r="A470" t="s">
        <v>816</v>
      </c>
      <c r="B470" t="s">
        <v>667</v>
      </c>
      <c r="C470" s="912">
        <f>IF(MAX('Verificação Peneiradores'!$AC$3:$AC$12)=0,"",MAX('Verificação Peneiradores'!$AC$3:$AC$12))</f>
        <v>46271</v>
      </c>
      <c r="D470" t="str">
        <f>IF('Verificação Peneiradores'!$Y$4&amp;""="","Peneirador 05",TRIM('Verificação Peneiradores'!$Y$4&amp;""))</f>
        <v>PNS/IDENT</v>
      </c>
      <c r="E470" t="str">
        <f>"Malha "&amp;'Verificação Peneiradores'!$Y$3&amp;" mm ("&amp;"Peneirador 05"&amp;")"</f>
        <v>Malha 8 mm (Peneirador 05)</v>
      </c>
      <c r="F470" t="s">
        <v>817</v>
      </c>
      <c r="G470" t="str">
        <f>IF(COUNTA('Verificação Peneiradores'!$Y$6:$Y$10)=0,"",COUNTIF('Verificação Peneiradores'!$Y$6:$Y$10,"OK"))</f>
        <v/>
      </c>
      <c r="H470" t="str">
        <f>IF(COUNTA('Verificação Peneiradores'!$Y$6:$Y$10)=0,"",COUNTA('Verificação Peneiradores'!$Y$6:$Y$10))</f>
        <v/>
      </c>
      <c r="M470" t="str">
        <f>IF(COUNTA('Verificação Peneiradores'!$Y$6:$Y$10)=0,"",IF(COUNTIF('Verificação Peneiradores'!$Y$6:$Y$10,"NÃO OK")&gt;0,"Não conforme","Conforme"))</f>
        <v/>
      </c>
      <c r="N470" t="str">
        <f>IFERROR(TRIM(INDEX('Verificação Peneiradores'!$AE$3:$AE$12,MATCH("*",'Verificação Peneiradores'!$AE$3:$AE$12,0))),"")</f>
        <v>WESLEY</v>
      </c>
      <c r="O470" t="str">
        <f>IFERROR(TRIM(INDEX('Verificação Peneiradores'!$AD$3:$AD$12,MATCH("*",'Verificação Peneiradores'!$AD$3:$AD$12,0))),"")</f>
        <v>B</v>
      </c>
      <c r="P470" t="str">
        <f>IF(COUNTIF('Verificação Peneiradores'!$Y$6:$Y$10,"SEM TAG")&gt;0,"Sem TAG de calibração; ","")&amp;IF('Verificação Peneiradores'!$Y$6="NÃO OK","Condições das telas; ","")&amp;IF('Verificação Peneiradores'!$Y$7="NÃO OK","Inclinação das telas; ","")&amp;IF('Verificação Peneiradores'!$Y$8="NÃO OK","Vibração do peneirador; ","")&amp;IF('Verificação Peneiradores'!$Y$9="NÃO OK","Travamento das peneiras; ","")&amp;IF('Verificação Peneiradores'!$Y$10="NÃO OK","Calibração; ","")</f>
        <v/>
      </c>
      <c r="Q470" t="s">
        <v>841</v>
      </c>
    </row>
    <row r="471">
      <c r="A471" t="s">
        <v>816</v>
      </c>
      <c r="B471" t="s">
        <v>667</v>
      </c>
      <c r="C471" s="912">
        <f>IF(MAX('Verificação Peneiradores'!$AC$3:$AC$12)=0,"",MAX('Verificação Peneiradores'!$AC$3:$AC$12))</f>
        <v>46271</v>
      </c>
      <c r="D471" t="str">
        <f>IF('Verificação Peneiradores'!$Z$4&amp;""="","Peneirador 05",TRIM('Verificação Peneiradores'!$Z$4&amp;""))</f>
        <v>S/IDENT.</v>
      </c>
      <c r="E471" t="str">
        <f>"Malha "&amp;'Verificação Peneiradores'!$Z$3&amp;" mm ("&amp;"Peneirador 05"&amp;")"</f>
        <v>Malha 6,3 mm (Peneirador 05)</v>
      </c>
      <c r="F471" t="s">
        <v>817</v>
      </c>
      <c r="G471">
        <f>IF(COUNTA('Verificação Peneiradores'!$Z$6:$Z$10)=0,"",COUNTIF('Verificação Peneiradores'!$Z$6:$Z$10,"OK"))</f>
        <v>0</v>
      </c>
      <c r="H471">
        <f>IF(COUNTA('Verificação Peneiradores'!$Z$6:$Z$10)=0,"",COUNTA('Verificação Peneiradores'!$Z$6:$Z$10))</f>
        <v>1</v>
      </c>
      <c r="M471" t="str">
        <f>IF(COUNTA('Verificação Peneiradores'!$Z$6:$Z$10)=0,"",IF(COUNTIF('Verificação Peneiradores'!$Z$6:$Z$10,"NÃO OK")&gt;0,"Não conforme","Conforme"))</f>
        <v>Conforme</v>
      </c>
      <c r="N471" t="str">
        <f>IFERROR(TRIM(INDEX('Verificação Peneiradores'!$AE$3:$AE$12,MATCH("*",'Verificação Peneiradores'!$AE$3:$AE$12,0))),"")</f>
        <v>WESLEY</v>
      </c>
      <c r="O471" t="str">
        <f>IFERROR(TRIM(INDEX('Verificação Peneiradores'!$AD$3:$AD$12,MATCH("*",'Verificação Peneiradores'!$AD$3:$AD$12,0))),"")</f>
        <v>B</v>
      </c>
      <c r="P471" t="str">
        <f>IF(COUNTIF('Verificação Peneiradores'!$Z$6:$Z$10,"SEM TAG")&gt;0,"Sem TAG de calibração; ","")&amp;IF('Verificação Peneiradores'!$Z$6="NÃO OK","Condições das telas; ","")&amp;IF('Verificação Peneiradores'!$Z$7="NÃO OK","Inclinação das telas; ","")&amp;IF('Verificação Peneiradores'!$Z$8="NÃO OK","Vibração do peneirador; ","")&amp;IF('Verificação Peneiradores'!$Z$9="NÃO OK","Travamento das peneiras; ","")&amp;IF('Verificação Peneiradores'!$Z$10="NÃO OK","Calibração; ","")</f>
        <v>Sem TAG de calibração; </v>
      </c>
      <c r="Q471" t="s">
        <v>842</v>
      </c>
    </row>
    <row r="472">
      <c r="A472" t="s">
        <v>816</v>
      </c>
      <c r="B472" t="s">
        <v>667</v>
      </c>
      <c r="C472" s="912">
        <f>IF(MAX('Verificação Peneiradores'!$AC$3:$AC$12)=0,"",MAX('Verificação Peneiradores'!$AC$3:$AC$12))</f>
        <v>46271</v>
      </c>
      <c r="D472" t="str">
        <f>IF('Verificação Peneiradores'!$AA$4&amp;""="","Peneirador 06",TRIM('Verificação Peneiradores'!$AA$4&amp;""))</f>
        <v>PN648</v>
      </c>
      <c r="E472" t="str">
        <f>"Malha "&amp;'Verificação Peneiradores'!$AA$3&amp;" mm ("&amp;"Peneirador 06"&amp;")"</f>
        <v>Malha 6,3 mm (Peneirador 06)</v>
      </c>
      <c r="F472" t="s">
        <v>817</v>
      </c>
      <c r="G472">
        <f>IF(COUNTA('Verificação Peneiradores'!$AA$6:$AA$10)=0,"",COUNTIF('Verificação Peneiradores'!$AA$6:$AA$10,"OK"))</f>
        <v>4</v>
      </c>
      <c r="H472">
        <f>IF(COUNTA('Verificação Peneiradores'!$AA$6:$AA$10)=0,"",COUNTA('Verificação Peneiradores'!$AA$6:$AA$10))</f>
        <v>5</v>
      </c>
      <c r="M472" t="str">
        <f>IF(COUNTA('Verificação Peneiradores'!$AA$6:$AA$10)=0,"",IF(COUNTIF('Verificação Peneiradores'!$AA$6:$AA$10,"NÃO OK")&gt;0,"Não conforme","Conforme"))</f>
        <v>Não conforme</v>
      </c>
      <c r="N472" t="str">
        <f>IFERROR(TRIM(INDEX('Verificação Peneiradores'!$AE$3:$AE$12,MATCH("*",'Verificação Peneiradores'!$AE$3:$AE$12,0))),"")</f>
        <v>WESLEY</v>
      </c>
      <c r="O472" t="str">
        <f>IFERROR(TRIM(INDEX('Verificação Peneiradores'!$AD$3:$AD$12,MATCH("*",'Verificação Peneiradores'!$AD$3:$AD$12,0))),"")</f>
        <v>B</v>
      </c>
      <c r="P472" t="str">
        <f>IF(COUNTIF('Verificação Peneiradores'!$AA$6:$AA$10,"SEM TAG")&gt;0,"Sem TAG de calibração; ","")&amp;IF('Verificação Peneiradores'!$AA$6="NÃO OK","Condições das telas; ","")&amp;IF('Verificação Peneiradores'!$AA$7="NÃO OK","Inclinação das telas; ","")&amp;IF('Verificação Peneiradores'!$AA$8="NÃO OK","Vibração do peneirador; ","")&amp;IF('Verificação Peneiradores'!$AA$9="NÃO OK","Travamento das peneiras; ","")&amp;IF('Verificação Peneiradores'!$AA$10="NÃO OK","Calibração; ","")</f>
        <v>Calibração; </v>
      </c>
      <c r="Q472" t="s">
        <v>843</v>
      </c>
    </row>
    <row r="473">
      <c r="A473" t="s">
        <v>816</v>
      </c>
      <c r="B473" t="s">
        <v>667</v>
      </c>
      <c r="C473" s="912">
        <f>IF(MAX('Verificação Peneiradores'!$AC$3:$AC$12)=0,"",MAX('Verificação Peneiradores'!$AC$3:$AC$12))</f>
        <v>46271</v>
      </c>
      <c r="D473" t="str">
        <f>IF('Verificação Peneiradores'!$AB$4&amp;""="","Peneirador 06",TRIM('Verificação Peneiradores'!$AB$4&amp;""))</f>
        <v>N/CONT</v>
      </c>
      <c r="E473" t="str">
        <f>"Malha "&amp;'Verificação Peneiradores'!$AB$3&amp;" mm ("&amp;"Peneirador 06"&amp;")"</f>
        <v>Malha 10 mm (Peneirador 06)</v>
      </c>
      <c r="F473" t="s">
        <v>817</v>
      </c>
      <c r="G473">
        <f>IF(COUNTA('Verificação Peneiradores'!$AB$6:$AB$10)=0,"",COUNTIF('Verificação Peneiradores'!$AB$6:$AB$10,"OK"))</f>
        <v>5</v>
      </c>
      <c r="H473">
        <f>IF(COUNTA('Verificação Peneiradores'!$AB$6:$AB$10)=0,"",COUNTA('Verificação Peneiradores'!$AB$6:$AB$10))</f>
        <v>5</v>
      </c>
      <c r="M473" t="str">
        <f>IF(COUNTA('Verificação Peneiradores'!$AB$6:$AB$10)=0,"",IF(COUNTIF('Verificação Peneiradores'!$AB$6:$AB$10,"NÃO OK")&gt;0,"Não conforme","Conforme"))</f>
        <v>Conforme</v>
      </c>
      <c r="N473" t="str">
        <f>IFERROR(TRIM(INDEX('Verificação Peneiradores'!$AE$3:$AE$12,MATCH("*",'Verificação Peneiradores'!$AE$3:$AE$12,0))),"")</f>
        <v>WESLEY</v>
      </c>
      <c r="O473" t="str">
        <f>IFERROR(TRIM(INDEX('Verificação Peneiradores'!$AD$3:$AD$12,MATCH("*",'Verificação Peneiradores'!$AD$3:$AD$12,0))),"")</f>
        <v>B</v>
      </c>
      <c r="P473" t="str">
        <f>IF(COUNTIF('Verificação Peneiradores'!$AB$6:$AB$10,"SEM TAG")&gt;0,"Sem TAG de calibração; ","")&amp;IF('Verificação Peneiradores'!$AB$6="NÃO OK","Condições das telas; ","")&amp;IF('Verificação Peneiradores'!$AB$7="NÃO OK","Inclinação das telas; ","")&amp;IF('Verificação Peneiradores'!$AB$8="NÃO OK","Vibração do peneirador; ","")&amp;IF('Verificação Peneiradores'!$AB$9="NÃO OK","Travamento das peneiras; ","")&amp;IF('Verificação Peneiradores'!$AB$10="NÃO OK","Calibração; ","")</f>
        <v/>
      </c>
      <c r="Q473" t="s">
        <v>844</v>
      </c>
    </row>
    <row r="474">
      <c r="A474" t="s">
        <v>816</v>
      </c>
      <c r="B474" t="s">
        <v>667</v>
      </c>
      <c r="C474" s="912">
        <f>IF(MAX('Verificação Peneiradores'!$AC$13:$AC$22)=0,"",MAX('Verificação Peneiradores'!$AC$13:$AC$22))</f>
        <v>46273</v>
      </c>
      <c r="D474" t="str">
        <f>IF('Verificação Peneiradores'!$B$14&amp;""="","Circulares",TRIM('Verificação Peneiradores'!$B$14&amp;""))</f>
        <v>PN0423</v>
      </c>
      <c r="E474" t="str">
        <f>"Malha "&amp;'Verificação Peneiradores'!$B$13&amp;" mm ("&amp;"Circulares"&amp;")"</f>
        <v>Malha 19 mm (Circulares)</v>
      </c>
      <c r="F474" t="s">
        <v>817</v>
      </c>
      <c r="G474">
        <f>IF(COUNTA('Verificação Peneiradores'!$B$16:$B$20)=0,"",COUNTIF('Verificação Peneiradores'!$B$16:$B$20,"OK"))</f>
        <v>5</v>
      </c>
      <c r="H474">
        <f>IF(COUNTA('Verificação Peneiradores'!$B$16:$B$20)=0,"",COUNTA('Verificação Peneiradores'!$B$16:$B$20))</f>
        <v>5</v>
      </c>
      <c r="M474" t="str">
        <f>IF(COUNTA('Verificação Peneiradores'!$B$16:$B$20)=0,"",IF(COUNTIF('Verificação Peneiradores'!$B$16:$B$20,"NÃO OK")&gt;0,"Não conforme","Conforme"))</f>
        <v>Conforme</v>
      </c>
      <c r="N474" t="str">
        <f>IFERROR(TRIM(INDEX('Verificação Peneiradores'!$AE$13:$AE$22,MATCH("*",'Verificação Peneiradores'!$AE$13:$AE$22,0))),"")</f>
        <v>LEONARDO</v>
      </c>
      <c r="O474" t="str">
        <f>IFERROR(TRIM(INDEX('Verificação Peneiradores'!$AD$13:$AD$22,MATCH("*",'Verificação Peneiradores'!$AD$13:$AD$22,0))),"")</f>
        <v>A</v>
      </c>
      <c r="P474" t="str">
        <f>IF(COUNTIF('Verificação Peneiradores'!$B$16:$B$20,"SEM TAG")&gt;0,"Sem TAG de calibração; ","")&amp;IF('Verificação Peneiradores'!$B$16="NÃO OK","Condições das telas; ","")&amp;IF('Verificação Peneiradores'!$B$17="NÃO OK","Inclinação das telas; ","")&amp;IF('Verificação Peneiradores'!$B$18="NÃO OK","Vibração do peneirador; ","")&amp;IF('Verificação Peneiradores'!$B$19="NÃO OK","Travamento das peneiras; ","")&amp;IF('Verificação Peneiradores'!$B$20="NÃO OK","Calibração; ","")</f>
        <v/>
      </c>
      <c r="Q474" t="s">
        <v>845</v>
      </c>
    </row>
    <row r="475">
      <c r="A475" t="s">
        <v>816</v>
      </c>
      <c r="B475" t="s">
        <v>667</v>
      </c>
      <c r="C475" s="912">
        <f>IF(MAX('Verificação Peneiradores'!$AC$13:$AC$22)=0,"",MAX('Verificação Peneiradores'!$AC$13:$AC$22))</f>
        <v>46273</v>
      </c>
      <c r="D475" t="str">
        <f>IF('Verificação Peneiradores'!$C$14&amp;""="","Circulares",TRIM('Verificação Peneiradores'!$C$14&amp;""))</f>
        <v>PN0482</v>
      </c>
      <c r="E475" t="str">
        <f>"Malha "&amp;'Verificação Peneiradores'!$C$13&amp;" mm ("&amp;"Circulares"&amp;")"</f>
        <v>Malha 16 mm (Circulares)</v>
      </c>
      <c r="F475" t="s">
        <v>817</v>
      </c>
      <c r="G475">
        <f>IF(COUNTA('Verificação Peneiradores'!$C$16:$C$20)=0,"",COUNTIF('Verificação Peneiradores'!$C$16:$C$20,"OK"))</f>
        <v>4</v>
      </c>
      <c r="H475">
        <f>IF(COUNTA('Verificação Peneiradores'!$C$16:$C$20)=0,"",COUNTA('Verificação Peneiradores'!$C$16:$C$20))</f>
        <v>5</v>
      </c>
      <c r="M475" t="str">
        <f>IF(COUNTA('Verificação Peneiradores'!$C$16:$C$20)=0,"",IF(COUNTIF('Verificação Peneiradores'!$C$16:$C$20,"NÃO OK")&gt;0,"Não conforme","Conforme"))</f>
        <v>Conforme</v>
      </c>
      <c r="N475" t="str">
        <f>IFERROR(TRIM(INDEX('Verificação Peneiradores'!$AE$13:$AE$22,MATCH("*",'Verificação Peneiradores'!$AE$13:$AE$22,0))),"")</f>
        <v>LEONARDO</v>
      </c>
      <c r="O475" t="str">
        <f>IFERROR(TRIM(INDEX('Verificação Peneiradores'!$AD$13:$AD$22,MATCH("*",'Verificação Peneiradores'!$AD$13:$AD$22,0))),"")</f>
        <v>A</v>
      </c>
      <c r="P475" t="str">
        <f>IF(COUNTIF('Verificação Peneiradores'!$C$16:$C$20,"SEM TAG")&gt;0,"Sem TAG de calibração; ","")&amp;IF('Verificação Peneiradores'!$C$16="NÃO OK","Condições das telas; ","")&amp;IF('Verificação Peneiradores'!$C$17="NÃO OK","Inclinação das telas; ","")&amp;IF('Verificação Peneiradores'!$C$18="NÃO OK","Vibração do peneirador; ","")&amp;IF('Verificação Peneiradores'!$C$19="NÃO OK","Travamento das peneiras; ","")&amp;IF('Verificação Peneiradores'!$C$20="NÃO OK","Calibração; ","")</f>
        <v>Sem TAG de calibração; </v>
      </c>
      <c r="Q475" t="s">
        <v>846</v>
      </c>
    </row>
    <row r="476">
      <c r="A476" t="s">
        <v>816</v>
      </c>
      <c r="B476" t="s">
        <v>667</v>
      </c>
      <c r="C476" s="912">
        <f>IF(MAX('Verificação Peneiradores'!$AC$13:$AC$22)=0,"",MAX('Verificação Peneiradores'!$AC$13:$AC$22))</f>
        <v>46273</v>
      </c>
      <c r="D476" t="str">
        <f>IF('Verificação Peneiradores'!$D$14&amp;""="","Circulares",TRIM('Verificação Peneiradores'!$D$14&amp;""))</f>
        <v>PN 497</v>
      </c>
      <c r="E476" t="str">
        <f>"Malha "&amp;'Verificação Peneiradores'!$D$13&amp;" mm ("&amp;"Circulares"&amp;")"</f>
        <v>Malha 12,5 mm (Circulares)</v>
      </c>
      <c r="F476" t="s">
        <v>817</v>
      </c>
      <c r="G476">
        <f>IF(COUNTA('Verificação Peneiradores'!$D$16:$D$20)=0,"",COUNTIF('Verificação Peneiradores'!$D$16:$D$20,"OK"))</f>
        <v>4</v>
      </c>
      <c r="H476">
        <f>IF(COUNTA('Verificação Peneiradores'!$D$16:$D$20)=0,"",COUNTA('Verificação Peneiradores'!$D$16:$D$20))</f>
        <v>5</v>
      </c>
      <c r="M476" t="str">
        <f>IF(COUNTA('Verificação Peneiradores'!$D$16:$D$20)=0,"",IF(COUNTIF('Verificação Peneiradores'!$D$16:$D$20,"NÃO OK")&gt;0,"Não conforme","Conforme"))</f>
        <v>Conforme</v>
      </c>
      <c r="N476" t="str">
        <f>IFERROR(TRIM(INDEX('Verificação Peneiradores'!$AE$13:$AE$22,MATCH("*",'Verificação Peneiradores'!$AE$13:$AE$22,0))),"")</f>
        <v>LEONARDO</v>
      </c>
      <c r="O476" t="str">
        <f>IFERROR(TRIM(INDEX('Verificação Peneiradores'!$AD$13:$AD$22,MATCH("*",'Verificação Peneiradores'!$AD$13:$AD$22,0))),"")</f>
        <v>A</v>
      </c>
      <c r="P476" t="str">
        <f>IF(COUNTIF('Verificação Peneiradores'!$D$16:$D$20,"SEM TAG")&gt;0,"Sem TAG de calibração; ","")&amp;IF('Verificação Peneiradores'!$D$16="NÃO OK","Condições das telas; ","")&amp;IF('Verificação Peneiradores'!$D$17="NÃO OK","Inclinação das telas; ","")&amp;IF('Verificação Peneiradores'!$D$18="NÃO OK","Vibração do peneirador; ","")&amp;IF('Verificação Peneiradores'!$D$19="NÃO OK","Travamento das peneiras; ","")&amp;IF('Verificação Peneiradores'!$D$20="NÃO OK","Calibração; ","")</f>
        <v>Sem TAG de calibração; </v>
      </c>
      <c r="Q476" t="s">
        <v>847</v>
      </c>
    </row>
    <row r="477">
      <c r="A477" t="s">
        <v>816</v>
      </c>
      <c r="B477" t="s">
        <v>667</v>
      </c>
      <c r="C477" s="912">
        <f>IF(MAX('Verificação Peneiradores'!$AC$13:$AC$22)=0,"",MAX('Verificação Peneiradores'!$AC$13:$AC$22))</f>
        <v>46273</v>
      </c>
      <c r="D477" t="str">
        <f>IF('Verificação Peneiradores'!$E$14&amp;""="","Circulares",TRIM('Verificação Peneiradores'!$E$14&amp;""))</f>
        <v>PN 303</v>
      </c>
      <c r="E477" t="str">
        <f>"Malha "&amp;'Verificação Peneiradores'!$E$13&amp;" mm ("&amp;"Circulares"&amp;")"</f>
        <v>Malha 10 mm (Circulares)</v>
      </c>
      <c r="F477" t="s">
        <v>817</v>
      </c>
      <c r="G477">
        <f>IF(COUNTA('Verificação Peneiradores'!$E$16:$E$20)=0,"",COUNTIF('Verificação Peneiradores'!$E$16:$E$20,"OK"))</f>
        <v>4</v>
      </c>
      <c r="H477">
        <f>IF(COUNTA('Verificação Peneiradores'!$E$16:$E$20)=0,"",COUNTA('Verificação Peneiradores'!$E$16:$E$20))</f>
        <v>5</v>
      </c>
      <c r="M477" t="str">
        <f>IF(COUNTA('Verificação Peneiradores'!$E$16:$E$20)=0,"",IF(COUNTIF('Verificação Peneiradores'!$E$16:$E$20,"NÃO OK")&gt;0,"Não conforme","Conforme"))</f>
        <v>Conforme</v>
      </c>
      <c r="N477" t="str">
        <f>IFERROR(TRIM(INDEX('Verificação Peneiradores'!$AE$13:$AE$22,MATCH("*",'Verificação Peneiradores'!$AE$13:$AE$22,0))),"")</f>
        <v>LEONARDO</v>
      </c>
      <c r="O477" t="str">
        <f>IFERROR(TRIM(INDEX('Verificação Peneiradores'!$AD$13:$AD$22,MATCH("*",'Verificação Peneiradores'!$AD$13:$AD$22,0))),"")</f>
        <v>A</v>
      </c>
      <c r="P477" t="str">
        <f>IF(COUNTIF('Verificação Peneiradores'!$E$16:$E$20,"SEM TAG")&gt;0,"Sem TAG de calibração; ","")&amp;IF('Verificação Peneiradores'!$E$16="NÃO OK","Condições das telas; ","")&amp;IF('Verificação Peneiradores'!$E$17="NÃO OK","Inclinação das telas; ","")&amp;IF('Verificação Peneiradores'!$E$18="NÃO OK","Vibração do peneirador; ","")&amp;IF('Verificação Peneiradores'!$E$19="NÃO OK","Travamento das peneiras; ","")&amp;IF('Verificação Peneiradores'!$E$20="NÃO OK","Calibração; ","")</f>
        <v>Sem TAG de calibração; </v>
      </c>
      <c r="Q477" t="s">
        <v>848</v>
      </c>
    </row>
    <row r="478">
      <c r="A478" t="s">
        <v>816</v>
      </c>
      <c r="B478" t="s">
        <v>667</v>
      </c>
      <c r="C478" s="912">
        <f>IF(MAX('Verificação Peneiradores'!$AC$13:$AC$22)=0,"",MAX('Verificação Peneiradores'!$AC$13:$AC$22))</f>
        <v>46273</v>
      </c>
      <c r="D478" t="str">
        <f>IF('Verificação Peneiradores'!$F$14&amp;""="","Circulares",TRIM('Verificação Peneiradores'!$F$14&amp;""))</f>
        <v>PN431</v>
      </c>
      <c r="E478" t="str">
        <f>"Malha "&amp;'Verificação Peneiradores'!$F$13&amp;" mm ("&amp;"Circulares"&amp;")"</f>
        <v>Malha 9 mm (Circulares)</v>
      </c>
      <c r="F478" t="s">
        <v>817</v>
      </c>
      <c r="G478">
        <f>IF(COUNTA('Verificação Peneiradores'!$F$16:$F$20)=0,"",COUNTIF('Verificação Peneiradores'!$F$16:$F$20,"OK"))</f>
        <v>5</v>
      </c>
      <c r="H478">
        <f>IF(COUNTA('Verificação Peneiradores'!$F$16:$F$20)=0,"",COUNTA('Verificação Peneiradores'!$F$16:$F$20))</f>
        <v>5</v>
      </c>
      <c r="M478" t="str">
        <f>IF(COUNTA('Verificação Peneiradores'!$F$16:$F$20)=0,"",IF(COUNTIF('Verificação Peneiradores'!$F$16:$F$20,"NÃO OK")&gt;0,"Não conforme","Conforme"))</f>
        <v>Conforme</v>
      </c>
      <c r="N478" t="str">
        <f>IFERROR(TRIM(INDEX('Verificação Peneiradores'!$AE$13:$AE$22,MATCH("*",'Verificação Peneiradores'!$AE$13:$AE$22,0))),"")</f>
        <v>LEONARDO</v>
      </c>
      <c r="O478" t="str">
        <f>IFERROR(TRIM(INDEX('Verificação Peneiradores'!$AD$13:$AD$22,MATCH("*",'Verificação Peneiradores'!$AD$13:$AD$22,0))),"")</f>
        <v>A</v>
      </c>
      <c r="P478" t="str">
        <f>IF(COUNTIF('Verificação Peneiradores'!$F$16:$F$20,"SEM TAG")&gt;0,"Sem TAG de calibração; ","")&amp;IF('Verificação Peneiradores'!$F$16="NÃO OK","Condições das telas; ","")&amp;IF('Verificação Peneiradores'!$F$17="NÃO OK","Inclinação das telas; ","")&amp;IF('Verificação Peneiradores'!$F$18="NÃO OK","Vibração do peneirador; ","")&amp;IF('Verificação Peneiradores'!$F$19="NÃO OK","Travamento das peneiras; ","")&amp;IF('Verificação Peneiradores'!$F$20="NÃO OK","Calibração; ","")</f>
        <v/>
      </c>
      <c r="Q478" t="s">
        <v>849</v>
      </c>
    </row>
    <row r="479">
      <c r="A479" t="s">
        <v>816</v>
      </c>
      <c r="B479" t="s">
        <v>667</v>
      </c>
      <c r="C479" s="912">
        <f>IF(MAX('Verificação Peneiradores'!$AC$13:$AC$22)=0,"",MAX('Verificação Peneiradores'!$AC$13:$AC$22))</f>
        <v>46273</v>
      </c>
      <c r="D479" t="str">
        <f>IF('Verificação Peneiradores'!$G$14&amp;""="","Circulares",TRIM('Verificação Peneiradores'!$G$14&amp;""))</f>
        <v>PN432</v>
      </c>
      <c r="E479" t="str">
        <f>"Malha "&amp;'Verificação Peneiradores'!$G$13&amp;" mm ("&amp;"Circulares"&amp;")"</f>
        <v>Malha 8 mm (Circulares)</v>
      </c>
      <c r="F479" t="s">
        <v>817</v>
      </c>
      <c r="G479">
        <f>IF(COUNTA('Verificação Peneiradores'!$G$16:$G$20)=0,"",COUNTIF('Verificação Peneiradores'!$G$16:$G$20,"OK"))</f>
        <v>5</v>
      </c>
      <c r="H479">
        <f>IF(COUNTA('Verificação Peneiradores'!$G$16:$G$20)=0,"",COUNTA('Verificação Peneiradores'!$G$16:$G$20))</f>
        <v>5</v>
      </c>
      <c r="M479" t="str">
        <f>IF(COUNTA('Verificação Peneiradores'!$G$16:$G$20)=0,"",IF(COUNTIF('Verificação Peneiradores'!$G$16:$G$20,"NÃO OK")&gt;0,"Não conforme","Conforme"))</f>
        <v>Conforme</v>
      </c>
      <c r="N479" t="str">
        <f>IFERROR(TRIM(INDEX('Verificação Peneiradores'!$AE$13:$AE$22,MATCH("*",'Verificação Peneiradores'!$AE$13:$AE$22,0))),"")</f>
        <v>LEONARDO</v>
      </c>
      <c r="O479" t="str">
        <f>IFERROR(TRIM(INDEX('Verificação Peneiradores'!$AD$13:$AD$22,MATCH("*",'Verificação Peneiradores'!$AD$13:$AD$22,0))),"")</f>
        <v>A</v>
      </c>
      <c r="P479" t="str">
        <f>IF(COUNTIF('Verificação Peneiradores'!$G$16:$G$20,"SEM TAG")&gt;0,"Sem TAG de calibração; ","")&amp;IF('Verificação Peneiradores'!$G$16="NÃO OK","Condições das telas; ","")&amp;IF('Verificação Peneiradores'!$G$17="NÃO OK","Inclinação das telas; ","")&amp;IF('Verificação Peneiradores'!$G$18="NÃO OK","Vibração do peneirador; ","")&amp;IF('Verificação Peneiradores'!$G$19="NÃO OK","Travamento das peneiras; ","")&amp;IF('Verificação Peneiradores'!$G$20="NÃO OK","Calibração; ","")</f>
        <v/>
      </c>
      <c r="Q479" t="s">
        <v>850</v>
      </c>
    </row>
    <row r="480">
      <c r="A480" t="s">
        <v>816</v>
      </c>
      <c r="B480" t="s">
        <v>667</v>
      </c>
      <c r="C480" s="912">
        <f>IF(MAX('Verificação Peneiradores'!$AC$13:$AC$22)=0,"",MAX('Verificação Peneiradores'!$AC$13:$AC$22))</f>
        <v>46273</v>
      </c>
      <c r="D480" t="str">
        <f>IF('Verificação Peneiradores'!$H$14&amp;""="","Circulares",TRIM('Verificação Peneiradores'!$H$14&amp;""))</f>
        <v>PN430</v>
      </c>
      <c r="E480" t="str">
        <f>"Malha "&amp;'Verificação Peneiradores'!$H$13&amp;" mm ("&amp;"Circulares"&amp;")"</f>
        <v>Malha 6,3 mm (Circulares)</v>
      </c>
      <c r="F480" t="s">
        <v>817</v>
      </c>
      <c r="G480">
        <f>IF(COUNTA('Verificação Peneiradores'!$H$16:$H$20)=0,"",COUNTIF('Verificação Peneiradores'!$H$16:$H$20,"OK"))</f>
        <v>5</v>
      </c>
      <c r="H480">
        <f>IF(COUNTA('Verificação Peneiradores'!$H$16:$H$20)=0,"",COUNTA('Verificação Peneiradores'!$H$16:$H$20))</f>
        <v>5</v>
      </c>
      <c r="M480" t="str">
        <f>IF(COUNTA('Verificação Peneiradores'!$H$16:$H$20)=0,"",IF(COUNTIF('Verificação Peneiradores'!$H$16:$H$20,"NÃO OK")&gt;0,"Não conforme","Conforme"))</f>
        <v>Conforme</v>
      </c>
      <c r="N480" t="str">
        <f>IFERROR(TRIM(INDEX('Verificação Peneiradores'!$AE$13:$AE$22,MATCH("*",'Verificação Peneiradores'!$AE$13:$AE$22,0))),"")</f>
        <v>LEONARDO</v>
      </c>
      <c r="O480" t="str">
        <f>IFERROR(TRIM(INDEX('Verificação Peneiradores'!$AD$13:$AD$22,MATCH("*",'Verificação Peneiradores'!$AD$13:$AD$22,0))),"")</f>
        <v>A</v>
      </c>
      <c r="P480" t="str">
        <f>IF(COUNTIF('Verificação Peneiradores'!$H$16:$H$20,"SEM TAG")&gt;0,"Sem TAG de calibração; ","")&amp;IF('Verificação Peneiradores'!$H$16="NÃO OK","Condições das telas; ","")&amp;IF('Verificação Peneiradores'!$H$17="NÃO OK","Inclinação das telas; ","")&amp;IF('Verificação Peneiradores'!$H$18="NÃO OK","Vibração do peneirador; ","")&amp;IF('Verificação Peneiradores'!$H$19="NÃO OK","Travamento das peneiras; ","")&amp;IF('Verificação Peneiradores'!$H$20="NÃO OK","Calibração; ","")</f>
        <v/>
      </c>
      <c r="Q480" t="s">
        <v>851</v>
      </c>
    </row>
    <row r="481">
      <c r="A481" t="s">
        <v>816</v>
      </c>
      <c r="B481" t="s">
        <v>667</v>
      </c>
      <c r="C481" s="912">
        <f>IF(MAX('Verificação Peneiradores'!$AC$13:$AC$22)=0,"",MAX('Verificação Peneiradores'!$AC$13:$AC$22))</f>
        <v>46273</v>
      </c>
      <c r="D481" t="str">
        <f>IF('Verificação Peneiradores'!$I$14&amp;""="","Circulares",TRIM('Verificação Peneiradores'!$I$14&amp;""))</f>
        <v>PN425</v>
      </c>
      <c r="E481" t="str">
        <f>"Malha "&amp;'Verificação Peneiradores'!$I$13&amp;" mm ("&amp;"Circulares"&amp;")"</f>
        <v>Malha 5 mm (Circulares)</v>
      </c>
      <c r="F481" t="s">
        <v>817</v>
      </c>
      <c r="G481">
        <f>IF(COUNTA('Verificação Peneiradores'!$I$16:$I$20)=0,"",COUNTIF('Verificação Peneiradores'!$I$16:$I$20,"OK"))</f>
        <v>5</v>
      </c>
      <c r="H481">
        <f>IF(COUNTA('Verificação Peneiradores'!$I$16:$I$20)=0,"",COUNTA('Verificação Peneiradores'!$I$16:$I$20))</f>
        <v>5</v>
      </c>
      <c r="M481" t="str">
        <f>IF(COUNTA('Verificação Peneiradores'!$I$16:$I$20)=0,"",IF(COUNTIF('Verificação Peneiradores'!$I$16:$I$20,"NÃO OK")&gt;0,"Não conforme","Conforme"))</f>
        <v>Conforme</v>
      </c>
      <c r="N481" t="str">
        <f>IFERROR(TRIM(INDEX('Verificação Peneiradores'!$AE$13:$AE$22,MATCH("*",'Verificação Peneiradores'!$AE$13:$AE$22,0))),"")</f>
        <v>LEONARDO</v>
      </c>
      <c r="O481" t="str">
        <f>IFERROR(TRIM(INDEX('Verificação Peneiradores'!$AD$13:$AD$22,MATCH("*",'Verificação Peneiradores'!$AD$13:$AD$22,0))),"")</f>
        <v>A</v>
      </c>
      <c r="P481" t="str">
        <f>IF(COUNTIF('Verificação Peneiradores'!$I$16:$I$20,"SEM TAG")&gt;0,"Sem TAG de calibração; ","")&amp;IF('Verificação Peneiradores'!$I$16="NÃO OK","Condições das telas; ","")&amp;IF('Verificação Peneiradores'!$I$17="NÃO OK","Inclinação das telas; ","")&amp;IF('Verificação Peneiradores'!$I$18="NÃO OK","Vibração do peneirador; ","")&amp;IF('Verificação Peneiradores'!$I$19="NÃO OK","Travamento das peneiras; ","")&amp;IF('Verificação Peneiradores'!$I$20="NÃO OK","Calibração; ","")</f>
        <v/>
      </c>
      <c r="Q481" t="s">
        <v>852</v>
      </c>
    </row>
    <row r="482">
      <c r="A482" t="s">
        <v>816</v>
      </c>
      <c r="B482" t="s">
        <v>667</v>
      </c>
      <c r="C482" s="912">
        <f>IF(MAX('Verificação Peneiradores'!$AC$13:$AC$22)=0,"",MAX('Verificação Peneiradores'!$AC$13:$AC$22))</f>
        <v>46273</v>
      </c>
      <c r="D482" t="str">
        <f>IF('Verificação Peneiradores'!$J$14&amp;""="","Circulares",TRIM('Verificação Peneiradores'!$J$14&amp;""))</f>
        <v>PN046</v>
      </c>
      <c r="E482" t="str">
        <f>"Malha "&amp;'Verificação Peneiradores'!$J$13&amp;" mm ("&amp;"Circulares"&amp;")"</f>
        <v>Malha 3,15 mm (Circulares)</v>
      </c>
      <c r="F482" t="s">
        <v>817</v>
      </c>
      <c r="G482">
        <f>IF(COUNTA('Verificação Peneiradores'!$J$16:$J$20)=0,"",COUNTIF('Verificação Peneiradores'!$J$16:$J$20,"OK"))</f>
        <v>5</v>
      </c>
      <c r="H482">
        <f>IF(COUNTA('Verificação Peneiradores'!$J$16:$J$20)=0,"",COUNTA('Verificação Peneiradores'!$J$16:$J$20))</f>
        <v>5</v>
      </c>
      <c r="M482" t="str">
        <f>IF(COUNTA('Verificação Peneiradores'!$J$16:$J$20)=0,"",IF(COUNTIF('Verificação Peneiradores'!$J$16:$J$20,"NÃO OK")&gt;0,"Não conforme","Conforme"))</f>
        <v>Conforme</v>
      </c>
      <c r="N482" t="str">
        <f>IFERROR(TRIM(INDEX('Verificação Peneiradores'!$AE$13:$AE$22,MATCH("*",'Verificação Peneiradores'!$AE$13:$AE$22,0))),"")</f>
        <v>LEONARDO</v>
      </c>
      <c r="O482" t="str">
        <f>IFERROR(TRIM(INDEX('Verificação Peneiradores'!$AD$13:$AD$22,MATCH("*",'Verificação Peneiradores'!$AD$13:$AD$22,0))),"")</f>
        <v>A</v>
      </c>
      <c r="P482" t="str">
        <f>IF(COUNTIF('Verificação Peneiradores'!$J$16:$J$20,"SEM TAG")&gt;0,"Sem TAG de calibração; ","")&amp;IF('Verificação Peneiradores'!$J$16="NÃO OK","Condições das telas; ","")&amp;IF('Verificação Peneiradores'!$J$17="NÃO OK","Inclinação das telas; ","")&amp;IF('Verificação Peneiradores'!$J$18="NÃO OK","Vibração do peneirador; ","")&amp;IF('Verificação Peneiradores'!$J$19="NÃO OK","Travamento das peneiras; ","")&amp;IF('Verificação Peneiradores'!$J$20="NÃO OK","Calibração; ","")</f>
        <v/>
      </c>
      <c r="Q482" t="s">
        <v>853</v>
      </c>
    </row>
    <row r="483">
      <c r="A483" t="s">
        <v>816</v>
      </c>
      <c r="B483" t="s">
        <v>667</v>
      </c>
      <c r="C483" s="912">
        <f>IF(MAX('Verificação Peneiradores'!$AC$13:$AC$22)=0,"",MAX('Verificação Peneiradores'!$AC$13:$AC$22))</f>
        <v>46273</v>
      </c>
      <c r="D483" t="str">
        <f>IF('Verificação Peneiradores'!$K$14&amp;""="","Circulares",TRIM('Verificação Peneiradores'!$K$14&amp;""))</f>
        <v>PN500</v>
      </c>
      <c r="E483" t="str">
        <f>"Malha "&amp;'Verificação Peneiradores'!$K$13&amp;" mm ("&amp;"Circulares"&amp;")"</f>
        <v>Malha 0,5 mm (Circulares)</v>
      </c>
      <c r="F483" t="s">
        <v>817</v>
      </c>
      <c r="G483">
        <f>IF(COUNTA('Verificação Peneiradores'!$K$16:$K$20)=0,"",COUNTIF('Verificação Peneiradores'!$K$16:$K$20,"OK"))</f>
        <v>5</v>
      </c>
      <c r="H483">
        <f>IF(COUNTA('Verificação Peneiradores'!$K$16:$K$20)=0,"",COUNTA('Verificação Peneiradores'!$K$16:$K$20))</f>
        <v>5</v>
      </c>
      <c r="M483" t="str">
        <f>IF(COUNTA('Verificação Peneiradores'!$K$16:$K$20)=0,"",IF(COUNTIF('Verificação Peneiradores'!$K$16:$K$20,"NÃO OK")&gt;0,"Não conforme","Conforme"))</f>
        <v>Conforme</v>
      </c>
      <c r="N483" t="str">
        <f>IFERROR(TRIM(INDEX('Verificação Peneiradores'!$AE$13:$AE$22,MATCH("*",'Verificação Peneiradores'!$AE$13:$AE$22,0))),"")</f>
        <v>LEONARDO</v>
      </c>
      <c r="O483" t="str">
        <f>IFERROR(TRIM(INDEX('Verificação Peneiradores'!$AD$13:$AD$22,MATCH("*",'Verificação Peneiradores'!$AD$13:$AD$22,0))),"")</f>
        <v>A</v>
      </c>
      <c r="P483" t="str">
        <f>IF(COUNTIF('Verificação Peneiradores'!$K$16:$K$20,"SEM TAG")&gt;0,"Sem TAG de calibração; ","")&amp;IF('Verificação Peneiradores'!$K$16="NÃO OK","Condições das telas; ","")&amp;IF('Verificação Peneiradores'!$K$17="NÃO OK","Inclinação das telas; ","")&amp;IF('Verificação Peneiradores'!$K$18="NÃO OK","Vibração do peneirador; ","")&amp;IF('Verificação Peneiradores'!$K$19="NÃO OK","Travamento das peneiras; ","")&amp;IF('Verificação Peneiradores'!$K$20="NÃO OK","Calibração; ","")</f>
        <v/>
      </c>
      <c r="Q483" t="s">
        <v>854</v>
      </c>
    </row>
    <row r="484">
      <c r="A484" t="s">
        <v>816</v>
      </c>
      <c r="B484" t="s">
        <v>667</v>
      </c>
      <c r="C484" s="912">
        <f>IF(MAX('Verificação Peneiradores'!$AC$13:$AC$22)=0,"",MAX('Verificação Peneiradores'!$AC$13:$AC$22))</f>
        <v>46273</v>
      </c>
      <c r="D484" t="str">
        <f>IF('Verificação Peneiradores'!$L$14&amp;""="","Circulares",TRIM('Verificação Peneiradores'!$L$14&amp;""))</f>
        <v>PN434</v>
      </c>
      <c r="E484" t="str">
        <f>"Malha "&amp;'Verificação Peneiradores'!$L$13&amp;" mm ("&amp;"Circulares"&amp;")"</f>
        <v>Malha 1 mm (Circulares)</v>
      </c>
      <c r="F484" t="s">
        <v>817</v>
      </c>
      <c r="G484">
        <f>IF(COUNTA('Verificação Peneiradores'!$L$16:$L$20)=0,"",COUNTIF('Verificação Peneiradores'!$L$16:$L$20,"OK"))</f>
        <v>5</v>
      </c>
      <c r="H484">
        <f>IF(COUNTA('Verificação Peneiradores'!$L$16:$L$20)=0,"",COUNTA('Verificação Peneiradores'!$L$16:$L$20))</f>
        <v>5</v>
      </c>
      <c r="M484" t="str">
        <f>IF(COUNTA('Verificação Peneiradores'!$L$16:$L$20)=0,"",IF(COUNTIF('Verificação Peneiradores'!$L$16:$L$20,"NÃO OK")&gt;0,"Não conforme","Conforme"))</f>
        <v>Conforme</v>
      </c>
      <c r="N484" t="str">
        <f>IFERROR(TRIM(INDEX('Verificação Peneiradores'!$AE$13:$AE$22,MATCH("*",'Verificação Peneiradores'!$AE$13:$AE$22,0))),"")</f>
        <v>LEONARDO</v>
      </c>
      <c r="O484" t="str">
        <f>IFERROR(TRIM(INDEX('Verificação Peneiradores'!$AD$13:$AD$22,MATCH("*",'Verificação Peneiradores'!$AD$13:$AD$22,0))),"")</f>
        <v>A</v>
      </c>
      <c r="P484" t="str">
        <f>IF(COUNTIF('Verificação Peneiradores'!$L$16:$L$20,"SEM TAG")&gt;0,"Sem TAG de calibração; ","")&amp;IF('Verificação Peneiradores'!$L$16="NÃO OK","Condições das telas; ","")&amp;IF('Verificação Peneiradores'!$L$17="NÃO OK","Inclinação das telas; ","")&amp;IF('Verificação Peneiradores'!$L$18="NÃO OK","Vibração do peneirador; ","")&amp;IF('Verificação Peneiradores'!$L$19="NÃO OK","Travamento das peneiras; ","")&amp;IF('Verificação Peneiradores'!$L$20="NÃO OK","Calibração; ","")</f>
        <v/>
      </c>
      <c r="Q484" t="s">
        <v>855</v>
      </c>
    </row>
    <row r="485">
      <c r="A485" t="s">
        <v>816</v>
      </c>
      <c r="B485" t="s">
        <v>667</v>
      </c>
      <c r="C485" s="912">
        <f>IF(MAX('Verificação Peneiradores'!$AC$13:$AC$22)=0,"",MAX('Verificação Peneiradores'!$AC$13:$AC$22))</f>
        <v>46273</v>
      </c>
      <c r="D485" t="str">
        <f>IF('Verificação Peneiradores'!$M$14&amp;""="","Peneirador 09",TRIM('Verificação Peneiradores'!$M$14&amp;""))</f>
        <v>PN478</v>
      </c>
      <c r="E485" t="str">
        <f>"Malha "&amp;'Verificação Peneiradores'!$M$13&amp;" mm ("&amp;"Peneirador 09"&amp;")"</f>
        <v>Malha 19 mm (Peneirador 09)</v>
      </c>
      <c r="F485" t="s">
        <v>817</v>
      </c>
      <c r="G485">
        <f>IF(COUNTA('Verificação Peneiradores'!$M$16:$M$20)=0,"",COUNTIF('Verificação Peneiradores'!$M$16:$M$20,"OK"))</f>
        <v>5</v>
      </c>
      <c r="H485">
        <f>IF(COUNTA('Verificação Peneiradores'!$M$16:$M$20)=0,"",COUNTA('Verificação Peneiradores'!$M$16:$M$20))</f>
        <v>5</v>
      </c>
      <c r="M485" t="str">
        <f>IF(COUNTA('Verificação Peneiradores'!$M$16:$M$20)=0,"",IF(COUNTIF('Verificação Peneiradores'!$M$16:$M$20,"NÃO OK")&gt;0,"Não conforme","Conforme"))</f>
        <v>Conforme</v>
      </c>
      <c r="N485" t="str">
        <f>IFERROR(TRIM(INDEX('Verificação Peneiradores'!$AE$13:$AE$22,MATCH("*",'Verificação Peneiradores'!$AE$13:$AE$22,0))),"")</f>
        <v>LEONARDO</v>
      </c>
      <c r="O485" t="str">
        <f>IFERROR(TRIM(INDEX('Verificação Peneiradores'!$AD$13:$AD$22,MATCH("*",'Verificação Peneiradores'!$AD$13:$AD$22,0))),"")</f>
        <v>A</v>
      </c>
      <c r="P485" t="str">
        <f>IF(COUNTIF('Verificação Peneiradores'!$M$16:$M$20,"SEM TAG")&gt;0,"Sem TAG de calibração; ","")&amp;IF('Verificação Peneiradores'!$M$16="NÃO OK","Condições das telas; ","")&amp;IF('Verificação Peneiradores'!$M$17="NÃO OK","Inclinação das telas; ","")&amp;IF('Verificação Peneiradores'!$M$18="NÃO OK","Vibração do peneirador; ","")&amp;IF('Verificação Peneiradores'!$M$19="NÃO OK","Travamento das peneiras; ","")&amp;IF('Verificação Peneiradores'!$M$20="NÃO OK","Calibração; ","")</f>
        <v/>
      </c>
      <c r="Q485" t="s">
        <v>856</v>
      </c>
    </row>
    <row r="486">
      <c r="A486" t="s">
        <v>816</v>
      </c>
      <c r="B486" t="s">
        <v>667</v>
      </c>
      <c r="C486" s="912">
        <f>IF(MAX('Verificação Peneiradores'!$AC$13:$AC$22)=0,"",MAX('Verificação Peneiradores'!$AC$13:$AC$22))</f>
        <v>46273</v>
      </c>
      <c r="D486" t="str">
        <f>IF('Verificação Peneiradores'!$N$14&amp;""="","Peneirador 09",TRIM('Verificação Peneiradores'!$N$14&amp;""))</f>
        <v>PN516</v>
      </c>
      <c r="E486" t="str">
        <f>"Malha "&amp;'Verificação Peneiradores'!$N$13&amp;" mm ("&amp;"Peneirador 09"&amp;")"</f>
        <v>Malha 16 mm (Peneirador 09)</v>
      </c>
      <c r="F486" t="s">
        <v>817</v>
      </c>
      <c r="G486">
        <f>IF(COUNTA('Verificação Peneiradores'!$N$16:$N$20)=0,"",COUNTIF('Verificação Peneiradores'!$N$16:$N$20,"OK"))</f>
        <v>5</v>
      </c>
      <c r="H486">
        <f>IF(COUNTA('Verificação Peneiradores'!$N$16:$N$20)=0,"",COUNTA('Verificação Peneiradores'!$N$16:$N$20))</f>
        <v>5</v>
      </c>
      <c r="M486" t="str">
        <f>IF(COUNTA('Verificação Peneiradores'!$N$16:$N$20)=0,"",IF(COUNTIF('Verificação Peneiradores'!$N$16:$N$20,"NÃO OK")&gt;0,"Não conforme","Conforme"))</f>
        <v>Conforme</v>
      </c>
      <c r="N486" t="str">
        <f>IFERROR(TRIM(INDEX('Verificação Peneiradores'!$AE$13:$AE$22,MATCH("*",'Verificação Peneiradores'!$AE$13:$AE$22,0))),"")</f>
        <v>LEONARDO</v>
      </c>
      <c r="O486" t="str">
        <f>IFERROR(TRIM(INDEX('Verificação Peneiradores'!$AD$13:$AD$22,MATCH("*",'Verificação Peneiradores'!$AD$13:$AD$22,0))),"")</f>
        <v>A</v>
      </c>
      <c r="P486" t="str">
        <f>IF(COUNTIF('Verificação Peneiradores'!$N$16:$N$20,"SEM TAG")&gt;0,"Sem TAG de calibração; ","")&amp;IF('Verificação Peneiradores'!$N$16="NÃO OK","Condições das telas; ","")&amp;IF('Verificação Peneiradores'!$N$17="NÃO OK","Inclinação das telas; ","")&amp;IF('Verificação Peneiradores'!$N$18="NÃO OK","Vibração do peneirador; ","")&amp;IF('Verificação Peneiradores'!$N$19="NÃO OK","Travamento das peneiras; ","")&amp;IF('Verificação Peneiradores'!$N$20="NÃO OK","Calibração; ","")</f>
        <v/>
      </c>
      <c r="Q486" t="s">
        <v>857</v>
      </c>
    </row>
    <row r="487">
      <c r="A487" t="s">
        <v>816</v>
      </c>
      <c r="B487" t="s">
        <v>667</v>
      </c>
      <c r="C487" s="912">
        <f>IF(MAX('Verificação Peneiradores'!$AC$13:$AC$22)=0,"",MAX('Verificação Peneiradores'!$AC$13:$AC$22))</f>
        <v>46273</v>
      </c>
      <c r="D487" t="str">
        <f>IF('Verificação Peneiradores'!$O$14&amp;""="","Peneirador 09",TRIM('Verificação Peneiradores'!$O$14&amp;""))</f>
        <v>PN665</v>
      </c>
      <c r="E487" t="str">
        <f>"Malha "&amp;'Verificação Peneiradores'!$O$13&amp;" mm ("&amp;"Peneirador 09"&amp;")"</f>
        <v>Malha 14 mm (Peneirador 09)</v>
      </c>
      <c r="F487" t="s">
        <v>817</v>
      </c>
      <c r="G487">
        <f>IF(COUNTA('Verificação Peneiradores'!$O$16:$O$20)=0,"",COUNTIF('Verificação Peneiradores'!$O$16:$O$20,"OK"))</f>
        <v>4</v>
      </c>
      <c r="H487">
        <f>IF(COUNTA('Verificação Peneiradores'!$O$16:$O$20)=0,"",COUNTA('Verificação Peneiradores'!$O$16:$O$20))</f>
        <v>5</v>
      </c>
      <c r="M487" t="str">
        <f>IF(COUNTA('Verificação Peneiradores'!$O$16:$O$20)=0,"",IF(COUNTIF('Verificação Peneiradores'!$O$16:$O$20,"NÃO OK")&gt;0,"Não conforme","Conforme"))</f>
        <v>Conforme</v>
      </c>
      <c r="N487" t="str">
        <f>IFERROR(TRIM(INDEX('Verificação Peneiradores'!$AE$13:$AE$22,MATCH("*",'Verificação Peneiradores'!$AE$13:$AE$22,0))),"")</f>
        <v>LEONARDO</v>
      </c>
      <c r="O487" t="str">
        <f>IFERROR(TRIM(INDEX('Verificação Peneiradores'!$AD$13:$AD$22,MATCH("*",'Verificação Peneiradores'!$AD$13:$AD$22,0))),"")</f>
        <v>A</v>
      </c>
      <c r="P487" t="str">
        <f>IF(COUNTIF('Verificação Peneiradores'!$O$16:$O$20,"SEM TAG")&gt;0,"Sem TAG de calibração; ","")&amp;IF('Verificação Peneiradores'!$O$16="NÃO OK","Condições das telas; ","")&amp;IF('Verificação Peneiradores'!$O$17="NÃO OK","Inclinação das telas; ","")&amp;IF('Verificação Peneiradores'!$O$18="NÃO OK","Vibração do peneirador; ","")&amp;IF('Verificação Peneiradores'!$O$19="NÃO OK","Travamento das peneiras; ","")&amp;IF('Verificação Peneiradores'!$O$20="NÃO OK","Calibração; ","")</f>
        <v>Sem TAG de calibração; </v>
      </c>
      <c r="Q487" t="s">
        <v>858</v>
      </c>
    </row>
    <row r="488">
      <c r="A488" t="s">
        <v>816</v>
      </c>
      <c r="B488" t="s">
        <v>667</v>
      </c>
      <c r="C488" s="912">
        <f>IF(MAX('Verificação Peneiradores'!$AC$13:$AC$22)=0,"",MAX('Verificação Peneiradores'!$AC$13:$AC$22))</f>
        <v>46273</v>
      </c>
      <c r="D488" t="str">
        <f>IF('Verificação Peneiradores'!$P$14&amp;""="","Peneirador 09",TRIM('Verificação Peneiradores'!$P$14&amp;""))</f>
        <v>PN666</v>
      </c>
      <c r="E488" t="str">
        <f>"Malha "&amp;'Verificação Peneiradores'!$P$13&amp;" mm ("&amp;"Peneirador 09"&amp;")"</f>
        <v>Malha 12,5 mm (Peneirador 09)</v>
      </c>
      <c r="F488" t="s">
        <v>817</v>
      </c>
      <c r="G488">
        <f>IF(COUNTA('Verificação Peneiradores'!$P$16:$P$20)=0,"",COUNTIF('Verificação Peneiradores'!$P$16:$P$20,"OK"))</f>
        <v>5</v>
      </c>
      <c r="H488">
        <f>IF(COUNTA('Verificação Peneiradores'!$P$16:$P$20)=0,"",COUNTA('Verificação Peneiradores'!$P$16:$P$20))</f>
        <v>5</v>
      </c>
      <c r="M488" t="str">
        <f>IF(COUNTA('Verificação Peneiradores'!$P$16:$P$20)=0,"",IF(COUNTIF('Verificação Peneiradores'!$P$16:$P$20,"NÃO OK")&gt;0,"Não conforme","Conforme"))</f>
        <v>Conforme</v>
      </c>
      <c r="N488" t="str">
        <f>IFERROR(TRIM(INDEX('Verificação Peneiradores'!$AE$13:$AE$22,MATCH("*",'Verificação Peneiradores'!$AE$13:$AE$22,0))),"")</f>
        <v>LEONARDO</v>
      </c>
      <c r="O488" t="str">
        <f>IFERROR(TRIM(INDEX('Verificação Peneiradores'!$AD$13:$AD$22,MATCH("*",'Verificação Peneiradores'!$AD$13:$AD$22,0))),"")</f>
        <v>A</v>
      </c>
      <c r="P488" t="str">
        <f>IF(COUNTIF('Verificação Peneiradores'!$P$16:$P$20,"SEM TAG")&gt;0,"Sem TAG de calibração; ","")&amp;IF('Verificação Peneiradores'!$P$16="NÃO OK","Condições das telas; ","")&amp;IF('Verificação Peneiradores'!$P$17="NÃO OK","Inclinação das telas; ","")&amp;IF('Verificação Peneiradores'!$P$18="NÃO OK","Vibração do peneirador; ","")&amp;IF('Verificação Peneiradores'!$P$19="NÃO OK","Travamento das peneiras; ","")&amp;IF('Verificação Peneiradores'!$P$20="NÃO OK","Calibração; ","")</f>
        <v/>
      </c>
      <c r="Q488" t="s">
        <v>859</v>
      </c>
    </row>
    <row r="489">
      <c r="A489" t="s">
        <v>816</v>
      </c>
      <c r="B489" t="s">
        <v>667</v>
      </c>
      <c r="C489" s="912">
        <f>IF(MAX('Verificação Peneiradores'!$AC$13:$AC$22)=0,"",MAX('Verificação Peneiradores'!$AC$13:$AC$22))</f>
        <v>46273</v>
      </c>
      <c r="D489" t="str">
        <f>IF('Verificação Peneiradores'!$Q$14&amp;""="","Peneirador 09",TRIM('Verificação Peneiradores'!$Q$14&amp;""))</f>
        <v>PN510</v>
      </c>
      <c r="E489" t="str">
        <f>"Malha "&amp;'Verificação Peneiradores'!$Q$13&amp;" mm ("&amp;"Peneirador 09"&amp;")"</f>
        <v>Malha 9 mm (Peneirador 09)</v>
      </c>
      <c r="F489" t="s">
        <v>817</v>
      </c>
      <c r="G489">
        <f>IF(COUNTA('Verificação Peneiradores'!$Q$16:$Q$20)=0,"",COUNTIF('Verificação Peneiradores'!$Q$16:$Q$20,"OK"))</f>
        <v>5</v>
      </c>
      <c r="H489">
        <f>IF(COUNTA('Verificação Peneiradores'!$Q$16:$Q$20)=0,"",COUNTA('Verificação Peneiradores'!$Q$16:$Q$20))</f>
        <v>5</v>
      </c>
      <c r="M489" t="str">
        <f>IF(COUNTA('Verificação Peneiradores'!$Q$16:$Q$20)=0,"",IF(COUNTIF('Verificação Peneiradores'!$Q$16:$Q$20,"NÃO OK")&gt;0,"Não conforme","Conforme"))</f>
        <v>Conforme</v>
      </c>
      <c r="N489" t="str">
        <f>IFERROR(TRIM(INDEX('Verificação Peneiradores'!$AE$13:$AE$22,MATCH("*",'Verificação Peneiradores'!$AE$13:$AE$22,0))),"")</f>
        <v>LEONARDO</v>
      </c>
      <c r="O489" t="str">
        <f>IFERROR(TRIM(INDEX('Verificação Peneiradores'!$AD$13:$AD$22,MATCH("*",'Verificação Peneiradores'!$AD$13:$AD$22,0))),"")</f>
        <v>A</v>
      </c>
      <c r="P489" t="str">
        <f>IF(COUNTIF('Verificação Peneiradores'!$Q$16:$Q$20,"SEM TAG")&gt;0,"Sem TAG de calibração; ","")&amp;IF('Verificação Peneiradores'!$Q$16="NÃO OK","Condições das telas; ","")&amp;IF('Verificação Peneiradores'!$Q$17="NÃO OK","Inclinação das telas; ","")&amp;IF('Verificação Peneiradores'!$Q$18="NÃO OK","Vibração do peneirador; ","")&amp;IF('Verificação Peneiradores'!$Q$19="NÃO OK","Travamento das peneiras; ","")&amp;IF('Verificação Peneiradores'!$Q$20="NÃO OK","Calibração; ","")</f>
        <v/>
      </c>
      <c r="Q489" t="s">
        <v>860</v>
      </c>
    </row>
    <row r="490">
      <c r="A490" t="s">
        <v>816</v>
      </c>
      <c r="B490" t="s">
        <v>667</v>
      </c>
      <c r="C490" s="912">
        <f>IF(MAX('Verificação Peneiradores'!$AC$13:$AC$22)=0,"",MAX('Verificação Peneiradores'!$AC$13:$AC$22))</f>
        <v>46273</v>
      </c>
      <c r="D490" t="str">
        <f>IF('Verificação Peneiradores'!$R$14&amp;""="","Peneirador 09",TRIM('Verificação Peneiradores'!$R$14&amp;""))</f>
        <v>PN647</v>
      </c>
      <c r="E490" t="str">
        <f>"Malha "&amp;'Verificação Peneiradores'!$R$13&amp;" mm ("&amp;"Peneirador 09"&amp;")"</f>
        <v>Malha 8 mm (Peneirador 09)</v>
      </c>
      <c r="F490" t="s">
        <v>817</v>
      </c>
      <c r="G490">
        <f>IF(COUNTA('Verificação Peneiradores'!$R$16:$R$20)=0,"",COUNTIF('Verificação Peneiradores'!$R$16:$R$20,"OK"))</f>
        <v>5</v>
      </c>
      <c r="H490">
        <f>IF(COUNTA('Verificação Peneiradores'!$R$16:$R$20)=0,"",COUNTA('Verificação Peneiradores'!$R$16:$R$20))</f>
        <v>5</v>
      </c>
      <c r="M490" t="str">
        <f>IF(COUNTA('Verificação Peneiradores'!$R$16:$R$20)=0,"",IF(COUNTIF('Verificação Peneiradores'!$R$16:$R$20,"NÃO OK")&gt;0,"Não conforme","Conforme"))</f>
        <v>Conforme</v>
      </c>
      <c r="N490" t="str">
        <f>IFERROR(TRIM(INDEX('Verificação Peneiradores'!$AE$13:$AE$22,MATCH("*",'Verificação Peneiradores'!$AE$13:$AE$22,0))),"")</f>
        <v>LEONARDO</v>
      </c>
      <c r="O490" t="str">
        <f>IFERROR(TRIM(INDEX('Verificação Peneiradores'!$AD$13:$AD$22,MATCH("*",'Verificação Peneiradores'!$AD$13:$AD$22,0))),"")</f>
        <v>A</v>
      </c>
      <c r="P490" t="str">
        <f>IF(COUNTIF('Verificação Peneiradores'!$R$16:$R$20,"SEM TAG")&gt;0,"Sem TAG de calibração; ","")&amp;IF('Verificação Peneiradores'!$R$16="NÃO OK","Condições das telas; ","")&amp;IF('Verificação Peneiradores'!$R$17="NÃO OK","Inclinação das telas; ","")&amp;IF('Verificação Peneiradores'!$R$18="NÃO OK","Vibração do peneirador; ","")&amp;IF('Verificação Peneiradores'!$R$19="NÃO OK","Travamento das peneiras; ","")&amp;IF('Verificação Peneiradores'!$R$20="NÃO OK","Calibração; ","")</f>
        <v/>
      </c>
      <c r="Q490" t="s">
        <v>861</v>
      </c>
    </row>
    <row r="491">
      <c r="A491" t="s">
        <v>816</v>
      </c>
      <c r="B491" t="s">
        <v>667</v>
      </c>
      <c r="C491" s="912">
        <f>IF(MAX('Verificação Peneiradores'!$AC$13:$AC$22)=0,"",MAX('Verificação Peneiradores'!$AC$13:$AC$22))</f>
        <v>46273</v>
      </c>
      <c r="D491" t="str">
        <f>IF('Verificação Peneiradores'!$S$14&amp;""="","Peneirador 09",TRIM('Verificação Peneiradores'!$S$14&amp;""))</f>
        <v>PN459</v>
      </c>
      <c r="E491" t="str">
        <f>"Malha "&amp;'Verificação Peneiradores'!$S$13&amp;" mm ("&amp;"Peneirador 09"&amp;")"</f>
        <v>Malha 6,3 mm (Peneirador 09)</v>
      </c>
      <c r="F491" t="s">
        <v>817</v>
      </c>
      <c r="G491">
        <f>IF(COUNTA('Verificação Peneiradores'!$S$16:$S$20)=0,"",COUNTIF('Verificação Peneiradores'!$S$16:$S$20,"OK"))</f>
        <v>4</v>
      </c>
      <c r="H491">
        <f>IF(COUNTA('Verificação Peneiradores'!$S$16:$S$20)=0,"",COUNTA('Verificação Peneiradores'!$S$16:$S$20))</f>
        <v>5</v>
      </c>
      <c r="M491" t="str">
        <f>IF(COUNTA('Verificação Peneiradores'!$S$16:$S$20)=0,"",IF(COUNTIF('Verificação Peneiradores'!$S$16:$S$20,"NÃO OK")&gt;0,"Não conforme","Conforme"))</f>
        <v>Conforme</v>
      </c>
      <c r="N491" t="str">
        <f>IFERROR(TRIM(INDEX('Verificação Peneiradores'!$AE$13:$AE$22,MATCH("*",'Verificação Peneiradores'!$AE$13:$AE$22,0))),"")</f>
        <v>LEONARDO</v>
      </c>
      <c r="O491" t="str">
        <f>IFERROR(TRIM(INDEX('Verificação Peneiradores'!$AD$13:$AD$22,MATCH("*",'Verificação Peneiradores'!$AD$13:$AD$22,0))),"")</f>
        <v>A</v>
      </c>
      <c r="P491" t="str">
        <f>IF(COUNTIF('Verificação Peneiradores'!$S$16:$S$20,"SEM TAG")&gt;0,"Sem TAG de calibração; ","")&amp;IF('Verificação Peneiradores'!$S$16="NÃO OK","Condições das telas; ","")&amp;IF('Verificação Peneiradores'!$S$17="NÃO OK","Inclinação das telas; ","")&amp;IF('Verificação Peneiradores'!$S$18="NÃO OK","Vibração do peneirador; ","")&amp;IF('Verificação Peneiradores'!$S$19="NÃO OK","Travamento das peneiras; ","")&amp;IF('Verificação Peneiradores'!$S$20="NÃO OK","Calibração; ","")</f>
        <v>Sem TAG de calibração; </v>
      </c>
      <c r="Q491" t="s">
        <v>862</v>
      </c>
    </row>
    <row r="492">
      <c r="A492" t="s">
        <v>816</v>
      </c>
      <c r="B492" t="s">
        <v>667</v>
      </c>
      <c r="C492" s="912">
        <f>IF(MAX('Verificação Peneiradores'!$AC$13:$AC$22)=0,"",MAX('Verificação Peneiradores'!$AC$13:$AC$22))</f>
        <v>46273</v>
      </c>
      <c r="D492" t="str">
        <f>IF('Verificação Peneiradores'!$T$14&amp;""="","Peneirador 05",TRIM('Verificação Peneiradores'!$T$14&amp;""))</f>
        <v>Sem IDENT.</v>
      </c>
      <c r="E492" t="str">
        <f>"Malha "&amp;'Verificação Peneiradores'!$T$13&amp;" mm ("&amp;"Peneirador 05"&amp;")"</f>
        <v>Malha 19 mm (Peneirador 05)</v>
      </c>
      <c r="F492" t="s">
        <v>817</v>
      </c>
      <c r="G492">
        <f>IF(COUNTA('Verificação Peneiradores'!$T$16:$T$20)=0,"",COUNTIF('Verificação Peneiradores'!$T$16:$T$20,"OK"))</f>
        <v>4</v>
      </c>
      <c r="H492">
        <f>IF(COUNTA('Verificação Peneiradores'!$T$16:$T$20)=0,"",COUNTA('Verificação Peneiradores'!$T$16:$T$20))</f>
        <v>5</v>
      </c>
      <c r="M492" t="str">
        <f>IF(COUNTA('Verificação Peneiradores'!$T$16:$T$20)=0,"",IF(COUNTIF('Verificação Peneiradores'!$T$16:$T$20,"NÃO OK")&gt;0,"Não conforme","Conforme"))</f>
        <v>Conforme</v>
      </c>
      <c r="N492" t="str">
        <f>IFERROR(TRIM(INDEX('Verificação Peneiradores'!$AE$13:$AE$22,MATCH("*",'Verificação Peneiradores'!$AE$13:$AE$22,0))),"")</f>
        <v>LEONARDO</v>
      </c>
      <c r="O492" t="str">
        <f>IFERROR(TRIM(INDEX('Verificação Peneiradores'!$AD$13:$AD$22,MATCH("*",'Verificação Peneiradores'!$AD$13:$AD$22,0))),"")</f>
        <v>A</v>
      </c>
      <c r="P492" t="str">
        <f>IF(COUNTIF('Verificação Peneiradores'!$T$16:$T$20,"SEM TAG")&gt;0,"Sem TAG de calibração; ","")&amp;IF('Verificação Peneiradores'!$T$16="NÃO OK","Condições das telas; ","")&amp;IF('Verificação Peneiradores'!$T$17="NÃO OK","Inclinação das telas; ","")&amp;IF('Verificação Peneiradores'!$T$18="NÃO OK","Vibração do peneirador; ","")&amp;IF('Verificação Peneiradores'!$T$19="NÃO OK","Travamento das peneiras; ","")&amp;IF('Verificação Peneiradores'!$T$20="NÃO OK","Calibração; ","")</f>
        <v>Sem TAG de calibração; </v>
      </c>
      <c r="Q492" t="s">
        <v>863</v>
      </c>
    </row>
    <row r="493">
      <c r="A493" t="s">
        <v>816</v>
      </c>
      <c r="B493" t="s">
        <v>667</v>
      </c>
      <c r="C493" s="912">
        <f>IF(MAX('Verificação Peneiradores'!$AC$13:$AC$22)=0,"",MAX('Verificação Peneiradores'!$AC$13:$AC$22))</f>
        <v>46273</v>
      </c>
      <c r="D493" t="str">
        <f>IF('Verificação Peneiradores'!$U$14&amp;""="","Peneirador 05",TRIM('Verificação Peneiradores'!$U$14&amp;""))</f>
        <v>PN334</v>
      </c>
      <c r="E493" t="str">
        <f>"Malha "&amp;'Verificação Peneiradores'!$U$13&amp;" mm ("&amp;"Peneirador 05"&amp;")"</f>
        <v>Malha 16 mm (Peneirador 05)</v>
      </c>
      <c r="F493" t="s">
        <v>817</v>
      </c>
      <c r="G493">
        <f>IF(COUNTA('Verificação Peneiradores'!$U$16:$U$20)=0,"",COUNTIF('Verificação Peneiradores'!$U$16:$U$20,"OK"))</f>
        <v>5</v>
      </c>
      <c r="H493">
        <f>IF(COUNTA('Verificação Peneiradores'!$U$16:$U$20)=0,"",COUNTA('Verificação Peneiradores'!$U$16:$U$20))</f>
        <v>5</v>
      </c>
      <c r="M493" t="str">
        <f>IF(COUNTA('Verificação Peneiradores'!$U$16:$U$20)=0,"",IF(COUNTIF('Verificação Peneiradores'!$U$16:$U$20,"NÃO OK")&gt;0,"Não conforme","Conforme"))</f>
        <v>Conforme</v>
      </c>
      <c r="N493" t="str">
        <f>IFERROR(TRIM(INDEX('Verificação Peneiradores'!$AE$13:$AE$22,MATCH("*",'Verificação Peneiradores'!$AE$13:$AE$22,0))),"")</f>
        <v>LEONARDO</v>
      </c>
      <c r="O493" t="str">
        <f>IFERROR(TRIM(INDEX('Verificação Peneiradores'!$AD$13:$AD$22,MATCH("*",'Verificação Peneiradores'!$AD$13:$AD$22,0))),"")</f>
        <v>A</v>
      </c>
      <c r="P493" t="str">
        <f>IF(COUNTIF('Verificação Peneiradores'!$U$16:$U$20,"SEM TAG")&gt;0,"Sem TAG de calibração; ","")&amp;IF('Verificação Peneiradores'!$U$16="NÃO OK","Condições das telas; ","")&amp;IF('Verificação Peneiradores'!$U$17="NÃO OK","Inclinação das telas; ","")&amp;IF('Verificação Peneiradores'!$U$18="NÃO OK","Vibração do peneirador; ","")&amp;IF('Verificação Peneiradores'!$U$19="NÃO OK","Travamento das peneiras; ","")&amp;IF('Verificação Peneiradores'!$U$20="NÃO OK","Calibração; ","")</f>
        <v/>
      </c>
      <c r="Q493" t="s">
        <v>864</v>
      </c>
    </row>
    <row r="494">
      <c r="A494" t="s">
        <v>816</v>
      </c>
      <c r="B494" t="s">
        <v>667</v>
      </c>
      <c r="C494" s="912">
        <f>IF(MAX('Verificação Peneiradores'!$AC$13:$AC$22)=0,"",MAX('Verificação Peneiradores'!$AC$13:$AC$22))</f>
        <v>46273</v>
      </c>
      <c r="D494" t="str">
        <f>IF('Verificação Peneiradores'!$V$14&amp;""="","Peneirador 05",TRIM('Verificação Peneiradores'!$V$14&amp;""))</f>
        <v>SEM PN</v>
      </c>
      <c r="E494" t="str">
        <f>"Malha "&amp;'Verificação Peneiradores'!$V$13&amp;" mm ("&amp;"Peneirador 05"&amp;")"</f>
        <v>Malha 14 mm (Peneirador 05)</v>
      </c>
      <c r="F494" t="s">
        <v>817</v>
      </c>
      <c r="G494" t="str">
        <f>IF(COUNTA('Verificação Peneiradores'!$V$16:$V$20)=0,"",COUNTIF('Verificação Peneiradores'!$V$16:$V$20,"OK"))</f>
        <v/>
      </c>
      <c r="H494" t="str">
        <f>IF(COUNTA('Verificação Peneiradores'!$V$16:$V$20)=0,"",COUNTA('Verificação Peneiradores'!$V$16:$V$20))</f>
        <v/>
      </c>
      <c r="M494" t="str">
        <f>IF(COUNTA('Verificação Peneiradores'!$V$16:$V$20)=0,"",IF(COUNTIF('Verificação Peneiradores'!$V$16:$V$20,"NÃO OK")&gt;0,"Não conforme","Conforme"))</f>
        <v/>
      </c>
      <c r="N494" t="str">
        <f>IFERROR(TRIM(INDEX('Verificação Peneiradores'!$AE$13:$AE$22,MATCH("*",'Verificação Peneiradores'!$AE$13:$AE$22,0))),"")</f>
        <v>LEONARDO</v>
      </c>
      <c r="O494" t="str">
        <f>IFERROR(TRIM(INDEX('Verificação Peneiradores'!$AD$13:$AD$22,MATCH("*",'Verificação Peneiradores'!$AD$13:$AD$22,0))),"")</f>
        <v>A</v>
      </c>
      <c r="P494" t="str">
        <f>IF(COUNTIF('Verificação Peneiradores'!$V$16:$V$20,"SEM TAG")&gt;0,"Sem TAG de calibração; ","")&amp;IF('Verificação Peneiradores'!$V$16="NÃO OK","Condições das telas; ","")&amp;IF('Verificação Peneiradores'!$V$17="NÃO OK","Inclinação das telas; ","")&amp;IF('Verificação Peneiradores'!$V$18="NÃO OK","Vibração do peneirador; ","")&amp;IF('Verificação Peneiradores'!$V$19="NÃO OK","Travamento das peneiras; ","")&amp;IF('Verificação Peneiradores'!$V$20="NÃO OK","Calibração; ","")</f>
        <v/>
      </c>
      <c r="Q494" t="s">
        <v>865</v>
      </c>
    </row>
    <row r="495">
      <c r="A495" t="s">
        <v>816</v>
      </c>
      <c r="B495" t="s">
        <v>667</v>
      </c>
      <c r="C495" s="912">
        <f>IF(MAX('Verificação Peneiradores'!$AC$13:$AC$22)=0,"",MAX('Verificação Peneiradores'!$AC$13:$AC$22))</f>
        <v>46273</v>
      </c>
      <c r="D495" t="str">
        <f>IF('Verificação Peneiradores'!$W$14&amp;""="","Peneirador 05",TRIM('Verificação Peneiradores'!$W$14&amp;""))</f>
        <v>SEM PN</v>
      </c>
      <c r="E495" t="str">
        <f>"Malha "&amp;'Verificação Peneiradores'!$W$13&amp;" mm ("&amp;"Peneirador 05"&amp;")"</f>
        <v>Malha 12,5 mm (Peneirador 05)</v>
      </c>
      <c r="F495" t="s">
        <v>817</v>
      </c>
      <c r="G495" t="str">
        <f>IF(COUNTA('Verificação Peneiradores'!$W$16:$W$20)=0,"",COUNTIF('Verificação Peneiradores'!$W$16:$W$20,"OK"))</f>
        <v/>
      </c>
      <c r="H495" t="str">
        <f>IF(COUNTA('Verificação Peneiradores'!$W$16:$W$20)=0,"",COUNTA('Verificação Peneiradores'!$W$16:$W$20))</f>
        <v/>
      </c>
      <c r="M495" t="str">
        <f>IF(COUNTA('Verificação Peneiradores'!$W$16:$W$20)=0,"",IF(COUNTIF('Verificação Peneiradores'!$W$16:$W$20,"NÃO OK")&gt;0,"Não conforme","Conforme"))</f>
        <v/>
      </c>
      <c r="N495" t="str">
        <f>IFERROR(TRIM(INDEX('Verificação Peneiradores'!$AE$13:$AE$22,MATCH("*",'Verificação Peneiradores'!$AE$13:$AE$22,0))),"")</f>
        <v>LEONARDO</v>
      </c>
      <c r="O495" t="str">
        <f>IFERROR(TRIM(INDEX('Verificação Peneiradores'!$AD$13:$AD$22,MATCH("*",'Verificação Peneiradores'!$AD$13:$AD$22,0))),"")</f>
        <v>A</v>
      </c>
      <c r="P495" t="str">
        <f>IF(COUNTIF('Verificação Peneiradores'!$W$16:$W$20,"SEM TAG")&gt;0,"Sem TAG de calibração; ","")&amp;IF('Verificação Peneiradores'!$W$16="NÃO OK","Condições das telas; ","")&amp;IF('Verificação Peneiradores'!$W$17="NÃO OK","Inclinação das telas; ","")&amp;IF('Verificação Peneiradores'!$W$18="NÃO OK","Vibração do peneirador; ","")&amp;IF('Verificação Peneiradores'!$W$19="NÃO OK","Travamento das peneiras; ","")&amp;IF('Verificação Peneiradores'!$W$20="NÃO OK","Calibração; ","")</f>
        <v/>
      </c>
      <c r="Q495" t="s">
        <v>866</v>
      </c>
    </row>
    <row r="496">
      <c r="A496" t="s">
        <v>816</v>
      </c>
      <c r="B496" t="s">
        <v>667</v>
      </c>
      <c r="C496" s="912">
        <f>IF(MAX('Verificação Peneiradores'!$AC$13:$AC$22)=0,"",MAX('Verificação Peneiradores'!$AC$13:$AC$22))</f>
        <v>46273</v>
      </c>
      <c r="D496" t="str">
        <f>IF('Verificação Peneiradores'!$X$14&amp;""="","Peneirador 05",TRIM('Verificação Peneiradores'!$X$14&amp;""))</f>
        <v>PN646</v>
      </c>
      <c r="E496" t="str">
        <f>"Malha "&amp;'Verificação Peneiradores'!$X$13&amp;" mm ("&amp;"Peneirador 05"&amp;")"</f>
        <v>Malha 9 mm (Peneirador 05)</v>
      </c>
      <c r="F496" t="s">
        <v>817</v>
      </c>
      <c r="G496">
        <f>IF(COUNTA('Verificação Peneiradores'!$X$16:$X$20)=0,"",COUNTIF('Verificação Peneiradores'!$X$16:$X$20,"OK"))</f>
        <v>4</v>
      </c>
      <c r="H496">
        <f>IF(COUNTA('Verificação Peneiradores'!$X$16:$X$20)=0,"",COUNTA('Verificação Peneiradores'!$X$16:$X$20))</f>
        <v>5</v>
      </c>
      <c r="M496" t="str">
        <f>IF(COUNTA('Verificação Peneiradores'!$X$16:$X$20)=0,"",IF(COUNTIF('Verificação Peneiradores'!$X$16:$X$20,"NÃO OK")&gt;0,"Não conforme","Conforme"))</f>
        <v>Não conforme</v>
      </c>
      <c r="N496" t="str">
        <f>IFERROR(TRIM(INDEX('Verificação Peneiradores'!$AE$13:$AE$22,MATCH("*",'Verificação Peneiradores'!$AE$13:$AE$22,0))),"")</f>
        <v>LEONARDO</v>
      </c>
      <c r="O496" t="str">
        <f>IFERROR(TRIM(INDEX('Verificação Peneiradores'!$AD$13:$AD$22,MATCH("*",'Verificação Peneiradores'!$AD$13:$AD$22,0))),"")</f>
        <v>A</v>
      </c>
      <c r="P496" t="str">
        <f>IF(COUNTIF('Verificação Peneiradores'!$X$16:$X$20,"SEM TAG")&gt;0,"Sem TAG de calibração; ","")&amp;IF('Verificação Peneiradores'!$X$16="NÃO OK","Condições das telas; ","")&amp;IF('Verificação Peneiradores'!$X$17="NÃO OK","Inclinação das telas; ","")&amp;IF('Verificação Peneiradores'!$X$18="NÃO OK","Vibração do peneirador; ","")&amp;IF('Verificação Peneiradores'!$X$19="NÃO OK","Travamento das peneiras; ","")&amp;IF('Verificação Peneiradores'!$X$20="NÃO OK","Calibração; ","")</f>
        <v>Calibração; </v>
      </c>
      <c r="Q496" t="s">
        <v>867</v>
      </c>
    </row>
    <row r="497">
      <c r="A497" t="s">
        <v>816</v>
      </c>
      <c r="B497" t="s">
        <v>667</v>
      </c>
      <c r="C497" s="912">
        <f>IF(MAX('Verificação Peneiradores'!$AC$13:$AC$22)=0,"",MAX('Verificação Peneiradores'!$AC$13:$AC$22))</f>
        <v>46273</v>
      </c>
      <c r="D497" t="str">
        <f>IF('Verificação Peneiradores'!$Y$14&amp;""="","Peneirador 05",TRIM('Verificação Peneiradores'!$Y$14&amp;""))</f>
        <v>PNS/IDENT</v>
      </c>
      <c r="E497" t="str">
        <f>"Malha "&amp;'Verificação Peneiradores'!$Y$13&amp;" mm ("&amp;"Peneirador 05"&amp;")"</f>
        <v>Malha 8 mm (Peneirador 05)</v>
      </c>
      <c r="F497" t="s">
        <v>817</v>
      </c>
      <c r="G497" t="str">
        <f>IF(COUNTA('Verificação Peneiradores'!$Y$16:$Y$20)=0,"",COUNTIF('Verificação Peneiradores'!$Y$16:$Y$20,"OK"))</f>
        <v/>
      </c>
      <c r="H497" t="str">
        <f>IF(COUNTA('Verificação Peneiradores'!$Y$16:$Y$20)=0,"",COUNTA('Verificação Peneiradores'!$Y$16:$Y$20))</f>
        <v/>
      </c>
      <c r="M497" t="str">
        <f>IF(COUNTA('Verificação Peneiradores'!$Y$16:$Y$20)=0,"",IF(COUNTIF('Verificação Peneiradores'!$Y$16:$Y$20,"NÃO OK")&gt;0,"Não conforme","Conforme"))</f>
        <v/>
      </c>
      <c r="N497" t="str">
        <f>IFERROR(TRIM(INDEX('Verificação Peneiradores'!$AE$13:$AE$22,MATCH("*",'Verificação Peneiradores'!$AE$13:$AE$22,0))),"")</f>
        <v>LEONARDO</v>
      </c>
      <c r="O497" t="str">
        <f>IFERROR(TRIM(INDEX('Verificação Peneiradores'!$AD$13:$AD$22,MATCH("*",'Verificação Peneiradores'!$AD$13:$AD$22,0))),"")</f>
        <v>A</v>
      </c>
      <c r="P497" t="str">
        <f>IF(COUNTIF('Verificação Peneiradores'!$Y$16:$Y$20,"SEM TAG")&gt;0,"Sem TAG de calibração; ","")&amp;IF('Verificação Peneiradores'!$Y$16="NÃO OK","Condições das telas; ","")&amp;IF('Verificação Peneiradores'!$Y$17="NÃO OK","Inclinação das telas; ","")&amp;IF('Verificação Peneiradores'!$Y$18="NÃO OK","Vibração do peneirador; ","")&amp;IF('Verificação Peneiradores'!$Y$19="NÃO OK","Travamento das peneiras; ","")&amp;IF('Verificação Peneiradores'!$Y$20="NÃO OK","Calibração; ","")</f>
        <v/>
      </c>
      <c r="Q497" t="s">
        <v>868</v>
      </c>
    </row>
    <row r="498">
      <c r="A498" t="s">
        <v>816</v>
      </c>
      <c r="B498" t="s">
        <v>667</v>
      </c>
      <c r="C498" s="912">
        <f>IF(MAX('Verificação Peneiradores'!$AC$13:$AC$22)=0,"",MAX('Verificação Peneiradores'!$AC$13:$AC$22))</f>
        <v>46273</v>
      </c>
      <c r="D498" t="str">
        <f>IF('Verificação Peneiradores'!$Z$14&amp;""="","Peneirador 05",TRIM('Verificação Peneiradores'!$Z$14&amp;""))</f>
        <v>S/IDENT.</v>
      </c>
      <c r="E498" t="str">
        <f>"Malha "&amp;'Verificação Peneiradores'!$Z$13&amp;" mm ("&amp;"Peneirador 05"&amp;")"</f>
        <v>Malha 6,3 mm (Peneirador 05)</v>
      </c>
      <c r="F498" t="s">
        <v>817</v>
      </c>
      <c r="G498">
        <f>IF(COUNTA('Verificação Peneiradores'!$Z$16:$Z$20)=0,"",COUNTIF('Verificação Peneiradores'!$Z$16:$Z$20,"OK"))</f>
        <v>0</v>
      </c>
      <c r="H498">
        <f>IF(COUNTA('Verificação Peneiradores'!$Z$16:$Z$20)=0,"",COUNTA('Verificação Peneiradores'!$Z$16:$Z$20))</f>
        <v>1</v>
      </c>
      <c r="M498" t="str">
        <f>IF(COUNTA('Verificação Peneiradores'!$Z$16:$Z$20)=0,"",IF(COUNTIF('Verificação Peneiradores'!$Z$16:$Z$20,"NÃO OK")&gt;0,"Não conforme","Conforme"))</f>
        <v>Conforme</v>
      </c>
      <c r="N498" t="str">
        <f>IFERROR(TRIM(INDEX('Verificação Peneiradores'!$AE$13:$AE$22,MATCH("*",'Verificação Peneiradores'!$AE$13:$AE$22,0))),"")</f>
        <v>LEONARDO</v>
      </c>
      <c r="O498" t="str">
        <f>IFERROR(TRIM(INDEX('Verificação Peneiradores'!$AD$13:$AD$22,MATCH("*",'Verificação Peneiradores'!$AD$13:$AD$22,0))),"")</f>
        <v>A</v>
      </c>
      <c r="P498" t="str">
        <f>IF(COUNTIF('Verificação Peneiradores'!$Z$16:$Z$20,"SEM TAG")&gt;0,"Sem TAG de calibração; ","")&amp;IF('Verificação Peneiradores'!$Z$16="NÃO OK","Condições das telas; ","")&amp;IF('Verificação Peneiradores'!$Z$17="NÃO OK","Inclinação das telas; ","")&amp;IF('Verificação Peneiradores'!$Z$18="NÃO OK","Vibração do peneirador; ","")&amp;IF('Verificação Peneiradores'!$Z$19="NÃO OK","Travamento das peneiras; ","")&amp;IF('Verificação Peneiradores'!$Z$20="NÃO OK","Calibração; ","")</f>
        <v>Sem TAG de calibração; </v>
      </c>
      <c r="Q498" t="s">
        <v>869</v>
      </c>
    </row>
    <row r="499">
      <c r="A499" t="s">
        <v>816</v>
      </c>
      <c r="B499" t="s">
        <v>667</v>
      </c>
      <c r="C499" s="912">
        <f>IF(MAX('Verificação Peneiradores'!$AC$13:$AC$22)=0,"",MAX('Verificação Peneiradores'!$AC$13:$AC$22))</f>
        <v>46273</v>
      </c>
      <c r="D499" t="str">
        <f>IF('Verificação Peneiradores'!$AA$14&amp;""="","Peneirador 06",TRIM('Verificação Peneiradores'!$AA$14&amp;""))</f>
        <v>PN648</v>
      </c>
      <c r="E499" t="str">
        <f>"Malha "&amp;'Verificação Peneiradores'!$AA$13&amp;" mm ("&amp;"Peneirador 06"&amp;")"</f>
        <v>Malha 6,3 mm (Peneirador 06)</v>
      </c>
      <c r="F499" t="s">
        <v>817</v>
      </c>
      <c r="G499">
        <f>IF(COUNTA('Verificação Peneiradores'!$AA$16:$AA$20)=0,"",COUNTIF('Verificação Peneiradores'!$AA$16:$AA$20,"OK"))</f>
        <v>4</v>
      </c>
      <c r="H499">
        <f>IF(COUNTA('Verificação Peneiradores'!$AA$16:$AA$20)=0,"",COUNTA('Verificação Peneiradores'!$AA$16:$AA$20))</f>
        <v>5</v>
      </c>
      <c r="M499" t="str">
        <f>IF(COUNTA('Verificação Peneiradores'!$AA$16:$AA$20)=0,"",IF(COUNTIF('Verificação Peneiradores'!$AA$16:$AA$20,"NÃO OK")&gt;0,"Não conforme","Conforme"))</f>
        <v>Não conforme</v>
      </c>
      <c r="N499" t="str">
        <f>IFERROR(TRIM(INDEX('Verificação Peneiradores'!$AE$13:$AE$22,MATCH("*",'Verificação Peneiradores'!$AE$13:$AE$22,0))),"")</f>
        <v>LEONARDO</v>
      </c>
      <c r="O499" t="str">
        <f>IFERROR(TRIM(INDEX('Verificação Peneiradores'!$AD$13:$AD$22,MATCH("*",'Verificação Peneiradores'!$AD$13:$AD$22,0))),"")</f>
        <v>A</v>
      </c>
      <c r="P499" t="str">
        <f>IF(COUNTIF('Verificação Peneiradores'!$AA$16:$AA$20,"SEM TAG")&gt;0,"Sem TAG de calibração; ","")&amp;IF('Verificação Peneiradores'!$AA$16="NÃO OK","Condições das telas; ","")&amp;IF('Verificação Peneiradores'!$AA$17="NÃO OK","Inclinação das telas; ","")&amp;IF('Verificação Peneiradores'!$AA$18="NÃO OK","Vibração do peneirador; ","")&amp;IF('Verificação Peneiradores'!$AA$19="NÃO OK","Travamento das peneiras; ","")&amp;IF('Verificação Peneiradores'!$AA$20="NÃO OK","Calibração; ","")</f>
        <v>Calibração; </v>
      </c>
      <c r="Q499" t="s">
        <v>870</v>
      </c>
    </row>
    <row r="500">
      <c r="A500" t="s">
        <v>816</v>
      </c>
      <c r="B500" t="s">
        <v>667</v>
      </c>
      <c r="C500" s="912">
        <f>IF(MAX('Verificação Peneiradores'!$AC$13:$AC$22)=0,"",MAX('Verificação Peneiradores'!$AC$13:$AC$22))</f>
        <v>46273</v>
      </c>
      <c r="D500" t="str">
        <f>IF('Verificação Peneiradores'!$AB$14&amp;""="","Peneirador 06",TRIM('Verificação Peneiradores'!$AB$14&amp;""))</f>
        <v>N/CONT</v>
      </c>
      <c r="E500" t="str">
        <f>"Malha "&amp;'Verificação Peneiradores'!$AB$13&amp;" mm ("&amp;"Peneirador 06"&amp;")"</f>
        <v>Malha 10 mm (Peneirador 06)</v>
      </c>
      <c r="F500" t="s">
        <v>817</v>
      </c>
      <c r="G500">
        <f>IF(COUNTA('Verificação Peneiradores'!$AB$16:$AB$20)=0,"",COUNTIF('Verificação Peneiradores'!$AB$16:$AB$20,"OK"))</f>
        <v>5</v>
      </c>
      <c r="H500">
        <f>IF(COUNTA('Verificação Peneiradores'!$AB$16:$AB$20)=0,"",COUNTA('Verificação Peneiradores'!$AB$16:$AB$20))</f>
        <v>5</v>
      </c>
      <c r="M500" t="str">
        <f>IF(COUNTA('Verificação Peneiradores'!$AB$16:$AB$20)=0,"",IF(COUNTIF('Verificação Peneiradores'!$AB$16:$AB$20,"NÃO OK")&gt;0,"Não conforme","Conforme"))</f>
        <v>Conforme</v>
      </c>
      <c r="N500" t="str">
        <f>IFERROR(TRIM(INDEX('Verificação Peneiradores'!$AE$13:$AE$22,MATCH("*",'Verificação Peneiradores'!$AE$13:$AE$22,0))),"")</f>
        <v>LEONARDO</v>
      </c>
      <c r="O500" t="str">
        <f>IFERROR(TRIM(INDEX('Verificação Peneiradores'!$AD$13:$AD$22,MATCH("*",'Verificação Peneiradores'!$AD$13:$AD$22,0))),"")</f>
        <v>A</v>
      </c>
      <c r="P500" t="str">
        <f>IF(COUNTIF('Verificação Peneiradores'!$AB$16:$AB$20,"SEM TAG")&gt;0,"Sem TAG de calibração; ","")&amp;IF('Verificação Peneiradores'!$AB$16="NÃO OK","Condições das telas; ","")&amp;IF('Verificação Peneiradores'!$AB$17="NÃO OK","Inclinação das telas; ","")&amp;IF('Verificação Peneiradores'!$AB$18="NÃO OK","Vibração do peneirador; ","")&amp;IF('Verificação Peneiradores'!$AB$19="NÃO OK","Travamento das peneiras; ","")&amp;IF('Verificação Peneiradores'!$AB$20="NÃO OK","Calibração; ","")</f>
        <v/>
      </c>
      <c r="Q500" t="s">
        <v>871</v>
      </c>
    </row>
    <row r="501">
      <c r="A501" t="s">
        <v>816</v>
      </c>
      <c r="B501" t="s">
        <v>667</v>
      </c>
      <c r="C501" s="912">
        <f>IF(MAX('Verificação Peneiradores'!$AC$23:$AC$32)=0,"",MAX('Verificação Peneiradores'!$AC$23:$AC$32))</f>
        <v>46278</v>
      </c>
      <c r="D501" t="str">
        <f>IF('Verificação Peneiradores'!$B$24&amp;""="","Circulares",TRIM('Verificação Peneiradores'!$B$24&amp;""))</f>
        <v>PN0423</v>
      </c>
      <c r="E501" t="str">
        <f>"Malha "&amp;'Verificação Peneiradores'!$B$23&amp;" mm ("&amp;"Circulares"&amp;")"</f>
        <v>Malha 19 mm (Circulares)</v>
      </c>
      <c r="F501" t="s">
        <v>817</v>
      </c>
      <c r="G501">
        <f>IF(COUNTA('Verificação Peneiradores'!$B$26:$B$30)=0,"",COUNTIF('Verificação Peneiradores'!$B$26:$B$30,"OK"))</f>
        <v>5</v>
      </c>
      <c r="H501">
        <f>IF(COUNTA('Verificação Peneiradores'!$B$26:$B$30)=0,"",COUNTA('Verificação Peneiradores'!$B$26:$B$30))</f>
        <v>5</v>
      </c>
      <c r="M501" t="str">
        <f>IF(COUNTA('Verificação Peneiradores'!$B$26:$B$30)=0,"",IF(COUNTIF('Verificação Peneiradores'!$B$26:$B$30,"NÃO OK")&gt;0,"Não conforme","Conforme"))</f>
        <v>Conforme</v>
      </c>
      <c r="N501" t="str">
        <f>IFERROR(TRIM(INDEX('Verificação Peneiradores'!$AE$23:$AE$32,MATCH("*",'Verificação Peneiradores'!$AE$23:$AE$32,0))),"")</f>
        <v>EBERT</v>
      </c>
      <c r="O501" t="str">
        <f>IFERROR(TRIM(INDEX('Verificação Peneiradores'!$AD$23:$AD$32,MATCH("*",'Verificação Peneiradores'!$AD$23:$AD$32,0))),"")</f>
        <v>D</v>
      </c>
      <c r="P501" t="str">
        <f>IF(COUNTIF('Verificação Peneiradores'!$B$26:$B$30,"SEM TAG")&gt;0,"Sem TAG de calibração; ","")&amp;IF('Verificação Peneiradores'!$B$26="NÃO OK","Condições das telas; ","")&amp;IF('Verificação Peneiradores'!$B$27="NÃO OK","Inclinação das telas; ","")&amp;IF('Verificação Peneiradores'!$B$28="NÃO OK","Vibração do peneirador; ","")&amp;IF('Verificação Peneiradores'!$B$29="NÃO OK","Travamento das peneiras; ","")&amp;IF('Verificação Peneiradores'!$B$30="NÃO OK","Calibração; ","")</f>
        <v/>
      </c>
      <c r="Q501" t="s">
        <v>872</v>
      </c>
    </row>
    <row r="502">
      <c r="A502" t="s">
        <v>816</v>
      </c>
      <c r="B502" t="s">
        <v>667</v>
      </c>
      <c r="C502" s="912">
        <f>IF(MAX('Verificação Peneiradores'!$AC$23:$AC$32)=0,"",MAX('Verificação Peneiradores'!$AC$23:$AC$32))</f>
        <v>46278</v>
      </c>
      <c r="D502" t="str">
        <f>IF('Verificação Peneiradores'!$C$24&amp;""="","Circulares",TRIM('Verificação Peneiradores'!$C$24&amp;""))</f>
        <v>PN0482</v>
      </c>
      <c r="E502" t="str">
        <f>"Malha "&amp;'Verificação Peneiradores'!$C$23&amp;" mm ("&amp;"Circulares"&amp;")"</f>
        <v>Malha 16 mm (Circulares)</v>
      </c>
      <c r="F502" t="s">
        <v>817</v>
      </c>
      <c r="G502">
        <f>IF(COUNTA('Verificação Peneiradores'!$C$26:$C$30)=0,"",COUNTIF('Verificação Peneiradores'!$C$26:$C$30,"OK"))</f>
        <v>4</v>
      </c>
      <c r="H502">
        <f>IF(COUNTA('Verificação Peneiradores'!$C$26:$C$30)=0,"",COUNTA('Verificação Peneiradores'!$C$26:$C$30))</f>
        <v>5</v>
      </c>
      <c r="M502" t="str">
        <f>IF(COUNTA('Verificação Peneiradores'!$C$26:$C$30)=0,"",IF(COUNTIF('Verificação Peneiradores'!$C$26:$C$30,"NÃO OK")&gt;0,"Não conforme","Conforme"))</f>
        <v>Conforme</v>
      </c>
      <c r="N502" t="str">
        <f>IFERROR(TRIM(INDEX('Verificação Peneiradores'!$AE$23:$AE$32,MATCH("*",'Verificação Peneiradores'!$AE$23:$AE$32,0))),"")</f>
        <v>EBERT</v>
      </c>
      <c r="O502" t="str">
        <f>IFERROR(TRIM(INDEX('Verificação Peneiradores'!$AD$23:$AD$32,MATCH("*",'Verificação Peneiradores'!$AD$23:$AD$32,0))),"")</f>
        <v>D</v>
      </c>
      <c r="P502" t="str">
        <f>IF(COUNTIF('Verificação Peneiradores'!$C$26:$C$30,"SEM TAG")&gt;0,"Sem TAG de calibração; ","")&amp;IF('Verificação Peneiradores'!$C$26="NÃO OK","Condições das telas; ","")&amp;IF('Verificação Peneiradores'!$C$27="NÃO OK","Inclinação das telas; ","")&amp;IF('Verificação Peneiradores'!$C$28="NÃO OK","Vibração do peneirador; ","")&amp;IF('Verificação Peneiradores'!$C$29="NÃO OK","Travamento das peneiras; ","")&amp;IF('Verificação Peneiradores'!$C$30="NÃO OK","Calibração; ","")</f>
        <v>Sem TAG de calibração; </v>
      </c>
      <c r="Q502" t="s">
        <v>873</v>
      </c>
    </row>
    <row r="503">
      <c r="A503" t="s">
        <v>816</v>
      </c>
      <c r="B503" t="s">
        <v>667</v>
      </c>
      <c r="C503" s="912">
        <f>IF(MAX('Verificação Peneiradores'!$AC$23:$AC$32)=0,"",MAX('Verificação Peneiradores'!$AC$23:$AC$32))</f>
        <v>46278</v>
      </c>
      <c r="D503" t="str">
        <f>IF('Verificação Peneiradores'!$D$24&amp;""="","Circulares",TRIM('Verificação Peneiradores'!$D$24&amp;""))</f>
        <v>PN 614</v>
      </c>
      <c r="E503" t="str">
        <f>"Malha "&amp;'Verificação Peneiradores'!$D$23&amp;" mm ("&amp;"Circulares"&amp;")"</f>
        <v>Malha 12,5 mm (Circulares)</v>
      </c>
      <c r="F503" t="s">
        <v>817</v>
      </c>
      <c r="G503">
        <f>IF(COUNTA('Verificação Peneiradores'!$D$26:$D$30)=0,"",COUNTIF('Verificação Peneiradores'!$D$26:$D$30,"OK"))</f>
        <v>4</v>
      </c>
      <c r="H503">
        <f>IF(COUNTA('Verificação Peneiradores'!$D$26:$D$30)=0,"",COUNTA('Verificação Peneiradores'!$D$26:$D$30))</f>
        <v>5</v>
      </c>
      <c r="M503" t="str">
        <f>IF(COUNTA('Verificação Peneiradores'!$D$26:$D$30)=0,"",IF(COUNTIF('Verificação Peneiradores'!$D$26:$D$30,"NÃO OK")&gt;0,"Não conforme","Conforme"))</f>
        <v>Conforme</v>
      </c>
      <c r="N503" t="str">
        <f>IFERROR(TRIM(INDEX('Verificação Peneiradores'!$AE$23:$AE$32,MATCH("*",'Verificação Peneiradores'!$AE$23:$AE$32,0))),"")</f>
        <v>EBERT</v>
      </c>
      <c r="O503" t="str">
        <f>IFERROR(TRIM(INDEX('Verificação Peneiradores'!$AD$23:$AD$32,MATCH("*",'Verificação Peneiradores'!$AD$23:$AD$32,0))),"")</f>
        <v>D</v>
      </c>
      <c r="P503" t="str">
        <f>IF(COUNTIF('Verificação Peneiradores'!$D$26:$D$30,"SEM TAG")&gt;0,"Sem TAG de calibração; ","")&amp;IF('Verificação Peneiradores'!$D$26="NÃO OK","Condições das telas; ","")&amp;IF('Verificação Peneiradores'!$D$27="NÃO OK","Inclinação das telas; ","")&amp;IF('Verificação Peneiradores'!$D$28="NÃO OK","Vibração do peneirador; ","")&amp;IF('Verificação Peneiradores'!$D$29="NÃO OK","Travamento das peneiras; ","")&amp;IF('Verificação Peneiradores'!$D$30="NÃO OK","Calibração; ","")</f>
        <v>Sem TAG de calibração; </v>
      </c>
      <c r="Q503" t="s">
        <v>874</v>
      </c>
    </row>
    <row r="504">
      <c r="A504" t="s">
        <v>816</v>
      </c>
      <c r="B504" t="s">
        <v>667</v>
      </c>
      <c r="C504" s="912">
        <f>IF(MAX('Verificação Peneiradores'!$AC$23:$AC$32)=0,"",MAX('Verificação Peneiradores'!$AC$23:$AC$32))</f>
        <v>46278</v>
      </c>
      <c r="D504" t="str">
        <f>IF('Verificação Peneiradores'!$E$24&amp;""="","Circulares",TRIM('Verificação Peneiradores'!$E$24&amp;""))</f>
        <v>PN 303</v>
      </c>
      <c r="E504" t="str">
        <f>"Malha "&amp;'Verificação Peneiradores'!$E$23&amp;" mm ("&amp;"Circulares"&amp;")"</f>
        <v>Malha 10 mm (Circulares)</v>
      </c>
      <c r="F504" t="s">
        <v>817</v>
      </c>
      <c r="G504">
        <f>IF(COUNTA('Verificação Peneiradores'!$E$26:$E$30)=0,"",COUNTIF('Verificação Peneiradores'!$E$26:$E$30,"OK"))</f>
        <v>4</v>
      </c>
      <c r="H504">
        <f>IF(COUNTA('Verificação Peneiradores'!$E$26:$E$30)=0,"",COUNTA('Verificação Peneiradores'!$E$26:$E$30))</f>
        <v>5</v>
      </c>
      <c r="M504" t="str">
        <f>IF(COUNTA('Verificação Peneiradores'!$E$26:$E$30)=0,"",IF(COUNTIF('Verificação Peneiradores'!$E$26:$E$30,"NÃO OK")&gt;0,"Não conforme","Conforme"))</f>
        <v>Conforme</v>
      </c>
      <c r="N504" t="str">
        <f>IFERROR(TRIM(INDEX('Verificação Peneiradores'!$AE$23:$AE$32,MATCH("*",'Verificação Peneiradores'!$AE$23:$AE$32,0))),"")</f>
        <v>EBERT</v>
      </c>
      <c r="O504" t="str">
        <f>IFERROR(TRIM(INDEX('Verificação Peneiradores'!$AD$23:$AD$32,MATCH("*",'Verificação Peneiradores'!$AD$23:$AD$32,0))),"")</f>
        <v>D</v>
      </c>
      <c r="P504" t="str">
        <f>IF(COUNTIF('Verificação Peneiradores'!$E$26:$E$30,"SEM TAG")&gt;0,"Sem TAG de calibração; ","")&amp;IF('Verificação Peneiradores'!$E$26="NÃO OK","Condições das telas; ","")&amp;IF('Verificação Peneiradores'!$E$27="NÃO OK","Inclinação das telas; ","")&amp;IF('Verificação Peneiradores'!$E$28="NÃO OK","Vibração do peneirador; ","")&amp;IF('Verificação Peneiradores'!$E$29="NÃO OK","Travamento das peneiras; ","")&amp;IF('Verificação Peneiradores'!$E$30="NÃO OK","Calibração; ","")</f>
        <v>Sem TAG de calibração; </v>
      </c>
      <c r="Q504" t="s">
        <v>875</v>
      </c>
    </row>
    <row r="505">
      <c r="A505" t="s">
        <v>816</v>
      </c>
      <c r="B505" t="s">
        <v>667</v>
      </c>
      <c r="C505" s="912">
        <f>IF(MAX('Verificação Peneiradores'!$AC$23:$AC$32)=0,"",MAX('Verificação Peneiradores'!$AC$23:$AC$32))</f>
        <v>46278</v>
      </c>
      <c r="D505" t="str">
        <f>IF('Verificação Peneiradores'!$F$24&amp;""="","Circulares",TRIM('Verificação Peneiradores'!$F$24&amp;""))</f>
        <v>PN431</v>
      </c>
      <c r="E505" t="str">
        <f>"Malha "&amp;'Verificação Peneiradores'!$F$23&amp;" mm ("&amp;"Circulares"&amp;")"</f>
        <v>Malha 9 mm (Circulares)</v>
      </c>
      <c r="F505" t="s">
        <v>817</v>
      </c>
      <c r="G505">
        <f>IF(COUNTA('Verificação Peneiradores'!$F$26:$F$30)=0,"",COUNTIF('Verificação Peneiradores'!$F$26:$F$30,"OK"))</f>
        <v>5</v>
      </c>
      <c r="H505">
        <f>IF(COUNTA('Verificação Peneiradores'!$F$26:$F$30)=0,"",COUNTA('Verificação Peneiradores'!$F$26:$F$30))</f>
        <v>5</v>
      </c>
      <c r="M505" t="str">
        <f>IF(COUNTA('Verificação Peneiradores'!$F$26:$F$30)=0,"",IF(COUNTIF('Verificação Peneiradores'!$F$26:$F$30,"NÃO OK")&gt;0,"Não conforme","Conforme"))</f>
        <v>Conforme</v>
      </c>
      <c r="N505" t="str">
        <f>IFERROR(TRIM(INDEX('Verificação Peneiradores'!$AE$23:$AE$32,MATCH("*",'Verificação Peneiradores'!$AE$23:$AE$32,0))),"")</f>
        <v>EBERT</v>
      </c>
      <c r="O505" t="str">
        <f>IFERROR(TRIM(INDEX('Verificação Peneiradores'!$AD$23:$AD$32,MATCH("*",'Verificação Peneiradores'!$AD$23:$AD$32,0))),"")</f>
        <v>D</v>
      </c>
      <c r="P505" t="str">
        <f>IF(COUNTIF('Verificação Peneiradores'!$F$26:$F$30,"SEM TAG")&gt;0,"Sem TAG de calibração; ","")&amp;IF('Verificação Peneiradores'!$F$26="NÃO OK","Condições das telas; ","")&amp;IF('Verificação Peneiradores'!$F$27="NÃO OK","Inclinação das telas; ","")&amp;IF('Verificação Peneiradores'!$F$28="NÃO OK","Vibração do peneirador; ","")&amp;IF('Verificação Peneiradores'!$F$29="NÃO OK","Travamento das peneiras; ","")&amp;IF('Verificação Peneiradores'!$F$30="NÃO OK","Calibração; ","")</f>
        <v/>
      </c>
      <c r="Q505" t="s">
        <v>876</v>
      </c>
    </row>
    <row r="506">
      <c r="A506" t="s">
        <v>816</v>
      </c>
      <c r="B506" t="s">
        <v>667</v>
      </c>
      <c r="C506" s="912">
        <f>IF(MAX('Verificação Peneiradores'!$AC$23:$AC$32)=0,"",MAX('Verificação Peneiradores'!$AC$23:$AC$32))</f>
        <v>46278</v>
      </c>
      <c r="D506" t="str">
        <f>IF('Verificação Peneiradores'!$G$24&amp;""="","Circulares",TRIM('Verificação Peneiradores'!$G$24&amp;""))</f>
        <v>PN432</v>
      </c>
      <c r="E506" t="str">
        <f>"Malha "&amp;'Verificação Peneiradores'!$G$23&amp;" mm ("&amp;"Circulares"&amp;")"</f>
        <v>Malha 8 mm (Circulares)</v>
      </c>
      <c r="F506" t="s">
        <v>817</v>
      </c>
      <c r="G506">
        <f>IF(COUNTA('Verificação Peneiradores'!$G$26:$G$30)=0,"",COUNTIF('Verificação Peneiradores'!$G$26:$G$30,"OK"))</f>
        <v>5</v>
      </c>
      <c r="H506">
        <f>IF(COUNTA('Verificação Peneiradores'!$G$26:$G$30)=0,"",COUNTA('Verificação Peneiradores'!$G$26:$G$30))</f>
        <v>5</v>
      </c>
      <c r="M506" t="str">
        <f>IF(COUNTA('Verificação Peneiradores'!$G$26:$G$30)=0,"",IF(COUNTIF('Verificação Peneiradores'!$G$26:$G$30,"NÃO OK")&gt;0,"Não conforme","Conforme"))</f>
        <v>Conforme</v>
      </c>
      <c r="N506" t="str">
        <f>IFERROR(TRIM(INDEX('Verificação Peneiradores'!$AE$23:$AE$32,MATCH("*",'Verificação Peneiradores'!$AE$23:$AE$32,0))),"")</f>
        <v>EBERT</v>
      </c>
      <c r="O506" t="str">
        <f>IFERROR(TRIM(INDEX('Verificação Peneiradores'!$AD$23:$AD$32,MATCH("*",'Verificação Peneiradores'!$AD$23:$AD$32,0))),"")</f>
        <v>D</v>
      </c>
      <c r="P506" t="str">
        <f>IF(COUNTIF('Verificação Peneiradores'!$G$26:$G$30,"SEM TAG")&gt;0,"Sem TAG de calibração; ","")&amp;IF('Verificação Peneiradores'!$G$26="NÃO OK","Condições das telas; ","")&amp;IF('Verificação Peneiradores'!$G$27="NÃO OK","Inclinação das telas; ","")&amp;IF('Verificação Peneiradores'!$G$28="NÃO OK","Vibração do peneirador; ","")&amp;IF('Verificação Peneiradores'!$G$29="NÃO OK","Travamento das peneiras; ","")&amp;IF('Verificação Peneiradores'!$G$30="NÃO OK","Calibração; ","")</f>
        <v/>
      </c>
      <c r="Q506" t="s">
        <v>877</v>
      </c>
    </row>
    <row r="507">
      <c r="A507" t="s">
        <v>816</v>
      </c>
      <c r="B507" t="s">
        <v>667</v>
      </c>
      <c r="C507" s="912">
        <f>IF(MAX('Verificação Peneiradores'!$AC$23:$AC$32)=0,"",MAX('Verificação Peneiradores'!$AC$23:$AC$32))</f>
        <v>46278</v>
      </c>
      <c r="D507" t="str">
        <f>IF('Verificação Peneiradores'!$H$24&amp;""="","Circulares",TRIM('Verificação Peneiradores'!$H$24&amp;""))</f>
        <v>PN0430</v>
      </c>
      <c r="E507" t="str">
        <f>"Malha "&amp;'Verificação Peneiradores'!$H$23&amp;" mm ("&amp;"Circulares"&amp;")"</f>
        <v>Malha 6,3 mm (Circulares)</v>
      </c>
      <c r="F507" t="s">
        <v>817</v>
      </c>
      <c r="G507">
        <f>IF(COUNTA('Verificação Peneiradores'!$H$26:$H$30)=0,"",COUNTIF('Verificação Peneiradores'!$H$26:$H$30,"OK"))</f>
        <v>5</v>
      </c>
      <c r="H507">
        <f>IF(COUNTA('Verificação Peneiradores'!$H$26:$H$30)=0,"",COUNTA('Verificação Peneiradores'!$H$26:$H$30))</f>
        <v>5</v>
      </c>
      <c r="M507" t="str">
        <f>IF(COUNTA('Verificação Peneiradores'!$H$26:$H$30)=0,"",IF(COUNTIF('Verificação Peneiradores'!$H$26:$H$30,"NÃO OK")&gt;0,"Não conforme","Conforme"))</f>
        <v>Conforme</v>
      </c>
      <c r="N507" t="str">
        <f>IFERROR(TRIM(INDEX('Verificação Peneiradores'!$AE$23:$AE$32,MATCH("*",'Verificação Peneiradores'!$AE$23:$AE$32,0))),"")</f>
        <v>EBERT</v>
      </c>
      <c r="O507" t="str">
        <f>IFERROR(TRIM(INDEX('Verificação Peneiradores'!$AD$23:$AD$32,MATCH("*",'Verificação Peneiradores'!$AD$23:$AD$32,0))),"")</f>
        <v>D</v>
      </c>
      <c r="P507" t="str">
        <f>IF(COUNTIF('Verificação Peneiradores'!$H$26:$H$30,"SEM TAG")&gt;0,"Sem TAG de calibração; ","")&amp;IF('Verificação Peneiradores'!$H$26="NÃO OK","Condições das telas; ","")&amp;IF('Verificação Peneiradores'!$H$27="NÃO OK","Inclinação das telas; ","")&amp;IF('Verificação Peneiradores'!$H$28="NÃO OK","Vibração do peneirador; ","")&amp;IF('Verificação Peneiradores'!$H$29="NÃO OK","Travamento das peneiras; ","")&amp;IF('Verificação Peneiradores'!$H$30="NÃO OK","Calibração; ","")</f>
        <v/>
      </c>
      <c r="Q507" t="s">
        <v>878</v>
      </c>
    </row>
    <row r="508">
      <c r="A508" t="s">
        <v>816</v>
      </c>
      <c r="B508" t="s">
        <v>667</v>
      </c>
      <c r="C508" s="912">
        <f>IF(MAX('Verificação Peneiradores'!$AC$23:$AC$32)=0,"",MAX('Verificação Peneiradores'!$AC$23:$AC$32))</f>
        <v>46278</v>
      </c>
      <c r="D508" t="str">
        <f>IF('Verificação Peneiradores'!$I$24&amp;""="","Circulares",TRIM('Verificação Peneiradores'!$I$24&amp;""))</f>
        <v>PN0425</v>
      </c>
      <c r="E508" t="str">
        <f>"Malha "&amp;'Verificação Peneiradores'!$I$23&amp;" mm ("&amp;"Circulares"&amp;")"</f>
        <v>Malha 5 mm (Circulares)</v>
      </c>
      <c r="F508" t="s">
        <v>817</v>
      </c>
      <c r="G508">
        <f>IF(COUNTA('Verificação Peneiradores'!$I$26:$I$30)=0,"",COUNTIF('Verificação Peneiradores'!$I$26:$I$30,"OK"))</f>
        <v>5</v>
      </c>
      <c r="H508">
        <f>IF(COUNTA('Verificação Peneiradores'!$I$26:$I$30)=0,"",COUNTA('Verificação Peneiradores'!$I$26:$I$30))</f>
        <v>5</v>
      </c>
      <c r="M508" t="str">
        <f>IF(COUNTA('Verificação Peneiradores'!$I$26:$I$30)=0,"",IF(COUNTIF('Verificação Peneiradores'!$I$26:$I$30,"NÃO OK")&gt;0,"Não conforme","Conforme"))</f>
        <v>Conforme</v>
      </c>
      <c r="N508" t="str">
        <f>IFERROR(TRIM(INDEX('Verificação Peneiradores'!$AE$23:$AE$32,MATCH("*",'Verificação Peneiradores'!$AE$23:$AE$32,0))),"")</f>
        <v>EBERT</v>
      </c>
      <c r="O508" t="str">
        <f>IFERROR(TRIM(INDEX('Verificação Peneiradores'!$AD$23:$AD$32,MATCH("*",'Verificação Peneiradores'!$AD$23:$AD$32,0))),"")</f>
        <v>D</v>
      </c>
      <c r="P508" t="str">
        <f>IF(COUNTIF('Verificação Peneiradores'!$I$26:$I$30,"SEM TAG")&gt;0,"Sem TAG de calibração; ","")&amp;IF('Verificação Peneiradores'!$I$26="NÃO OK","Condições das telas; ","")&amp;IF('Verificação Peneiradores'!$I$27="NÃO OK","Inclinação das telas; ","")&amp;IF('Verificação Peneiradores'!$I$28="NÃO OK","Vibração do peneirador; ","")&amp;IF('Verificação Peneiradores'!$I$29="NÃO OK","Travamento das peneiras; ","")&amp;IF('Verificação Peneiradores'!$I$30="NÃO OK","Calibração; ","")</f>
        <v/>
      </c>
      <c r="Q508" t="s">
        <v>879</v>
      </c>
    </row>
    <row r="509">
      <c r="A509" t="s">
        <v>816</v>
      </c>
      <c r="B509" t="s">
        <v>667</v>
      </c>
      <c r="C509" s="912">
        <f>IF(MAX('Verificação Peneiradores'!$AC$23:$AC$32)=0,"",MAX('Verificação Peneiradores'!$AC$23:$AC$32))</f>
        <v>46278</v>
      </c>
      <c r="D509" t="str">
        <f>IF('Verificação Peneiradores'!$J$24&amp;""="","Circulares",TRIM('Verificação Peneiradores'!$J$24&amp;""))</f>
        <v>PN0,46</v>
      </c>
      <c r="E509" t="str">
        <f>"Malha "&amp;'Verificação Peneiradores'!$J$23&amp;" mm ("&amp;"Circulares"&amp;")"</f>
        <v>Malha 3,15 mm (Circulares)</v>
      </c>
      <c r="F509" t="s">
        <v>817</v>
      </c>
      <c r="G509">
        <f>IF(COUNTA('Verificação Peneiradores'!$J$26:$J$30)=0,"",COUNTIF('Verificação Peneiradores'!$J$26:$J$30,"OK"))</f>
        <v>5</v>
      </c>
      <c r="H509">
        <f>IF(COUNTA('Verificação Peneiradores'!$J$26:$J$30)=0,"",COUNTA('Verificação Peneiradores'!$J$26:$J$30))</f>
        <v>5</v>
      </c>
      <c r="M509" t="str">
        <f>IF(COUNTA('Verificação Peneiradores'!$J$26:$J$30)=0,"",IF(COUNTIF('Verificação Peneiradores'!$J$26:$J$30,"NÃO OK")&gt;0,"Não conforme","Conforme"))</f>
        <v>Conforme</v>
      </c>
      <c r="N509" t="str">
        <f>IFERROR(TRIM(INDEX('Verificação Peneiradores'!$AE$23:$AE$32,MATCH("*",'Verificação Peneiradores'!$AE$23:$AE$32,0))),"")</f>
        <v>EBERT</v>
      </c>
      <c r="O509" t="str">
        <f>IFERROR(TRIM(INDEX('Verificação Peneiradores'!$AD$23:$AD$32,MATCH("*",'Verificação Peneiradores'!$AD$23:$AD$32,0))),"")</f>
        <v>D</v>
      </c>
      <c r="P509" t="str">
        <f>IF(COUNTIF('Verificação Peneiradores'!$J$26:$J$30,"SEM TAG")&gt;0,"Sem TAG de calibração; ","")&amp;IF('Verificação Peneiradores'!$J$26="NÃO OK","Condições das telas; ","")&amp;IF('Verificação Peneiradores'!$J$27="NÃO OK","Inclinação das telas; ","")&amp;IF('Verificação Peneiradores'!$J$28="NÃO OK","Vibração do peneirador; ","")&amp;IF('Verificação Peneiradores'!$J$29="NÃO OK","Travamento das peneiras; ","")&amp;IF('Verificação Peneiradores'!$J$30="NÃO OK","Calibração; ","")</f>
        <v/>
      </c>
      <c r="Q509" t="s">
        <v>880</v>
      </c>
    </row>
    <row r="510">
      <c r="A510" t="s">
        <v>816</v>
      </c>
      <c r="B510" t="s">
        <v>667</v>
      </c>
      <c r="C510" s="912">
        <f>IF(MAX('Verificação Peneiradores'!$AC$23:$AC$32)=0,"",MAX('Verificação Peneiradores'!$AC$23:$AC$32))</f>
        <v>46278</v>
      </c>
      <c r="D510" t="str">
        <f>IF('Verificação Peneiradores'!$K$24&amp;""="","Circulares",TRIM('Verificação Peneiradores'!$K$24&amp;""))</f>
        <v>PN0500</v>
      </c>
      <c r="E510" t="str">
        <f>"Malha "&amp;'Verificação Peneiradores'!$K$23&amp;" mm ("&amp;"Circulares"&amp;")"</f>
        <v>Malha 0,5 mm (Circulares)</v>
      </c>
      <c r="F510" t="s">
        <v>817</v>
      </c>
      <c r="G510">
        <f>IF(COUNTA('Verificação Peneiradores'!$K$26:$K$30)=0,"",COUNTIF('Verificação Peneiradores'!$K$26:$K$30,"OK"))</f>
        <v>5</v>
      </c>
      <c r="H510">
        <f>IF(COUNTA('Verificação Peneiradores'!$K$26:$K$30)=0,"",COUNTA('Verificação Peneiradores'!$K$26:$K$30))</f>
        <v>5</v>
      </c>
      <c r="M510" t="str">
        <f>IF(COUNTA('Verificação Peneiradores'!$K$26:$K$30)=0,"",IF(COUNTIF('Verificação Peneiradores'!$K$26:$K$30,"NÃO OK")&gt;0,"Não conforme","Conforme"))</f>
        <v>Conforme</v>
      </c>
      <c r="N510" t="str">
        <f>IFERROR(TRIM(INDEX('Verificação Peneiradores'!$AE$23:$AE$32,MATCH("*",'Verificação Peneiradores'!$AE$23:$AE$32,0))),"")</f>
        <v>EBERT</v>
      </c>
      <c r="O510" t="str">
        <f>IFERROR(TRIM(INDEX('Verificação Peneiradores'!$AD$23:$AD$32,MATCH("*",'Verificação Peneiradores'!$AD$23:$AD$32,0))),"")</f>
        <v>D</v>
      </c>
      <c r="P510" t="str">
        <f>IF(COUNTIF('Verificação Peneiradores'!$K$26:$K$30,"SEM TAG")&gt;0,"Sem TAG de calibração; ","")&amp;IF('Verificação Peneiradores'!$K$26="NÃO OK","Condições das telas; ","")&amp;IF('Verificação Peneiradores'!$K$27="NÃO OK","Inclinação das telas; ","")&amp;IF('Verificação Peneiradores'!$K$28="NÃO OK","Vibração do peneirador; ","")&amp;IF('Verificação Peneiradores'!$K$29="NÃO OK","Travamento das peneiras; ","")&amp;IF('Verificação Peneiradores'!$K$30="NÃO OK","Calibração; ","")</f>
        <v/>
      </c>
      <c r="Q510" t="s">
        <v>881</v>
      </c>
    </row>
    <row r="511">
      <c r="A511" t="s">
        <v>816</v>
      </c>
      <c r="B511" t="s">
        <v>667</v>
      </c>
      <c r="C511" s="912">
        <f>IF(MAX('Verificação Peneiradores'!$AC$23:$AC$32)=0,"",MAX('Verificação Peneiradores'!$AC$23:$AC$32))</f>
        <v>46278</v>
      </c>
      <c r="D511" t="str">
        <f>IF('Verificação Peneiradores'!$L$24&amp;""="","Circulares",TRIM('Verificação Peneiradores'!$L$24&amp;""))</f>
        <v>PN0501</v>
      </c>
      <c r="E511" t="str">
        <f>"Malha "&amp;'Verificação Peneiradores'!$L$23&amp;" mm ("&amp;"Circulares"&amp;")"</f>
        <v>Malha 0,5 mm (Circulares)</v>
      </c>
      <c r="F511" t="s">
        <v>817</v>
      </c>
      <c r="G511">
        <f>IF(COUNTA('Verificação Peneiradores'!$L$26:$L$30)=0,"",COUNTIF('Verificação Peneiradores'!$L$26:$L$30,"OK"))</f>
        <v>5</v>
      </c>
      <c r="H511">
        <f>IF(COUNTA('Verificação Peneiradores'!$L$26:$L$30)=0,"",COUNTA('Verificação Peneiradores'!$L$26:$L$30))</f>
        <v>5</v>
      </c>
      <c r="M511" t="str">
        <f>IF(COUNTA('Verificação Peneiradores'!$L$26:$L$30)=0,"",IF(COUNTIF('Verificação Peneiradores'!$L$26:$L$30,"NÃO OK")&gt;0,"Não conforme","Conforme"))</f>
        <v>Conforme</v>
      </c>
      <c r="N511" t="str">
        <f>IFERROR(TRIM(INDEX('Verificação Peneiradores'!$AE$23:$AE$32,MATCH("*",'Verificação Peneiradores'!$AE$23:$AE$32,0))),"")</f>
        <v>EBERT</v>
      </c>
      <c r="O511" t="str">
        <f>IFERROR(TRIM(INDEX('Verificação Peneiradores'!$AD$23:$AD$32,MATCH("*",'Verificação Peneiradores'!$AD$23:$AD$32,0))),"")</f>
        <v>D</v>
      </c>
      <c r="P511" t="str">
        <f>IF(COUNTIF('Verificação Peneiradores'!$L$26:$L$30,"SEM TAG")&gt;0,"Sem TAG de calibração; ","")&amp;IF('Verificação Peneiradores'!$L$26="NÃO OK","Condições das telas; ","")&amp;IF('Verificação Peneiradores'!$L$27="NÃO OK","Inclinação das telas; ","")&amp;IF('Verificação Peneiradores'!$L$28="NÃO OK","Vibração do peneirador; ","")&amp;IF('Verificação Peneiradores'!$L$29="NÃO OK","Travamento das peneiras; ","")&amp;IF('Verificação Peneiradores'!$L$30="NÃO OK","Calibração; ","")</f>
        <v/>
      </c>
      <c r="Q511" t="s">
        <v>882</v>
      </c>
    </row>
    <row r="512">
      <c r="A512" t="s">
        <v>816</v>
      </c>
      <c r="B512" t="s">
        <v>667</v>
      </c>
      <c r="C512" s="912">
        <f>IF(MAX('Verificação Peneiradores'!$AC$23:$AC$32)=0,"",MAX('Verificação Peneiradores'!$AC$23:$AC$32))</f>
        <v>46278</v>
      </c>
      <c r="D512" t="str">
        <f>IF('Verificação Peneiradores'!$M$24&amp;""="","Peneirador 09",TRIM('Verificação Peneiradores'!$M$24&amp;""))</f>
        <v>PN478</v>
      </c>
      <c r="E512" t="str">
        <f>"Malha "&amp;'Verificação Peneiradores'!$M$23&amp;" mm ("&amp;"Peneirador 09"&amp;")"</f>
        <v>Malha 19 mm (Peneirador 09)</v>
      </c>
      <c r="F512" t="s">
        <v>817</v>
      </c>
      <c r="G512">
        <f>IF(COUNTA('Verificação Peneiradores'!$M$26:$M$30)=0,"",COUNTIF('Verificação Peneiradores'!$M$26:$M$30,"OK"))</f>
        <v>5</v>
      </c>
      <c r="H512">
        <f>IF(COUNTA('Verificação Peneiradores'!$M$26:$M$30)=0,"",COUNTA('Verificação Peneiradores'!$M$26:$M$30))</f>
        <v>5</v>
      </c>
      <c r="M512" t="str">
        <f>IF(COUNTA('Verificação Peneiradores'!$M$26:$M$30)=0,"",IF(COUNTIF('Verificação Peneiradores'!$M$26:$M$30,"NÃO OK")&gt;0,"Não conforme","Conforme"))</f>
        <v>Conforme</v>
      </c>
      <c r="N512" t="str">
        <f>IFERROR(TRIM(INDEX('Verificação Peneiradores'!$AE$23:$AE$32,MATCH("*",'Verificação Peneiradores'!$AE$23:$AE$32,0))),"")</f>
        <v>EBERT</v>
      </c>
      <c r="O512" t="str">
        <f>IFERROR(TRIM(INDEX('Verificação Peneiradores'!$AD$23:$AD$32,MATCH("*",'Verificação Peneiradores'!$AD$23:$AD$32,0))),"")</f>
        <v>D</v>
      </c>
      <c r="P512" t="str">
        <f>IF(COUNTIF('Verificação Peneiradores'!$M$26:$M$30,"SEM TAG")&gt;0,"Sem TAG de calibração; ","")&amp;IF('Verificação Peneiradores'!$M$26="NÃO OK","Condições das telas; ","")&amp;IF('Verificação Peneiradores'!$M$27="NÃO OK","Inclinação das telas; ","")&amp;IF('Verificação Peneiradores'!$M$28="NÃO OK","Vibração do peneirador; ","")&amp;IF('Verificação Peneiradores'!$M$29="NÃO OK","Travamento das peneiras; ","")&amp;IF('Verificação Peneiradores'!$M$30="NÃO OK","Calibração; ","")</f>
        <v/>
      </c>
      <c r="Q512" t="s">
        <v>883</v>
      </c>
    </row>
    <row r="513">
      <c r="A513" t="s">
        <v>816</v>
      </c>
      <c r="B513" t="s">
        <v>667</v>
      </c>
      <c r="C513" s="912">
        <f>IF(MAX('Verificação Peneiradores'!$AC$23:$AC$32)=0,"",MAX('Verificação Peneiradores'!$AC$23:$AC$32))</f>
        <v>46278</v>
      </c>
      <c r="D513" t="str">
        <f>IF('Verificação Peneiradores'!$N$24&amp;""="","Peneirador 09",TRIM('Verificação Peneiradores'!$N$24&amp;""))</f>
        <v>PN516</v>
      </c>
      <c r="E513" t="str">
        <f>"Malha "&amp;'Verificação Peneiradores'!$N$23&amp;" mm ("&amp;"Peneirador 09"&amp;")"</f>
        <v>Malha 16 mm (Peneirador 09)</v>
      </c>
      <c r="F513" t="s">
        <v>817</v>
      </c>
      <c r="G513">
        <f>IF(COUNTA('Verificação Peneiradores'!$N$26:$N$30)=0,"",COUNTIF('Verificação Peneiradores'!$N$26:$N$30,"OK"))</f>
        <v>5</v>
      </c>
      <c r="H513">
        <f>IF(COUNTA('Verificação Peneiradores'!$N$26:$N$30)=0,"",COUNTA('Verificação Peneiradores'!$N$26:$N$30))</f>
        <v>5</v>
      </c>
      <c r="M513" t="str">
        <f>IF(COUNTA('Verificação Peneiradores'!$N$26:$N$30)=0,"",IF(COUNTIF('Verificação Peneiradores'!$N$26:$N$30,"NÃO OK")&gt;0,"Não conforme","Conforme"))</f>
        <v>Conforme</v>
      </c>
      <c r="N513" t="str">
        <f>IFERROR(TRIM(INDEX('Verificação Peneiradores'!$AE$23:$AE$32,MATCH("*",'Verificação Peneiradores'!$AE$23:$AE$32,0))),"")</f>
        <v>EBERT</v>
      </c>
      <c r="O513" t="str">
        <f>IFERROR(TRIM(INDEX('Verificação Peneiradores'!$AD$23:$AD$32,MATCH("*",'Verificação Peneiradores'!$AD$23:$AD$32,0))),"")</f>
        <v>D</v>
      </c>
      <c r="P513" t="str">
        <f>IF(COUNTIF('Verificação Peneiradores'!$N$26:$N$30,"SEM TAG")&gt;0,"Sem TAG de calibração; ","")&amp;IF('Verificação Peneiradores'!$N$26="NÃO OK","Condições das telas; ","")&amp;IF('Verificação Peneiradores'!$N$27="NÃO OK","Inclinação das telas; ","")&amp;IF('Verificação Peneiradores'!$N$28="NÃO OK","Vibração do peneirador; ","")&amp;IF('Verificação Peneiradores'!$N$29="NÃO OK","Travamento das peneiras; ","")&amp;IF('Verificação Peneiradores'!$N$30="NÃO OK","Calibração; ","")</f>
        <v/>
      </c>
      <c r="Q513" t="s">
        <v>884</v>
      </c>
    </row>
    <row r="514">
      <c r="A514" t="s">
        <v>816</v>
      </c>
      <c r="B514" t="s">
        <v>667</v>
      </c>
      <c r="C514" s="912">
        <f>IF(MAX('Verificação Peneiradores'!$AC$23:$AC$32)=0,"",MAX('Verificação Peneiradores'!$AC$23:$AC$32))</f>
        <v>46278</v>
      </c>
      <c r="D514" t="str">
        <f>IF('Verificação Peneiradores'!$O$24&amp;""="","Peneirador 09",TRIM('Verificação Peneiradores'!$O$24&amp;""))</f>
        <v>PN650</v>
      </c>
      <c r="E514" t="str">
        <f>"Malha "&amp;'Verificação Peneiradores'!$O$23&amp;" mm ("&amp;"Peneirador 09"&amp;")"</f>
        <v>Malha 14 mm (Peneirador 09)</v>
      </c>
      <c r="F514" t="s">
        <v>817</v>
      </c>
      <c r="G514">
        <f>IF(COUNTA('Verificação Peneiradores'!$O$26:$O$30)=0,"",COUNTIF('Verificação Peneiradores'!$O$26:$O$30,"OK"))</f>
        <v>4</v>
      </c>
      <c r="H514">
        <f>IF(COUNTA('Verificação Peneiradores'!$O$26:$O$30)=0,"",COUNTA('Verificação Peneiradores'!$O$26:$O$30))</f>
        <v>5</v>
      </c>
      <c r="M514" t="str">
        <f>IF(COUNTA('Verificação Peneiradores'!$O$26:$O$30)=0,"",IF(COUNTIF('Verificação Peneiradores'!$O$26:$O$30,"NÃO OK")&gt;0,"Não conforme","Conforme"))</f>
        <v>Conforme</v>
      </c>
      <c r="N514" t="str">
        <f>IFERROR(TRIM(INDEX('Verificação Peneiradores'!$AE$23:$AE$32,MATCH("*",'Verificação Peneiradores'!$AE$23:$AE$32,0))),"")</f>
        <v>EBERT</v>
      </c>
      <c r="O514" t="str">
        <f>IFERROR(TRIM(INDEX('Verificação Peneiradores'!$AD$23:$AD$32,MATCH("*",'Verificação Peneiradores'!$AD$23:$AD$32,0))),"")</f>
        <v>D</v>
      </c>
      <c r="P514" t="str">
        <f>IF(COUNTIF('Verificação Peneiradores'!$O$26:$O$30,"SEM TAG")&gt;0,"Sem TAG de calibração; ","")&amp;IF('Verificação Peneiradores'!$O$26="NÃO OK","Condições das telas; ","")&amp;IF('Verificação Peneiradores'!$O$27="NÃO OK","Inclinação das telas; ","")&amp;IF('Verificação Peneiradores'!$O$28="NÃO OK","Vibração do peneirador; ","")&amp;IF('Verificação Peneiradores'!$O$29="NÃO OK","Travamento das peneiras; ","")&amp;IF('Verificação Peneiradores'!$O$30="NÃO OK","Calibração; ","")</f>
        <v>Sem TAG de calibração; </v>
      </c>
      <c r="Q514" t="s">
        <v>885</v>
      </c>
    </row>
    <row r="515">
      <c r="A515" t="s">
        <v>816</v>
      </c>
      <c r="B515" t="s">
        <v>667</v>
      </c>
      <c r="C515" s="912">
        <f>IF(MAX('Verificação Peneiradores'!$AC$23:$AC$32)=0,"",MAX('Verificação Peneiradores'!$AC$23:$AC$32))</f>
        <v>46278</v>
      </c>
      <c r="D515" t="str">
        <f>IF('Verificação Peneiradores'!$P$24&amp;""="","Peneirador 09",TRIM('Verificação Peneiradores'!$P$24&amp;""))</f>
        <v>PN484</v>
      </c>
      <c r="E515" t="str">
        <f>"Malha "&amp;'Verificação Peneiradores'!$P$23&amp;" mm ("&amp;"Peneirador 09"&amp;")"</f>
        <v>Malha 12,5 mm (Peneirador 09)</v>
      </c>
      <c r="F515" t="s">
        <v>817</v>
      </c>
      <c r="G515">
        <f>IF(COUNTA('Verificação Peneiradores'!$P$26:$P$30)=0,"",COUNTIF('Verificação Peneiradores'!$P$26:$P$30,"OK"))</f>
        <v>5</v>
      </c>
      <c r="H515">
        <f>IF(COUNTA('Verificação Peneiradores'!$P$26:$P$30)=0,"",COUNTA('Verificação Peneiradores'!$P$26:$P$30))</f>
        <v>5</v>
      </c>
      <c r="M515" t="str">
        <f>IF(COUNTA('Verificação Peneiradores'!$P$26:$P$30)=0,"",IF(COUNTIF('Verificação Peneiradores'!$P$26:$P$30,"NÃO OK")&gt;0,"Não conforme","Conforme"))</f>
        <v>Conforme</v>
      </c>
      <c r="N515" t="str">
        <f>IFERROR(TRIM(INDEX('Verificação Peneiradores'!$AE$23:$AE$32,MATCH("*",'Verificação Peneiradores'!$AE$23:$AE$32,0))),"")</f>
        <v>EBERT</v>
      </c>
      <c r="O515" t="str">
        <f>IFERROR(TRIM(INDEX('Verificação Peneiradores'!$AD$23:$AD$32,MATCH("*",'Verificação Peneiradores'!$AD$23:$AD$32,0))),"")</f>
        <v>D</v>
      </c>
      <c r="P515" t="str">
        <f>IF(COUNTIF('Verificação Peneiradores'!$P$26:$P$30,"SEM TAG")&gt;0,"Sem TAG de calibração; ","")&amp;IF('Verificação Peneiradores'!$P$26="NÃO OK","Condições das telas; ","")&amp;IF('Verificação Peneiradores'!$P$27="NÃO OK","Inclinação das telas; ","")&amp;IF('Verificação Peneiradores'!$P$28="NÃO OK","Vibração do peneirador; ","")&amp;IF('Verificação Peneiradores'!$P$29="NÃO OK","Travamento das peneiras; ","")&amp;IF('Verificação Peneiradores'!$P$30="NÃO OK","Calibração; ","")</f>
        <v/>
      </c>
      <c r="Q515" t="s">
        <v>886</v>
      </c>
    </row>
    <row r="516">
      <c r="A516" t="s">
        <v>816</v>
      </c>
      <c r="B516" t="s">
        <v>667</v>
      </c>
      <c r="C516" s="912">
        <f>IF(MAX('Verificação Peneiradores'!$AC$23:$AC$32)=0,"",MAX('Verificação Peneiradores'!$AC$23:$AC$32))</f>
        <v>46278</v>
      </c>
      <c r="D516" t="str">
        <f>IF('Verificação Peneiradores'!$Q$24&amp;""="","Peneirador 09",TRIM('Verificação Peneiradores'!$Q$24&amp;""))</f>
        <v>PN558</v>
      </c>
      <c r="E516" t="str">
        <f>"Malha "&amp;'Verificação Peneiradores'!$Q$23&amp;" mm ("&amp;"Peneirador 09"&amp;")"</f>
        <v>Malha 9 mm (Peneirador 09)</v>
      </c>
      <c r="F516" t="s">
        <v>817</v>
      </c>
      <c r="G516">
        <f>IF(COUNTA('Verificação Peneiradores'!$Q$26:$Q$30)=0,"",COUNTIF('Verificação Peneiradores'!$Q$26:$Q$30,"OK"))</f>
        <v>5</v>
      </c>
      <c r="H516">
        <f>IF(COUNTA('Verificação Peneiradores'!$Q$26:$Q$30)=0,"",COUNTA('Verificação Peneiradores'!$Q$26:$Q$30))</f>
        <v>5</v>
      </c>
      <c r="M516" t="str">
        <f>IF(COUNTA('Verificação Peneiradores'!$Q$26:$Q$30)=0,"",IF(COUNTIF('Verificação Peneiradores'!$Q$26:$Q$30,"NÃO OK")&gt;0,"Não conforme","Conforme"))</f>
        <v>Conforme</v>
      </c>
      <c r="N516" t="str">
        <f>IFERROR(TRIM(INDEX('Verificação Peneiradores'!$AE$23:$AE$32,MATCH("*",'Verificação Peneiradores'!$AE$23:$AE$32,0))),"")</f>
        <v>EBERT</v>
      </c>
      <c r="O516" t="str">
        <f>IFERROR(TRIM(INDEX('Verificação Peneiradores'!$AD$23:$AD$32,MATCH("*",'Verificação Peneiradores'!$AD$23:$AD$32,0))),"")</f>
        <v>D</v>
      </c>
      <c r="P516" t="str">
        <f>IF(COUNTIF('Verificação Peneiradores'!$Q$26:$Q$30,"SEM TAG")&gt;0,"Sem TAG de calibração; ","")&amp;IF('Verificação Peneiradores'!$Q$26="NÃO OK","Condições das telas; ","")&amp;IF('Verificação Peneiradores'!$Q$27="NÃO OK","Inclinação das telas; ","")&amp;IF('Verificação Peneiradores'!$Q$28="NÃO OK","Vibração do peneirador; ","")&amp;IF('Verificação Peneiradores'!$Q$29="NÃO OK","Travamento das peneiras; ","")&amp;IF('Verificação Peneiradores'!$Q$30="NÃO OK","Calibração; ","")</f>
        <v/>
      </c>
      <c r="Q516" t="s">
        <v>887</v>
      </c>
    </row>
    <row r="517">
      <c r="A517" t="s">
        <v>816</v>
      </c>
      <c r="B517" t="s">
        <v>667</v>
      </c>
      <c r="C517" s="912">
        <f>IF(MAX('Verificação Peneiradores'!$AC$23:$AC$32)=0,"",MAX('Verificação Peneiradores'!$AC$23:$AC$32))</f>
        <v>46278</v>
      </c>
      <c r="D517" t="str">
        <f>IF('Verificação Peneiradores'!$R$24&amp;""="","Peneirador 09",TRIM('Verificação Peneiradores'!$R$24&amp;""))</f>
        <v>PN505</v>
      </c>
      <c r="E517" t="str">
        <f>"Malha "&amp;'Verificação Peneiradores'!$R$23&amp;" mm ("&amp;"Peneirador 09"&amp;")"</f>
        <v>Malha 8 mm (Peneirador 09)</v>
      </c>
      <c r="F517" t="s">
        <v>817</v>
      </c>
      <c r="G517">
        <f>IF(COUNTA('Verificação Peneiradores'!$R$26:$R$30)=0,"",COUNTIF('Verificação Peneiradores'!$R$26:$R$30,"OK"))</f>
        <v>5</v>
      </c>
      <c r="H517">
        <f>IF(COUNTA('Verificação Peneiradores'!$R$26:$R$30)=0,"",COUNTA('Verificação Peneiradores'!$R$26:$R$30))</f>
        <v>5</v>
      </c>
      <c r="M517" t="str">
        <f>IF(COUNTA('Verificação Peneiradores'!$R$26:$R$30)=0,"",IF(COUNTIF('Verificação Peneiradores'!$R$26:$R$30,"NÃO OK")&gt;0,"Não conforme","Conforme"))</f>
        <v>Conforme</v>
      </c>
      <c r="N517" t="str">
        <f>IFERROR(TRIM(INDEX('Verificação Peneiradores'!$AE$23:$AE$32,MATCH("*",'Verificação Peneiradores'!$AE$23:$AE$32,0))),"")</f>
        <v>EBERT</v>
      </c>
      <c r="O517" t="str">
        <f>IFERROR(TRIM(INDEX('Verificação Peneiradores'!$AD$23:$AD$32,MATCH("*",'Verificação Peneiradores'!$AD$23:$AD$32,0))),"")</f>
        <v>D</v>
      </c>
      <c r="P517" t="str">
        <f>IF(COUNTIF('Verificação Peneiradores'!$R$26:$R$30,"SEM TAG")&gt;0,"Sem TAG de calibração; ","")&amp;IF('Verificação Peneiradores'!$R$26="NÃO OK","Condições das telas; ","")&amp;IF('Verificação Peneiradores'!$R$27="NÃO OK","Inclinação das telas; ","")&amp;IF('Verificação Peneiradores'!$R$28="NÃO OK","Vibração do peneirador; ","")&amp;IF('Verificação Peneiradores'!$R$29="NÃO OK","Travamento das peneiras; ","")&amp;IF('Verificação Peneiradores'!$R$30="NÃO OK","Calibração; ","")</f>
        <v/>
      </c>
      <c r="Q517" t="s">
        <v>888</v>
      </c>
    </row>
    <row r="518">
      <c r="A518" t="s">
        <v>816</v>
      </c>
      <c r="B518" t="s">
        <v>667</v>
      </c>
      <c r="C518" s="912">
        <f>IF(MAX('Verificação Peneiradores'!$AC$23:$AC$32)=0,"",MAX('Verificação Peneiradores'!$AC$23:$AC$32))</f>
        <v>46278</v>
      </c>
      <c r="D518" t="str">
        <f>IF('Verificação Peneiradores'!$S$24&amp;""="","Peneirador 09",TRIM('Verificação Peneiradores'!$S$24&amp;""))</f>
        <v>PN631</v>
      </c>
      <c r="E518" t="str">
        <f>"Malha "&amp;'Verificação Peneiradores'!$S$23&amp;" mm ("&amp;"Peneirador 09"&amp;")"</f>
        <v>Malha 6,3 mm (Peneirador 09)</v>
      </c>
      <c r="F518" t="s">
        <v>817</v>
      </c>
      <c r="G518">
        <f>IF(COUNTA('Verificação Peneiradores'!$S$26:$S$30)=0,"",COUNTIF('Verificação Peneiradores'!$S$26:$S$30,"OK"))</f>
        <v>4</v>
      </c>
      <c r="H518">
        <f>IF(COUNTA('Verificação Peneiradores'!$S$26:$S$30)=0,"",COUNTA('Verificação Peneiradores'!$S$26:$S$30))</f>
        <v>5</v>
      </c>
      <c r="M518" t="str">
        <f>IF(COUNTA('Verificação Peneiradores'!$S$26:$S$30)=0,"",IF(COUNTIF('Verificação Peneiradores'!$S$26:$S$30,"NÃO OK")&gt;0,"Não conforme","Conforme"))</f>
        <v>Conforme</v>
      </c>
      <c r="N518" t="str">
        <f>IFERROR(TRIM(INDEX('Verificação Peneiradores'!$AE$23:$AE$32,MATCH("*",'Verificação Peneiradores'!$AE$23:$AE$32,0))),"")</f>
        <v>EBERT</v>
      </c>
      <c r="O518" t="str">
        <f>IFERROR(TRIM(INDEX('Verificação Peneiradores'!$AD$23:$AD$32,MATCH("*",'Verificação Peneiradores'!$AD$23:$AD$32,0))),"")</f>
        <v>D</v>
      </c>
      <c r="P518" t="str">
        <f>IF(COUNTIF('Verificação Peneiradores'!$S$26:$S$30,"SEM TAG")&gt;0,"Sem TAG de calibração; ","")&amp;IF('Verificação Peneiradores'!$S$26="NÃO OK","Condições das telas; ","")&amp;IF('Verificação Peneiradores'!$S$27="NÃO OK","Inclinação das telas; ","")&amp;IF('Verificação Peneiradores'!$S$28="NÃO OK","Vibração do peneirador; ","")&amp;IF('Verificação Peneiradores'!$S$29="NÃO OK","Travamento das peneiras; ","")&amp;IF('Verificação Peneiradores'!$S$30="NÃO OK","Calibração; ","")</f>
        <v>Sem TAG de calibração; </v>
      </c>
      <c r="Q518" t="s">
        <v>889</v>
      </c>
    </row>
    <row r="519">
      <c r="A519" t="s">
        <v>816</v>
      </c>
      <c r="B519" t="s">
        <v>667</v>
      </c>
      <c r="C519" s="912">
        <f>IF(MAX('Verificação Peneiradores'!$AC$23:$AC$32)=0,"",MAX('Verificação Peneiradores'!$AC$23:$AC$32))</f>
        <v>46278</v>
      </c>
      <c r="D519" t="str">
        <f>IF('Verificação Peneiradores'!$T$24&amp;""="","Peneirador 05",TRIM('Verificação Peneiradores'!$T$24&amp;""))</f>
        <v>PN398</v>
      </c>
      <c r="E519" t="str">
        <f>"Malha "&amp;'Verificação Peneiradores'!$T$23&amp;" mm ("&amp;"Peneirador 05"&amp;")"</f>
        <v>Malha 19 mm (Peneirador 05)</v>
      </c>
      <c r="F519" t="s">
        <v>817</v>
      </c>
      <c r="G519">
        <f>IF(COUNTA('Verificação Peneiradores'!$T$26:$T$30)=0,"",COUNTIF('Verificação Peneiradores'!$T$26:$T$30,"OK"))</f>
        <v>4</v>
      </c>
      <c r="H519">
        <f>IF(COUNTA('Verificação Peneiradores'!$T$26:$T$30)=0,"",COUNTA('Verificação Peneiradores'!$T$26:$T$30))</f>
        <v>5</v>
      </c>
      <c r="M519" t="str">
        <f>IF(COUNTA('Verificação Peneiradores'!$T$26:$T$30)=0,"",IF(COUNTIF('Verificação Peneiradores'!$T$26:$T$30,"NÃO OK")&gt;0,"Não conforme","Conforme"))</f>
        <v>Conforme</v>
      </c>
      <c r="N519" t="str">
        <f>IFERROR(TRIM(INDEX('Verificação Peneiradores'!$AE$23:$AE$32,MATCH("*",'Verificação Peneiradores'!$AE$23:$AE$32,0))),"")</f>
        <v>EBERT</v>
      </c>
      <c r="O519" t="str">
        <f>IFERROR(TRIM(INDEX('Verificação Peneiradores'!$AD$23:$AD$32,MATCH("*",'Verificação Peneiradores'!$AD$23:$AD$32,0))),"")</f>
        <v>D</v>
      </c>
      <c r="P519" t="str">
        <f>IF(COUNTIF('Verificação Peneiradores'!$T$26:$T$30,"SEM TAG")&gt;0,"Sem TAG de calibração; ","")&amp;IF('Verificação Peneiradores'!$T$26="NÃO OK","Condições das telas; ","")&amp;IF('Verificação Peneiradores'!$T$27="NÃO OK","Inclinação das telas; ","")&amp;IF('Verificação Peneiradores'!$T$28="NÃO OK","Vibração do peneirador; ","")&amp;IF('Verificação Peneiradores'!$T$29="NÃO OK","Travamento das peneiras; ","")&amp;IF('Verificação Peneiradores'!$T$30="NÃO OK","Calibração; ","")</f>
        <v>Sem TAG de calibração; </v>
      </c>
      <c r="Q519" t="s">
        <v>890</v>
      </c>
    </row>
    <row r="520">
      <c r="A520" t="s">
        <v>816</v>
      </c>
      <c r="B520" t="s">
        <v>667</v>
      </c>
      <c r="C520" s="912">
        <f>IF(MAX('Verificação Peneiradores'!$AC$23:$AC$32)=0,"",MAX('Verificação Peneiradores'!$AC$23:$AC$32))</f>
        <v>46278</v>
      </c>
      <c r="D520" t="str">
        <f>IF('Verificação Peneiradores'!$U$24&amp;""="","Peneirador 05",TRIM('Verificação Peneiradores'!$U$24&amp;""))</f>
        <v>PN664</v>
      </c>
      <c r="E520" t="str">
        <f>"Malha "&amp;'Verificação Peneiradores'!$U$23&amp;" mm ("&amp;"Peneirador 05"&amp;")"</f>
        <v>Malha 16 mm (Peneirador 05)</v>
      </c>
      <c r="F520" t="s">
        <v>817</v>
      </c>
      <c r="G520">
        <f>IF(COUNTA('Verificação Peneiradores'!$U$26:$U$30)=0,"",COUNTIF('Verificação Peneiradores'!$U$26:$U$30,"OK"))</f>
        <v>5</v>
      </c>
      <c r="H520">
        <f>IF(COUNTA('Verificação Peneiradores'!$U$26:$U$30)=0,"",COUNTA('Verificação Peneiradores'!$U$26:$U$30))</f>
        <v>5</v>
      </c>
      <c r="M520" t="str">
        <f>IF(COUNTA('Verificação Peneiradores'!$U$26:$U$30)=0,"",IF(COUNTIF('Verificação Peneiradores'!$U$26:$U$30,"NÃO OK")&gt;0,"Não conforme","Conforme"))</f>
        <v>Conforme</v>
      </c>
      <c r="N520" t="str">
        <f>IFERROR(TRIM(INDEX('Verificação Peneiradores'!$AE$23:$AE$32,MATCH("*",'Verificação Peneiradores'!$AE$23:$AE$32,0))),"")</f>
        <v>EBERT</v>
      </c>
      <c r="O520" t="str">
        <f>IFERROR(TRIM(INDEX('Verificação Peneiradores'!$AD$23:$AD$32,MATCH("*",'Verificação Peneiradores'!$AD$23:$AD$32,0))),"")</f>
        <v>D</v>
      </c>
      <c r="P520" t="str">
        <f>IF(COUNTIF('Verificação Peneiradores'!$U$26:$U$30,"SEM TAG")&gt;0,"Sem TAG de calibração; ","")&amp;IF('Verificação Peneiradores'!$U$26="NÃO OK","Condições das telas; ","")&amp;IF('Verificação Peneiradores'!$U$27="NÃO OK","Inclinação das telas; ","")&amp;IF('Verificação Peneiradores'!$U$28="NÃO OK","Vibração do peneirador; ","")&amp;IF('Verificação Peneiradores'!$U$29="NÃO OK","Travamento das peneiras; ","")&amp;IF('Verificação Peneiradores'!$U$30="NÃO OK","Calibração; ","")</f>
        <v/>
      </c>
      <c r="Q520" t="s">
        <v>891</v>
      </c>
    </row>
    <row r="521">
      <c r="A521" t="s">
        <v>816</v>
      </c>
      <c r="B521" t="s">
        <v>667</v>
      </c>
      <c r="C521" s="912">
        <f>IF(MAX('Verificação Peneiradores'!$AC$23:$AC$32)=0,"",MAX('Verificação Peneiradores'!$AC$23:$AC$32))</f>
        <v>46278</v>
      </c>
      <c r="D521" t="str">
        <f>IF('Verificação Peneiradores'!$V$24&amp;""="","Peneirador 05",TRIM('Verificação Peneiradores'!$V$24&amp;""))</f>
        <v>PN665</v>
      </c>
      <c r="E521" t="str">
        <f>"Malha "&amp;'Verificação Peneiradores'!$V$23&amp;" mm ("&amp;"Peneirador 05"&amp;")"</f>
        <v>Malha 14 mm (Peneirador 05)</v>
      </c>
      <c r="F521" t="s">
        <v>817</v>
      </c>
      <c r="G521" t="str">
        <f>IF(COUNTA('Verificação Peneiradores'!$V$26:$V$30)=0,"",COUNTIF('Verificação Peneiradores'!$V$26:$V$30,"OK"))</f>
        <v/>
      </c>
      <c r="H521" t="str">
        <f>IF(COUNTA('Verificação Peneiradores'!$V$26:$V$30)=0,"",COUNTA('Verificação Peneiradores'!$V$26:$V$30))</f>
        <v/>
      </c>
      <c r="M521" t="str">
        <f>IF(COUNTA('Verificação Peneiradores'!$V$26:$V$30)=0,"",IF(COUNTIF('Verificação Peneiradores'!$V$26:$V$30,"NÃO OK")&gt;0,"Não conforme","Conforme"))</f>
        <v/>
      </c>
      <c r="N521" t="str">
        <f>IFERROR(TRIM(INDEX('Verificação Peneiradores'!$AE$23:$AE$32,MATCH("*",'Verificação Peneiradores'!$AE$23:$AE$32,0))),"")</f>
        <v>EBERT</v>
      </c>
      <c r="O521" t="str">
        <f>IFERROR(TRIM(INDEX('Verificação Peneiradores'!$AD$23:$AD$32,MATCH("*",'Verificação Peneiradores'!$AD$23:$AD$32,0))),"")</f>
        <v>D</v>
      </c>
      <c r="P521" t="str">
        <f>IF(COUNTIF('Verificação Peneiradores'!$V$26:$V$30,"SEM TAG")&gt;0,"Sem TAG de calibração; ","")&amp;IF('Verificação Peneiradores'!$V$26="NÃO OK","Condições das telas; ","")&amp;IF('Verificação Peneiradores'!$V$27="NÃO OK","Inclinação das telas; ","")&amp;IF('Verificação Peneiradores'!$V$28="NÃO OK","Vibração do peneirador; ","")&amp;IF('Verificação Peneiradores'!$V$29="NÃO OK","Travamento das peneiras; ","")&amp;IF('Verificação Peneiradores'!$V$30="NÃO OK","Calibração; ","")</f>
        <v/>
      </c>
      <c r="Q521" t="s">
        <v>892</v>
      </c>
    </row>
    <row r="522">
      <c r="A522" t="s">
        <v>816</v>
      </c>
      <c r="B522" t="s">
        <v>667</v>
      </c>
      <c r="C522" s="912">
        <f>IF(MAX('Verificação Peneiradores'!$AC$23:$AC$32)=0,"",MAX('Verificação Peneiradores'!$AC$23:$AC$32))</f>
        <v>46278</v>
      </c>
      <c r="D522" t="str">
        <f>IF('Verificação Peneiradores'!$W$24&amp;""="","Peneirador 05",TRIM('Verificação Peneiradores'!$W$24&amp;""))</f>
        <v>PN666</v>
      </c>
      <c r="E522" t="str">
        <f>"Malha "&amp;'Verificação Peneiradores'!$W$23&amp;" mm ("&amp;"Peneirador 05"&amp;")"</f>
        <v>Malha 12,5 mm (Peneirador 05)</v>
      </c>
      <c r="F522" t="s">
        <v>817</v>
      </c>
      <c r="G522" t="str">
        <f>IF(COUNTA('Verificação Peneiradores'!$W$26:$W$30)=0,"",COUNTIF('Verificação Peneiradores'!$W$26:$W$30,"OK"))</f>
        <v/>
      </c>
      <c r="H522" t="str">
        <f>IF(COUNTA('Verificação Peneiradores'!$W$26:$W$30)=0,"",COUNTA('Verificação Peneiradores'!$W$26:$W$30))</f>
        <v/>
      </c>
      <c r="M522" t="str">
        <f>IF(COUNTA('Verificação Peneiradores'!$W$26:$W$30)=0,"",IF(COUNTIF('Verificação Peneiradores'!$W$26:$W$30,"NÃO OK")&gt;0,"Não conforme","Conforme"))</f>
        <v/>
      </c>
      <c r="N522" t="str">
        <f>IFERROR(TRIM(INDEX('Verificação Peneiradores'!$AE$23:$AE$32,MATCH("*",'Verificação Peneiradores'!$AE$23:$AE$32,0))),"")</f>
        <v>EBERT</v>
      </c>
      <c r="O522" t="str">
        <f>IFERROR(TRIM(INDEX('Verificação Peneiradores'!$AD$23:$AD$32,MATCH("*",'Verificação Peneiradores'!$AD$23:$AD$32,0))),"")</f>
        <v>D</v>
      </c>
      <c r="P522" t="str">
        <f>IF(COUNTIF('Verificação Peneiradores'!$W$26:$W$30,"SEM TAG")&gt;0,"Sem TAG de calibração; ","")&amp;IF('Verificação Peneiradores'!$W$26="NÃO OK","Condições das telas; ","")&amp;IF('Verificação Peneiradores'!$W$27="NÃO OK","Inclinação das telas; ","")&amp;IF('Verificação Peneiradores'!$W$28="NÃO OK","Vibração do peneirador; ","")&amp;IF('Verificação Peneiradores'!$W$29="NÃO OK","Travamento das peneiras; ","")&amp;IF('Verificação Peneiradores'!$W$30="NÃO OK","Calibração; ","")</f>
        <v/>
      </c>
      <c r="Q522" t="s">
        <v>893</v>
      </c>
    </row>
    <row r="523">
      <c r="A523" t="s">
        <v>816</v>
      </c>
      <c r="B523" t="s">
        <v>667</v>
      </c>
      <c r="C523" s="912">
        <f>IF(MAX('Verificação Peneiradores'!$AC$23:$AC$32)=0,"",MAX('Verificação Peneiradores'!$AC$23:$AC$32))</f>
        <v>46278</v>
      </c>
      <c r="D523" t="str">
        <f>IF('Verificação Peneiradores'!$X$24&amp;""="","Peneirador 05",TRIM('Verificação Peneiradores'!$X$24&amp;""))</f>
        <v>PN646</v>
      </c>
      <c r="E523" t="str">
        <f>"Malha "&amp;'Verificação Peneiradores'!$X$23&amp;" mm ("&amp;"Peneirador 05"&amp;")"</f>
        <v>Malha 9 mm (Peneirador 05)</v>
      </c>
      <c r="F523" t="s">
        <v>817</v>
      </c>
      <c r="G523">
        <f>IF(COUNTA('Verificação Peneiradores'!$X$26:$X$30)=0,"",COUNTIF('Verificação Peneiradores'!$X$26:$X$30,"OK"))</f>
        <v>4</v>
      </c>
      <c r="H523">
        <f>IF(COUNTA('Verificação Peneiradores'!$X$26:$X$30)=0,"",COUNTA('Verificação Peneiradores'!$X$26:$X$30))</f>
        <v>5</v>
      </c>
      <c r="M523" t="str">
        <f>IF(COUNTA('Verificação Peneiradores'!$X$26:$X$30)=0,"",IF(COUNTIF('Verificação Peneiradores'!$X$26:$X$30,"NÃO OK")&gt;0,"Não conforme","Conforme"))</f>
        <v>Não conforme</v>
      </c>
      <c r="N523" t="str">
        <f>IFERROR(TRIM(INDEX('Verificação Peneiradores'!$AE$23:$AE$32,MATCH("*",'Verificação Peneiradores'!$AE$23:$AE$32,0))),"")</f>
        <v>EBERT</v>
      </c>
      <c r="O523" t="str">
        <f>IFERROR(TRIM(INDEX('Verificação Peneiradores'!$AD$23:$AD$32,MATCH("*",'Verificação Peneiradores'!$AD$23:$AD$32,0))),"")</f>
        <v>D</v>
      </c>
      <c r="P523" t="str">
        <f>IF(COUNTIF('Verificação Peneiradores'!$X$26:$X$30,"SEM TAG")&gt;0,"Sem TAG de calibração; ","")&amp;IF('Verificação Peneiradores'!$X$26="NÃO OK","Condições das telas; ","")&amp;IF('Verificação Peneiradores'!$X$27="NÃO OK","Inclinação das telas; ","")&amp;IF('Verificação Peneiradores'!$X$28="NÃO OK","Vibração do peneirador; ","")&amp;IF('Verificação Peneiradores'!$X$29="NÃO OK","Travamento das peneiras; ","")&amp;IF('Verificação Peneiradores'!$X$30="NÃO OK","Calibração; ","")</f>
        <v>Calibração; </v>
      </c>
      <c r="Q523" t="s">
        <v>894</v>
      </c>
    </row>
    <row r="524">
      <c r="A524" t="s">
        <v>816</v>
      </c>
      <c r="B524" t="s">
        <v>667</v>
      </c>
      <c r="C524" s="912">
        <f>IF(MAX('Verificação Peneiradores'!$AC$23:$AC$32)=0,"",MAX('Verificação Peneiradores'!$AC$23:$AC$32))</f>
        <v>46278</v>
      </c>
      <c r="D524" t="str">
        <f>IF('Verificação Peneiradores'!$Y$24&amp;""="","Peneirador 05",TRIM('Verificação Peneiradores'!$Y$24&amp;""))</f>
        <v>PN647</v>
      </c>
      <c r="E524" t="str">
        <f>"Malha "&amp;'Verificação Peneiradores'!$Y$23&amp;" mm ("&amp;"Peneirador 05"&amp;")"</f>
        <v>Malha 8 mm (Peneirador 05)</v>
      </c>
      <c r="F524" t="s">
        <v>817</v>
      </c>
      <c r="G524" t="str">
        <f>IF(COUNTA('Verificação Peneiradores'!$Y$26:$Y$30)=0,"",COUNTIF('Verificação Peneiradores'!$Y$26:$Y$30,"OK"))</f>
        <v/>
      </c>
      <c r="H524" t="str">
        <f>IF(COUNTA('Verificação Peneiradores'!$Y$26:$Y$30)=0,"",COUNTA('Verificação Peneiradores'!$Y$26:$Y$30))</f>
        <v/>
      </c>
      <c r="M524" t="str">
        <f>IF(COUNTA('Verificação Peneiradores'!$Y$26:$Y$30)=0,"",IF(COUNTIF('Verificação Peneiradores'!$Y$26:$Y$30,"NÃO OK")&gt;0,"Não conforme","Conforme"))</f>
        <v/>
      </c>
      <c r="N524" t="str">
        <f>IFERROR(TRIM(INDEX('Verificação Peneiradores'!$AE$23:$AE$32,MATCH("*",'Verificação Peneiradores'!$AE$23:$AE$32,0))),"")</f>
        <v>EBERT</v>
      </c>
      <c r="O524" t="str">
        <f>IFERROR(TRIM(INDEX('Verificação Peneiradores'!$AD$23:$AD$32,MATCH("*",'Verificação Peneiradores'!$AD$23:$AD$32,0))),"")</f>
        <v>D</v>
      </c>
      <c r="P524" t="str">
        <f>IF(COUNTIF('Verificação Peneiradores'!$Y$26:$Y$30,"SEM TAG")&gt;0,"Sem TAG de calibração; ","")&amp;IF('Verificação Peneiradores'!$Y$26="NÃO OK","Condições das telas; ","")&amp;IF('Verificação Peneiradores'!$Y$27="NÃO OK","Inclinação das telas; ","")&amp;IF('Verificação Peneiradores'!$Y$28="NÃO OK","Vibração do peneirador; ","")&amp;IF('Verificação Peneiradores'!$Y$29="NÃO OK","Travamento das peneiras; ","")&amp;IF('Verificação Peneiradores'!$Y$30="NÃO OK","Calibração; ","")</f>
        <v/>
      </c>
      <c r="Q524" t="s">
        <v>895</v>
      </c>
    </row>
    <row r="525">
      <c r="A525" t="s">
        <v>816</v>
      </c>
      <c r="B525" t="s">
        <v>667</v>
      </c>
      <c r="C525" s="912">
        <f>IF(MAX('Verificação Peneiradores'!$AC$23:$AC$32)=0,"",MAX('Verificação Peneiradores'!$AC$23:$AC$32))</f>
        <v>46278</v>
      </c>
      <c r="D525" t="str">
        <f>IF('Verificação Peneiradores'!$Z$24&amp;""="","Peneirador 05",TRIM('Verificação Peneiradores'!$Z$24&amp;""))</f>
        <v>PN648</v>
      </c>
      <c r="E525" t="str">
        <f>"Malha "&amp;'Verificação Peneiradores'!$Z$23&amp;" mm ("&amp;"Peneirador 05"&amp;")"</f>
        <v>Malha 6,3 mm (Peneirador 05)</v>
      </c>
      <c r="F525" t="s">
        <v>817</v>
      </c>
      <c r="G525">
        <f>IF(COUNTA('Verificação Peneiradores'!$Z$26:$Z$30)=0,"",COUNTIF('Verificação Peneiradores'!$Z$26:$Z$30,"OK"))</f>
        <v>0</v>
      </c>
      <c r="H525">
        <f>IF(COUNTA('Verificação Peneiradores'!$Z$26:$Z$30)=0,"",COUNTA('Verificação Peneiradores'!$Z$26:$Z$30))</f>
        <v>1</v>
      </c>
      <c r="M525" t="str">
        <f>IF(COUNTA('Verificação Peneiradores'!$Z$26:$Z$30)=0,"",IF(COUNTIF('Verificação Peneiradores'!$Z$26:$Z$30,"NÃO OK")&gt;0,"Não conforme","Conforme"))</f>
        <v>Conforme</v>
      </c>
      <c r="N525" t="str">
        <f>IFERROR(TRIM(INDEX('Verificação Peneiradores'!$AE$23:$AE$32,MATCH("*",'Verificação Peneiradores'!$AE$23:$AE$32,0))),"")</f>
        <v>EBERT</v>
      </c>
      <c r="O525" t="str">
        <f>IFERROR(TRIM(INDEX('Verificação Peneiradores'!$AD$23:$AD$32,MATCH("*",'Verificação Peneiradores'!$AD$23:$AD$32,0))),"")</f>
        <v>D</v>
      </c>
      <c r="P525" t="str">
        <f>IF(COUNTIF('Verificação Peneiradores'!$Z$26:$Z$30,"SEM TAG")&gt;0,"Sem TAG de calibração; ","")&amp;IF('Verificação Peneiradores'!$Z$26="NÃO OK","Condições das telas; ","")&amp;IF('Verificação Peneiradores'!$Z$27="NÃO OK","Inclinação das telas; ","")&amp;IF('Verificação Peneiradores'!$Z$28="NÃO OK","Vibração do peneirador; ","")&amp;IF('Verificação Peneiradores'!$Z$29="NÃO OK","Travamento das peneiras; ","")&amp;IF('Verificação Peneiradores'!$Z$30="NÃO OK","Calibração; ","")</f>
        <v>Sem TAG de calibração; </v>
      </c>
      <c r="Q525" t="s">
        <v>896</v>
      </c>
    </row>
    <row r="526">
      <c r="A526" t="s">
        <v>816</v>
      </c>
      <c r="B526" t="s">
        <v>667</v>
      </c>
      <c r="C526" s="912">
        <f>IF(MAX('Verificação Peneiradores'!$AC$23:$AC$32)=0,"",MAX('Verificação Peneiradores'!$AC$23:$AC$32))</f>
        <v>46278</v>
      </c>
      <c r="D526" t="str">
        <f>IF('Verificação Peneiradores'!$AA$24&amp;""="","Peneirador 06",TRIM('Verificação Peneiradores'!$AA$24&amp;""))</f>
        <v>PN649</v>
      </c>
      <c r="E526" t="str">
        <f>"Malha "&amp;'Verificação Peneiradores'!$AA$23&amp;" mm ("&amp;"Peneirador 06"&amp;")"</f>
        <v>Malha 6,3 mm (Peneirador 06)</v>
      </c>
      <c r="F526" t="s">
        <v>817</v>
      </c>
      <c r="G526">
        <f>IF(COUNTA('Verificação Peneiradores'!$AA$26:$AA$30)=0,"",COUNTIF('Verificação Peneiradores'!$AA$26:$AA$30,"OK"))</f>
        <v>4</v>
      </c>
      <c r="H526">
        <f>IF(COUNTA('Verificação Peneiradores'!$AA$26:$AA$30)=0,"",COUNTA('Verificação Peneiradores'!$AA$26:$AA$30))</f>
        <v>5</v>
      </c>
      <c r="M526" t="str">
        <f>IF(COUNTA('Verificação Peneiradores'!$AA$26:$AA$30)=0,"",IF(COUNTIF('Verificação Peneiradores'!$AA$26:$AA$30,"NÃO OK")&gt;0,"Não conforme","Conforme"))</f>
        <v>Não conforme</v>
      </c>
      <c r="N526" t="str">
        <f>IFERROR(TRIM(INDEX('Verificação Peneiradores'!$AE$23:$AE$32,MATCH("*",'Verificação Peneiradores'!$AE$23:$AE$32,0))),"")</f>
        <v>EBERT</v>
      </c>
      <c r="O526" t="str">
        <f>IFERROR(TRIM(INDEX('Verificação Peneiradores'!$AD$23:$AD$32,MATCH("*",'Verificação Peneiradores'!$AD$23:$AD$32,0))),"")</f>
        <v>D</v>
      </c>
      <c r="P526" t="str">
        <f>IF(COUNTIF('Verificação Peneiradores'!$AA$26:$AA$30,"SEM TAG")&gt;0,"Sem TAG de calibração; ","")&amp;IF('Verificação Peneiradores'!$AA$26="NÃO OK","Condições das telas; ","")&amp;IF('Verificação Peneiradores'!$AA$27="NÃO OK","Inclinação das telas; ","")&amp;IF('Verificação Peneiradores'!$AA$28="NÃO OK","Vibração do peneirador; ","")&amp;IF('Verificação Peneiradores'!$AA$29="NÃO OK","Travamento das peneiras; ","")&amp;IF('Verificação Peneiradores'!$AA$30="NÃO OK","Calibração; ","")</f>
        <v>Calibração; </v>
      </c>
      <c r="Q526" t="s">
        <v>897</v>
      </c>
    </row>
    <row r="527">
      <c r="A527" t="s">
        <v>816</v>
      </c>
      <c r="B527" t="s">
        <v>667</v>
      </c>
      <c r="C527" s="912">
        <f>IF(MAX('Verificação Peneiradores'!$AC$23:$AC$32)=0,"",MAX('Verificação Peneiradores'!$AC$23:$AC$32))</f>
        <v>46278</v>
      </c>
      <c r="D527" t="str">
        <f>IF('Verificação Peneiradores'!$AB$24&amp;""="","Peneirador 06",TRIM('Verificação Peneiradores'!$AB$24&amp;""))</f>
        <v>N/CONT</v>
      </c>
      <c r="E527" t="str">
        <f>"Malha "&amp;'Verificação Peneiradores'!$AB$23&amp;" mm ("&amp;"Peneirador 06"&amp;")"</f>
        <v>Malha 10 mm (Peneirador 06)</v>
      </c>
      <c r="F527" t="s">
        <v>817</v>
      </c>
      <c r="G527">
        <f>IF(COUNTA('Verificação Peneiradores'!$AB$26:$AB$30)=0,"",COUNTIF('Verificação Peneiradores'!$AB$26:$AB$30,"OK"))</f>
        <v>5</v>
      </c>
      <c r="H527">
        <f>IF(COUNTA('Verificação Peneiradores'!$AB$26:$AB$30)=0,"",COUNTA('Verificação Peneiradores'!$AB$26:$AB$30))</f>
        <v>5</v>
      </c>
      <c r="M527" t="str">
        <f>IF(COUNTA('Verificação Peneiradores'!$AB$26:$AB$30)=0,"",IF(COUNTIF('Verificação Peneiradores'!$AB$26:$AB$30,"NÃO OK")&gt;0,"Não conforme","Conforme"))</f>
        <v>Conforme</v>
      </c>
      <c r="N527" t="str">
        <f>IFERROR(TRIM(INDEX('Verificação Peneiradores'!$AE$23:$AE$32,MATCH("*",'Verificação Peneiradores'!$AE$23:$AE$32,0))),"")</f>
        <v>EBERT</v>
      </c>
      <c r="O527" t="str">
        <f>IFERROR(TRIM(INDEX('Verificação Peneiradores'!$AD$23:$AD$32,MATCH("*",'Verificação Peneiradores'!$AD$23:$AD$32,0))),"")</f>
        <v>D</v>
      </c>
      <c r="P527" t="str">
        <f>IF(COUNTIF('Verificação Peneiradores'!$AB$26:$AB$30,"SEM TAG")&gt;0,"Sem TAG de calibração; ","")&amp;IF('Verificação Peneiradores'!$AB$26="NÃO OK","Condições das telas; ","")&amp;IF('Verificação Peneiradores'!$AB$27="NÃO OK","Inclinação das telas; ","")&amp;IF('Verificação Peneiradores'!$AB$28="NÃO OK","Vibração do peneirador; ","")&amp;IF('Verificação Peneiradores'!$AB$29="NÃO OK","Travamento das peneiras; ","")&amp;IF('Verificação Peneiradores'!$AB$30="NÃO OK","Calibração; ","")</f>
        <v/>
      </c>
      <c r="Q527" t="s">
        <v>898</v>
      </c>
    </row>
    <row r="528">
      <c r="A528" t="s">
        <v>816</v>
      </c>
      <c r="B528" t="s">
        <v>667</v>
      </c>
      <c r="C528" s="912">
        <f>IF(MAX('Verificação Peneiradores'!$AC$33:$AC$42)=0,"",MAX('Verificação Peneiradores'!$AC$33:$AC$42))</f>
        <v>46280</v>
      </c>
      <c r="D528" t="str">
        <f>IF('Verificação Peneiradores'!$B$34&amp;""="","Circulares",TRIM('Verificação Peneiradores'!$B$34&amp;""))</f>
        <v>PN0423</v>
      </c>
      <c r="E528" t="str">
        <f>"Malha "&amp;'Verificação Peneiradores'!$B$33&amp;" mm ("&amp;"Circulares"&amp;")"</f>
        <v>Malha 19 mm (Circulares)</v>
      </c>
      <c r="F528" t="s">
        <v>817</v>
      </c>
      <c r="G528">
        <f>IF(COUNTA('Verificação Peneiradores'!$B$36:$B$40)=0,"",COUNTIF('Verificação Peneiradores'!$B$36:$B$40,"OK"))</f>
        <v>5</v>
      </c>
      <c r="H528">
        <f>IF(COUNTA('Verificação Peneiradores'!$B$36:$B$40)=0,"",COUNTA('Verificação Peneiradores'!$B$36:$B$40))</f>
        <v>5</v>
      </c>
      <c r="M528" t="str">
        <f>IF(COUNTA('Verificação Peneiradores'!$B$36:$B$40)=0,"",IF(COUNTIF('Verificação Peneiradores'!$B$36:$B$40,"NÃO OK")&gt;0,"Não conforme","Conforme"))</f>
        <v>Conforme</v>
      </c>
      <c r="N528" t="str">
        <f>IFERROR(TRIM(INDEX('Verificação Peneiradores'!$AE$33:$AE$42,MATCH("*",'Verificação Peneiradores'!$AE$33:$AE$42,0))),"")</f>
        <v>FELIPE</v>
      </c>
      <c r="O528" t="str">
        <f>IFERROR(TRIM(INDEX('Verificação Peneiradores'!$AD$33:$AD$42,MATCH("*",'Verificação Peneiradores'!$AD$33:$AD$42,0))),"")</f>
        <v>B</v>
      </c>
      <c r="P528" t="str">
        <f>IF(COUNTIF('Verificação Peneiradores'!$B$36:$B$40,"SEM TAG")&gt;0,"Sem TAG de calibração; ","")&amp;IF('Verificação Peneiradores'!$B$36="NÃO OK","Condições das telas; ","")&amp;IF('Verificação Peneiradores'!$B$37="NÃO OK","Inclinação das telas; ","")&amp;IF('Verificação Peneiradores'!$B$38="NÃO OK","Vibração do peneirador; ","")&amp;IF('Verificação Peneiradores'!$B$39="NÃO OK","Travamento das peneiras; ","")&amp;IF('Verificação Peneiradores'!$B$40="NÃO OK","Calibração; ","")</f>
        <v/>
      </c>
      <c r="Q528" t="s">
        <v>899</v>
      </c>
    </row>
    <row r="529">
      <c r="A529" t="s">
        <v>816</v>
      </c>
      <c r="B529" t="s">
        <v>667</v>
      </c>
      <c r="C529" s="912">
        <f>IF(MAX('Verificação Peneiradores'!$AC$33:$AC$42)=0,"",MAX('Verificação Peneiradores'!$AC$33:$AC$42))</f>
        <v>46280</v>
      </c>
      <c r="D529" t="str">
        <f>IF('Verificação Peneiradores'!$C$34&amp;""="","Circulares",TRIM('Verificação Peneiradores'!$C$34&amp;""))</f>
        <v>PN0482</v>
      </c>
      <c r="E529" t="str">
        <f>"Malha "&amp;'Verificação Peneiradores'!$C$33&amp;" mm ("&amp;"Circulares"&amp;")"</f>
        <v>Malha 16 mm (Circulares)</v>
      </c>
      <c r="F529" t="s">
        <v>817</v>
      </c>
      <c r="G529">
        <f>IF(COUNTA('Verificação Peneiradores'!$C$36:$C$40)=0,"",COUNTIF('Verificação Peneiradores'!$C$36:$C$40,"OK"))</f>
        <v>4</v>
      </c>
      <c r="H529">
        <f>IF(COUNTA('Verificação Peneiradores'!$C$36:$C$40)=0,"",COUNTA('Verificação Peneiradores'!$C$36:$C$40))</f>
        <v>5</v>
      </c>
      <c r="M529" t="str">
        <f>IF(COUNTA('Verificação Peneiradores'!$C$36:$C$40)=0,"",IF(COUNTIF('Verificação Peneiradores'!$C$36:$C$40,"NÃO OK")&gt;0,"Não conforme","Conforme"))</f>
        <v>Conforme</v>
      </c>
      <c r="N529" t="str">
        <f>IFERROR(TRIM(INDEX('Verificação Peneiradores'!$AE$33:$AE$42,MATCH("*",'Verificação Peneiradores'!$AE$33:$AE$42,0))),"")</f>
        <v>FELIPE</v>
      </c>
      <c r="O529" t="str">
        <f>IFERROR(TRIM(INDEX('Verificação Peneiradores'!$AD$33:$AD$42,MATCH("*",'Verificação Peneiradores'!$AD$33:$AD$42,0))),"")</f>
        <v>B</v>
      </c>
      <c r="P529" t="str">
        <f>IF(COUNTIF('Verificação Peneiradores'!$C$36:$C$40,"SEM TAG")&gt;0,"Sem TAG de calibração; ","")&amp;IF('Verificação Peneiradores'!$C$36="NÃO OK","Condições das telas; ","")&amp;IF('Verificação Peneiradores'!$C$37="NÃO OK","Inclinação das telas; ","")&amp;IF('Verificação Peneiradores'!$C$38="NÃO OK","Vibração do peneirador; ","")&amp;IF('Verificação Peneiradores'!$C$39="NÃO OK","Travamento das peneiras; ","")&amp;IF('Verificação Peneiradores'!$C$40="NÃO OK","Calibração; ","")</f>
        <v>Sem TAG de calibração; </v>
      </c>
      <c r="Q529" t="s">
        <v>900</v>
      </c>
    </row>
    <row r="530">
      <c r="A530" t="s">
        <v>816</v>
      </c>
      <c r="B530" t="s">
        <v>667</v>
      </c>
      <c r="C530" s="912">
        <f>IF(MAX('Verificação Peneiradores'!$AC$33:$AC$42)=0,"",MAX('Verificação Peneiradores'!$AC$33:$AC$42))</f>
        <v>46280</v>
      </c>
      <c r="D530" t="str">
        <f>IF('Verificação Peneiradores'!$D$34&amp;""="","Circulares",TRIM('Verificação Peneiradores'!$D$34&amp;""))</f>
        <v>PN 614</v>
      </c>
      <c r="E530" t="str">
        <f>"Malha "&amp;'Verificação Peneiradores'!$D$33&amp;" mm ("&amp;"Circulares"&amp;")"</f>
        <v>Malha 12,5 mm (Circulares)</v>
      </c>
      <c r="F530" t="s">
        <v>817</v>
      </c>
      <c r="G530">
        <f>IF(COUNTA('Verificação Peneiradores'!$D$36:$D$40)=0,"",COUNTIF('Verificação Peneiradores'!$D$36:$D$40,"OK"))</f>
        <v>4</v>
      </c>
      <c r="H530">
        <f>IF(COUNTA('Verificação Peneiradores'!$D$36:$D$40)=0,"",COUNTA('Verificação Peneiradores'!$D$36:$D$40))</f>
        <v>5</v>
      </c>
      <c r="M530" t="str">
        <f>IF(COUNTA('Verificação Peneiradores'!$D$36:$D$40)=0,"",IF(COUNTIF('Verificação Peneiradores'!$D$36:$D$40,"NÃO OK")&gt;0,"Não conforme","Conforme"))</f>
        <v>Conforme</v>
      </c>
      <c r="N530" t="str">
        <f>IFERROR(TRIM(INDEX('Verificação Peneiradores'!$AE$33:$AE$42,MATCH("*",'Verificação Peneiradores'!$AE$33:$AE$42,0))),"")</f>
        <v>FELIPE</v>
      </c>
      <c r="O530" t="str">
        <f>IFERROR(TRIM(INDEX('Verificação Peneiradores'!$AD$33:$AD$42,MATCH("*",'Verificação Peneiradores'!$AD$33:$AD$42,0))),"")</f>
        <v>B</v>
      </c>
      <c r="P530" t="str">
        <f>IF(COUNTIF('Verificação Peneiradores'!$D$36:$D$40,"SEM TAG")&gt;0,"Sem TAG de calibração; ","")&amp;IF('Verificação Peneiradores'!$D$36="NÃO OK","Condições das telas; ","")&amp;IF('Verificação Peneiradores'!$D$37="NÃO OK","Inclinação das telas; ","")&amp;IF('Verificação Peneiradores'!$D$38="NÃO OK","Vibração do peneirador; ","")&amp;IF('Verificação Peneiradores'!$D$39="NÃO OK","Travamento das peneiras; ","")&amp;IF('Verificação Peneiradores'!$D$40="NÃO OK","Calibração; ","")</f>
        <v>Sem TAG de calibração; </v>
      </c>
      <c r="Q530" t="s">
        <v>901</v>
      </c>
    </row>
    <row r="531">
      <c r="A531" t="s">
        <v>816</v>
      </c>
      <c r="B531" t="s">
        <v>667</v>
      </c>
      <c r="C531" s="912">
        <f>IF(MAX('Verificação Peneiradores'!$AC$33:$AC$42)=0,"",MAX('Verificação Peneiradores'!$AC$33:$AC$42))</f>
        <v>46280</v>
      </c>
      <c r="D531" t="str">
        <f>IF('Verificação Peneiradores'!$E$34&amp;""="","Circulares",TRIM('Verificação Peneiradores'!$E$34&amp;""))</f>
        <v>PN 303</v>
      </c>
      <c r="E531" t="str">
        <f>"Malha "&amp;'Verificação Peneiradores'!$E$33&amp;" mm ("&amp;"Circulares"&amp;")"</f>
        <v>Malha 10 mm (Circulares)</v>
      </c>
      <c r="F531" t="s">
        <v>817</v>
      </c>
      <c r="G531">
        <f>IF(COUNTA('Verificação Peneiradores'!$E$36:$E$40)=0,"",COUNTIF('Verificação Peneiradores'!$E$36:$E$40,"OK"))</f>
        <v>4</v>
      </c>
      <c r="H531">
        <f>IF(COUNTA('Verificação Peneiradores'!$E$36:$E$40)=0,"",COUNTA('Verificação Peneiradores'!$E$36:$E$40))</f>
        <v>5</v>
      </c>
      <c r="M531" t="str">
        <f>IF(COUNTA('Verificação Peneiradores'!$E$36:$E$40)=0,"",IF(COUNTIF('Verificação Peneiradores'!$E$36:$E$40,"NÃO OK")&gt;0,"Não conforme","Conforme"))</f>
        <v>Conforme</v>
      </c>
      <c r="N531" t="str">
        <f>IFERROR(TRIM(INDEX('Verificação Peneiradores'!$AE$33:$AE$42,MATCH("*",'Verificação Peneiradores'!$AE$33:$AE$42,0))),"")</f>
        <v>FELIPE</v>
      </c>
      <c r="O531" t="str">
        <f>IFERROR(TRIM(INDEX('Verificação Peneiradores'!$AD$33:$AD$42,MATCH("*",'Verificação Peneiradores'!$AD$33:$AD$42,0))),"")</f>
        <v>B</v>
      </c>
      <c r="P531" t="str">
        <f>IF(COUNTIF('Verificação Peneiradores'!$E$36:$E$40,"SEM TAG")&gt;0,"Sem TAG de calibração; ","")&amp;IF('Verificação Peneiradores'!$E$36="NÃO OK","Condições das telas; ","")&amp;IF('Verificação Peneiradores'!$E$37="NÃO OK","Inclinação das telas; ","")&amp;IF('Verificação Peneiradores'!$E$38="NÃO OK","Vibração do peneirador; ","")&amp;IF('Verificação Peneiradores'!$E$39="NÃO OK","Travamento das peneiras; ","")&amp;IF('Verificação Peneiradores'!$E$40="NÃO OK","Calibração; ","")</f>
        <v>Sem TAG de calibração; </v>
      </c>
      <c r="Q531" t="s">
        <v>902</v>
      </c>
    </row>
    <row r="532">
      <c r="A532" t="s">
        <v>816</v>
      </c>
      <c r="B532" t="s">
        <v>667</v>
      </c>
      <c r="C532" s="912">
        <f>IF(MAX('Verificação Peneiradores'!$AC$33:$AC$42)=0,"",MAX('Verificação Peneiradores'!$AC$33:$AC$42))</f>
        <v>46280</v>
      </c>
      <c r="D532" t="str">
        <f>IF('Verificação Peneiradores'!$F$34&amp;""="","Circulares",TRIM('Verificação Peneiradores'!$F$34&amp;""))</f>
        <v>PN431</v>
      </c>
      <c r="E532" t="str">
        <f>"Malha "&amp;'Verificação Peneiradores'!$F$33&amp;" mm ("&amp;"Circulares"&amp;")"</f>
        <v>Malha 9 mm (Circulares)</v>
      </c>
      <c r="F532" t="s">
        <v>817</v>
      </c>
      <c r="G532">
        <f>IF(COUNTA('Verificação Peneiradores'!$F$36:$F$40)=0,"",COUNTIF('Verificação Peneiradores'!$F$36:$F$40,"OK"))</f>
        <v>5</v>
      </c>
      <c r="H532">
        <f>IF(COUNTA('Verificação Peneiradores'!$F$36:$F$40)=0,"",COUNTA('Verificação Peneiradores'!$F$36:$F$40))</f>
        <v>5</v>
      </c>
      <c r="M532" t="str">
        <f>IF(COUNTA('Verificação Peneiradores'!$F$36:$F$40)=0,"",IF(COUNTIF('Verificação Peneiradores'!$F$36:$F$40,"NÃO OK")&gt;0,"Não conforme","Conforme"))</f>
        <v>Conforme</v>
      </c>
      <c r="N532" t="str">
        <f>IFERROR(TRIM(INDEX('Verificação Peneiradores'!$AE$33:$AE$42,MATCH("*",'Verificação Peneiradores'!$AE$33:$AE$42,0))),"")</f>
        <v>FELIPE</v>
      </c>
      <c r="O532" t="str">
        <f>IFERROR(TRIM(INDEX('Verificação Peneiradores'!$AD$33:$AD$42,MATCH("*",'Verificação Peneiradores'!$AD$33:$AD$42,0))),"")</f>
        <v>B</v>
      </c>
      <c r="P532" t="str">
        <f>IF(COUNTIF('Verificação Peneiradores'!$F$36:$F$40,"SEM TAG")&gt;0,"Sem TAG de calibração; ","")&amp;IF('Verificação Peneiradores'!$F$36="NÃO OK","Condições das telas; ","")&amp;IF('Verificação Peneiradores'!$F$37="NÃO OK","Inclinação das telas; ","")&amp;IF('Verificação Peneiradores'!$F$38="NÃO OK","Vibração do peneirador; ","")&amp;IF('Verificação Peneiradores'!$F$39="NÃO OK","Travamento das peneiras; ","")&amp;IF('Verificação Peneiradores'!$F$40="NÃO OK","Calibração; ","")</f>
        <v/>
      </c>
      <c r="Q532" t="s">
        <v>903</v>
      </c>
    </row>
    <row r="533">
      <c r="A533" t="s">
        <v>816</v>
      </c>
      <c r="B533" t="s">
        <v>667</v>
      </c>
      <c r="C533" s="912">
        <f>IF(MAX('Verificação Peneiradores'!$AC$33:$AC$42)=0,"",MAX('Verificação Peneiradores'!$AC$33:$AC$42))</f>
        <v>46280</v>
      </c>
      <c r="D533" t="str">
        <f>IF('Verificação Peneiradores'!$G$34&amp;""="","Circulares",TRIM('Verificação Peneiradores'!$G$34&amp;""))</f>
        <v>PN432</v>
      </c>
      <c r="E533" t="str">
        <f>"Malha "&amp;'Verificação Peneiradores'!$G$33&amp;" mm ("&amp;"Circulares"&amp;")"</f>
        <v>Malha 8 mm (Circulares)</v>
      </c>
      <c r="F533" t="s">
        <v>817</v>
      </c>
      <c r="G533">
        <f>IF(COUNTA('Verificação Peneiradores'!$G$36:$G$40)=0,"",COUNTIF('Verificação Peneiradores'!$G$36:$G$40,"OK"))</f>
        <v>5</v>
      </c>
      <c r="H533">
        <f>IF(COUNTA('Verificação Peneiradores'!$G$36:$G$40)=0,"",COUNTA('Verificação Peneiradores'!$G$36:$G$40))</f>
        <v>5</v>
      </c>
      <c r="M533" t="str">
        <f>IF(COUNTA('Verificação Peneiradores'!$G$36:$G$40)=0,"",IF(COUNTIF('Verificação Peneiradores'!$G$36:$G$40,"NÃO OK")&gt;0,"Não conforme","Conforme"))</f>
        <v>Conforme</v>
      </c>
      <c r="N533" t="str">
        <f>IFERROR(TRIM(INDEX('Verificação Peneiradores'!$AE$33:$AE$42,MATCH("*",'Verificação Peneiradores'!$AE$33:$AE$42,0))),"")</f>
        <v>FELIPE</v>
      </c>
      <c r="O533" t="str">
        <f>IFERROR(TRIM(INDEX('Verificação Peneiradores'!$AD$33:$AD$42,MATCH("*",'Verificação Peneiradores'!$AD$33:$AD$42,0))),"")</f>
        <v>B</v>
      </c>
      <c r="P533" t="str">
        <f>IF(COUNTIF('Verificação Peneiradores'!$G$36:$G$40,"SEM TAG")&gt;0,"Sem TAG de calibração; ","")&amp;IF('Verificação Peneiradores'!$G$36="NÃO OK","Condições das telas; ","")&amp;IF('Verificação Peneiradores'!$G$37="NÃO OK","Inclinação das telas; ","")&amp;IF('Verificação Peneiradores'!$G$38="NÃO OK","Vibração do peneirador; ","")&amp;IF('Verificação Peneiradores'!$G$39="NÃO OK","Travamento das peneiras; ","")&amp;IF('Verificação Peneiradores'!$G$40="NÃO OK","Calibração; ","")</f>
        <v/>
      </c>
      <c r="Q533" t="s">
        <v>904</v>
      </c>
    </row>
    <row r="534">
      <c r="A534" t="s">
        <v>816</v>
      </c>
      <c r="B534" t="s">
        <v>667</v>
      </c>
      <c r="C534" s="912">
        <f>IF(MAX('Verificação Peneiradores'!$AC$33:$AC$42)=0,"",MAX('Verificação Peneiradores'!$AC$33:$AC$42))</f>
        <v>46280</v>
      </c>
      <c r="D534" t="str">
        <f>IF('Verificação Peneiradores'!$H$34&amp;""="","Circulares",TRIM('Verificação Peneiradores'!$H$34&amp;""))</f>
        <v>PN0430</v>
      </c>
      <c r="E534" t="str">
        <f>"Malha "&amp;'Verificação Peneiradores'!$H$33&amp;" mm ("&amp;"Circulares"&amp;")"</f>
        <v>Malha 6,3 mm (Circulares)</v>
      </c>
      <c r="F534" t="s">
        <v>817</v>
      </c>
      <c r="G534">
        <f>IF(COUNTA('Verificação Peneiradores'!$H$36:$H$40)=0,"",COUNTIF('Verificação Peneiradores'!$H$36:$H$40,"OK"))</f>
        <v>5</v>
      </c>
      <c r="H534">
        <f>IF(COUNTA('Verificação Peneiradores'!$H$36:$H$40)=0,"",COUNTA('Verificação Peneiradores'!$H$36:$H$40))</f>
        <v>5</v>
      </c>
      <c r="M534" t="str">
        <f>IF(COUNTA('Verificação Peneiradores'!$H$36:$H$40)=0,"",IF(COUNTIF('Verificação Peneiradores'!$H$36:$H$40,"NÃO OK")&gt;0,"Não conforme","Conforme"))</f>
        <v>Conforme</v>
      </c>
      <c r="N534" t="str">
        <f>IFERROR(TRIM(INDEX('Verificação Peneiradores'!$AE$33:$AE$42,MATCH("*",'Verificação Peneiradores'!$AE$33:$AE$42,0))),"")</f>
        <v>FELIPE</v>
      </c>
      <c r="O534" t="str">
        <f>IFERROR(TRIM(INDEX('Verificação Peneiradores'!$AD$33:$AD$42,MATCH("*",'Verificação Peneiradores'!$AD$33:$AD$42,0))),"")</f>
        <v>B</v>
      </c>
      <c r="P534" t="str">
        <f>IF(COUNTIF('Verificação Peneiradores'!$H$36:$H$40,"SEM TAG")&gt;0,"Sem TAG de calibração; ","")&amp;IF('Verificação Peneiradores'!$H$36="NÃO OK","Condições das telas; ","")&amp;IF('Verificação Peneiradores'!$H$37="NÃO OK","Inclinação das telas; ","")&amp;IF('Verificação Peneiradores'!$H$38="NÃO OK","Vibração do peneirador; ","")&amp;IF('Verificação Peneiradores'!$H$39="NÃO OK","Travamento das peneiras; ","")&amp;IF('Verificação Peneiradores'!$H$40="NÃO OK","Calibração; ","")</f>
        <v/>
      </c>
      <c r="Q534" t="s">
        <v>905</v>
      </c>
    </row>
    <row r="535">
      <c r="A535" t="s">
        <v>816</v>
      </c>
      <c r="B535" t="s">
        <v>667</v>
      </c>
      <c r="C535" s="912">
        <f>IF(MAX('Verificação Peneiradores'!$AC$33:$AC$42)=0,"",MAX('Verificação Peneiradores'!$AC$33:$AC$42))</f>
        <v>46280</v>
      </c>
      <c r="D535" t="str">
        <f>IF('Verificação Peneiradores'!$I$34&amp;""="","Circulares",TRIM('Verificação Peneiradores'!$I$34&amp;""))</f>
        <v>PN0425</v>
      </c>
      <c r="E535" t="str">
        <f>"Malha "&amp;'Verificação Peneiradores'!$I$33&amp;" mm ("&amp;"Circulares"&amp;")"</f>
        <v>Malha 5 mm (Circulares)</v>
      </c>
      <c r="F535" t="s">
        <v>817</v>
      </c>
      <c r="G535">
        <f>IF(COUNTA('Verificação Peneiradores'!$I$36:$I$40)=0,"",COUNTIF('Verificação Peneiradores'!$I$36:$I$40,"OK"))</f>
        <v>5</v>
      </c>
      <c r="H535">
        <f>IF(COUNTA('Verificação Peneiradores'!$I$36:$I$40)=0,"",COUNTA('Verificação Peneiradores'!$I$36:$I$40))</f>
        <v>5</v>
      </c>
      <c r="M535" t="str">
        <f>IF(COUNTA('Verificação Peneiradores'!$I$36:$I$40)=0,"",IF(COUNTIF('Verificação Peneiradores'!$I$36:$I$40,"NÃO OK")&gt;0,"Não conforme","Conforme"))</f>
        <v>Conforme</v>
      </c>
      <c r="N535" t="str">
        <f>IFERROR(TRIM(INDEX('Verificação Peneiradores'!$AE$33:$AE$42,MATCH("*",'Verificação Peneiradores'!$AE$33:$AE$42,0))),"")</f>
        <v>FELIPE</v>
      </c>
      <c r="O535" t="str">
        <f>IFERROR(TRIM(INDEX('Verificação Peneiradores'!$AD$33:$AD$42,MATCH("*",'Verificação Peneiradores'!$AD$33:$AD$42,0))),"")</f>
        <v>B</v>
      </c>
      <c r="P535" t="str">
        <f>IF(COUNTIF('Verificação Peneiradores'!$I$36:$I$40,"SEM TAG")&gt;0,"Sem TAG de calibração; ","")&amp;IF('Verificação Peneiradores'!$I$36="NÃO OK","Condições das telas; ","")&amp;IF('Verificação Peneiradores'!$I$37="NÃO OK","Inclinação das telas; ","")&amp;IF('Verificação Peneiradores'!$I$38="NÃO OK","Vibração do peneirador; ","")&amp;IF('Verificação Peneiradores'!$I$39="NÃO OK","Travamento das peneiras; ","")&amp;IF('Verificação Peneiradores'!$I$40="NÃO OK","Calibração; ","")</f>
        <v/>
      </c>
      <c r="Q535" t="s">
        <v>906</v>
      </c>
    </row>
    <row r="536">
      <c r="A536" t="s">
        <v>816</v>
      </c>
      <c r="B536" t="s">
        <v>667</v>
      </c>
      <c r="C536" s="912">
        <f>IF(MAX('Verificação Peneiradores'!$AC$33:$AC$42)=0,"",MAX('Verificação Peneiradores'!$AC$33:$AC$42))</f>
        <v>46280</v>
      </c>
      <c r="D536" t="str">
        <f>IF('Verificação Peneiradores'!$J$34&amp;""="","Circulares",TRIM('Verificação Peneiradores'!$J$34&amp;""))</f>
        <v>PN0,46</v>
      </c>
      <c r="E536" t="str">
        <f>"Malha "&amp;'Verificação Peneiradores'!$J$33&amp;" mm ("&amp;"Circulares"&amp;")"</f>
        <v>Malha 3,15 mm (Circulares)</v>
      </c>
      <c r="F536" t="s">
        <v>817</v>
      </c>
      <c r="G536">
        <f>IF(COUNTA('Verificação Peneiradores'!$J$36:$J$40)=0,"",COUNTIF('Verificação Peneiradores'!$J$36:$J$40,"OK"))</f>
        <v>5</v>
      </c>
      <c r="H536">
        <f>IF(COUNTA('Verificação Peneiradores'!$J$36:$J$40)=0,"",COUNTA('Verificação Peneiradores'!$J$36:$J$40))</f>
        <v>5</v>
      </c>
      <c r="M536" t="str">
        <f>IF(COUNTA('Verificação Peneiradores'!$J$36:$J$40)=0,"",IF(COUNTIF('Verificação Peneiradores'!$J$36:$J$40,"NÃO OK")&gt;0,"Não conforme","Conforme"))</f>
        <v>Conforme</v>
      </c>
      <c r="N536" t="str">
        <f>IFERROR(TRIM(INDEX('Verificação Peneiradores'!$AE$33:$AE$42,MATCH("*",'Verificação Peneiradores'!$AE$33:$AE$42,0))),"")</f>
        <v>FELIPE</v>
      </c>
      <c r="O536" t="str">
        <f>IFERROR(TRIM(INDEX('Verificação Peneiradores'!$AD$33:$AD$42,MATCH("*",'Verificação Peneiradores'!$AD$33:$AD$42,0))),"")</f>
        <v>B</v>
      </c>
      <c r="P536" t="str">
        <f>IF(COUNTIF('Verificação Peneiradores'!$J$36:$J$40,"SEM TAG")&gt;0,"Sem TAG de calibração; ","")&amp;IF('Verificação Peneiradores'!$J$36="NÃO OK","Condições das telas; ","")&amp;IF('Verificação Peneiradores'!$J$37="NÃO OK","Inclinação das telas; ","")&amp;IF('Verificação Peneiradores'!$J$38="NÃO OK","Vibração do peneirador; ","")&amp;IF('Verificação Peneiradores'!$J$39="NÃO OK","Travamento das peneiras; ","")&amp;IF('Verificação Peneiradores'!$J$40="NÃO OK","Calibração; ","")</f>
        <v/>
      </c>
      <c r="Q536" t="s">
        <v>907</v>
      </c>
    </row>
    <row r="537">
      <c r="A537" t="s">
        <v>816</v>
      </c>
      <c r="B537" t="s">
        <v>667</v>
      </c>
      <c r="C537" s="912">
        <f>IF(MAX('Verificação Peneiradores'!$AC$33:$AC$42)=0,"",MAX('Verificação Peneiradores'!$AC$33:$AC$42))</f>
        <v>46280</v>
      </c>
      <c r="D537" t="str">
        <f>IF('Verificação Peneiradores'!$K$34&amp;""="","Circulares",TRIM('Verificação Peneiradores'!$K$34&amp;""))</f>
        <v>PN0500</v>
      </c>
      <c r="E537" t="str">
        <f>"Malha "&amp;'Verificação Peneiradores'!$K$33&amp;" mm ("&amp;"Circulares"&amp;")"</f>
        <v>Malha 0,5 mm (Circulares)</v>
      </c>
      <c r="F537" t="s">
        <v>817</v>
      </c>
      <c r="G537">
        <f>IF(COUNTA('Verificação Peneiradores'!$K$36:$K$40)=0,"",COUNTIF('Verificação Peneiradores'!$K$36:$K$40,"OK"))</f>
        <v>5</v>
      </c>
      <c r="H537">
        <f>IF(COUNTA('Verificação Peneiradores'!$K$36:$K$40)=0,"",COUNTA('Verificação Peneiradores'!$K$36:$K$40))</f>
        <v>5</v>
      </c>
      <c r="M537" t="str">
        <f>IF(COUNTA('Verificação Peneiradores'!$K$36:$K$40)=0,"",IF(COUNTIF('Verificação Peneiradores'!$K$36:$K$40,"NÃO OK")&gt;0,"Não conforme","Conforme"))</f>
        <v>Conforme</v>
      </c>
      <c r="N537" t="str">
        <f>IFERROR(TRIM(INDEX('Verificação Peneiradores'!$AE$33:$AE$42,MATCH("*",'Verificação Peneiradores'!$AE$33:$AE$42,0))),"")</f>
        <v>FELIPE</v>
      </c>
      <c r="O537" t="str">
        <f>IFERROR(TRIM(INDEX('Verificação Peneiradores'!$AD$33:$AD$42,MATCH("*",'Verificação Peneiradores'!$AD$33:$AD$42,0))),"")</f>
        <v>B</v>
      </c>
      <c r="P537" t="str">
        <f>IF(COUNTIF('Verificação Peneiradores'!$K$36:$K$40,"SEM TAG")&gt;0,"Sem TAG de calibração; ","")&amp;IF('Verificação Peneiradores'!$K$36="NÃO OK","Condições das telas; ","")&amp;IF('Verificação Peneiradores'!$K$37="NÃO OK","Inclinação das telas; ","")&amp;IF('Verificação Peneiradores'!$K$38="NÃO OK","Vibração do peneirador; ","")&amp;IF('Verificação Peneiradores'!$K$39="NÃO OK","Travamento das peneiras; ","")&amp;IF('Verificação Peneiradores'!$K$40="NÃO OK","Calibração; ","")</f>
        <v/>
      </c>
      <c r="Q537" t="s">
        <v>908</v>
      </c>
    </row>
    <row r="538">
      <c r="A538" t="s">
        <v>816</v>
      </c>
      <c r="B538" t="s">
        <v>667</v>
      </c>
      <c r="C538" s="912">
        <f>IF(MAX('Verificação Peneiradores'!$AC$33:$AC$42)=0,"",MAX('Verificação Peneiradores'!$AC$33:$AC$42))</f>
        <v>46280</v>
      </c>
      <c r="D538" t="str">
        <f>IF('Verificação Peneiradores'!$L$34&amp;""="","Circulares",TRIM('Verificação Peneiradores'!$L$34&amp;""))</f>
        <v>PN0501</v>
      </c>
      <c r="E538" t="str">
        <f>"Malha "&amp;'Verificação Peneiradores'!$L$33&amp;" mm ("&amp;"Circulares"&amp;")"</f>
        <v>Malha 0,5 mm (Circulares)</v>
      </c>
      <c r="F538" t="s">
        <v>817</v>
      </c>
      <c r="G538">
        <f>IF(COUNTA('Verificação Peneiradores'!$L$36:$L$40)=0,"",COUNTIF('Verificação Peneiradores'!$L$36:$L$40,"OK"))</f>
        <v>5</v>
      </c>
      <c r="H538">
        <f>IF(COUNTA('Verificação Peneiradores'!$L$36:$L$40)=0,"",COUNTA('Verificação Peneiradores'!$L$36:$L$40))</f>
        <v>5</v>
      </c>
      <c r="M538" t="str">
        <f>IF(COUNTA('Verificação Peneiradores'!$L$36:$L$40)=0,"",IF(COUNTIF('Verificação Peneiradores'!$L$36:$L$40,"NÃO OK")&gt;0,"Não conforme","Conforme"))</f>
        <v>Conforme</v>
      </c>
      <c r="N538" t="str">
        <f>IFERROR(TRIM(INDEX('Verificação Peneiradores'!$AE$33:$AE$42,MATCH("*",'Verificação Peneiradores'!$AE$33:$AE$42,0))),"")</f>
        <v>FELIPE</v>
      </c>
      <c r="O538" t="str">
        <f>IFERROR(TRIM(INDEX('Verificação Peneiradores'!$AD$33:$AD$42,MATCH("*",'Verificação Peneiradores'!$AD$33:$AD$42,0))),"")</f>
        <v>B</v>
      </c>
      <c r="P538" t="str">
        <f>IF(COUNTIF('Verificação Peneiradores'!$L$36:$L$40,"SEM TAG")&gt;0,"Sem TAG de calibração; ","")&amp;IF('Verificação Peneiradores'!$L$36="NÃO OK","Condições das telas; ","")&amp;IF('Verificação Peneiradores'!$L$37="NÃO OK","Inclinação das telas; ","")&amp;IF('Verificação Peneiradores'!$L$38="NÃO OK","Vibração do peneirador; ","")&amp;IF('Verificação Peneiradores'!$L$39="NÃO OK","Travamento das peneiras; ","")&amp;IF('Verificação Peneiradores'!$L$40="NÃO OK","Calibração; ","")</f>
        <v/>
      </c>
      <c r="Q538" t="s">
        <v>909</v>
      </c>
    </row>
    <row r="539">
      <c r="A539" t="s">
        <v>816</v>
      </c>
      <c r="B539" t="s">
        <v>667</v>
      </c>
      <c r="C539" s="912">
        <f>IF(MAX('Verificação Peneiradores'!$AC$33:$AC$42)=0,"",MAX('Verificação Peneiradores'!$AC$33:$AC$42))</f>
        <v>46280</v>
      </c>
      <c r="D539" t="str">
        <f>IF('Verificação Peneiradores'!$M$34&amp;""="","Peneirador 09",TRIM('Verificação Peneiradores'!$M$34&amp;""))</f>
        <v>PN478</v>
      </c>
      <c r="E539" t="str">
        <f>"Malha "&amp;'Verificação Peneiradores'!$M$33&amp;" mm ("&amp;"Peneirador 09"&amp;")"</f>
        <v>Malha 19 mm (Peneirador 09)</v>
      </c>
      <c r="F539" t="s">
        <v>817</v>
      </c>
      <c r="G539">
        <f>IF(COUNTA('Verificação Peneiradores'!$M$36:$M$40)=0,"",COUNTIF('Verificação Peneiradores'!$M$36:$M$40,"OK"))</f>
        <v>5</v>
      </c>
      <c r="H539">
        <f>IF(COUNTA('Verificação Peneiradores'!$M$36:$M$40)=0,"",COUNTA('Verificação Peneiradores'!$M$36:$M$40))</f>
        <v>5</v>
      </c>
      <c r="M539" t="str">
        <f>IF(COUNTA('Verificação Peneiradores'!$M$36:$M$40)=0,"",IF(COUNTIF('Verificação Peneiradores'!$M$36:$M$40,"NÃO OK")&gt;0,"Não conforme","Conforme"))</f>
        <v>Conforme</v>
      </c>
      <c r="N539" t="str">
        <f>IFERROR(TRIM(INDEX('Verificação Peneiradores'!$AE$33:$AE$42,MATCH("*",'Verificação Peneiradores'!$AE$33:$AE$42,0))),"")</f>
        <v>FELIPE</v>
      </c>
      <c r="O539" t="str">
        <f>IFERROR(TRIM(INDEX('Verificação Peneiradores'!$AD$33:$AD$42,MATCH("*",'Verificação Peneiradores'!$AD$33:$AD$42,0))),"")</f>
        <v>B</v>
      </c>
      <c r="P539" t="str">
        <f>IF(COUNTIF('Verificação Peneiradores'!$M$36:$M$40,"SEM TAG")&gt;0,"Sem TAG de calibração; ","")&amp;IF('Verificação Peneiradores'!$M$36="NÃO OK","Condições das telas; ","")&amp;IF('Verificação Peneiradores'!$M$37="NÃO OK","Inclinação das telas; ","")&amp;IF('Verificação Peneiradores'!$M$38="NÃO OK","Vibração do peneirador; ","")&amp;IF('Verificação Peneiradores'!$M$39="NÃO OK","Travamento das peneiras; ","")&amp;IF('Verificação Peneiradores'!$M$40="NÃO OK","Calibração; ","")</f>
        <v/>
      </c>
      <c r="Q539" t="s">
        <v>910</v>
      </c>
    </row>
    <row r="540">
      <c r="A540" t="s">
        <v>816</v>
      </c>
      <c r="B540" t="s">
        <v>667</v>
      </c>
      <c r="C540" s="912">
        <f>IF(MAX('Verificação Peneiradores'!$AC$33:$AC$42)=0,"",MAX('Verificação Peneiradores'!$AC$33:$AC$42))</f>
        <v>46280</v>
      </c>
      <c r="D540" t="str">
        <f>IF('Verificação Peneiradores'!$N$34&amp;""="","Peneirador 09",TRIM('Verificação Peneiradores'!$N$34&amp;""))</f>
        <v>PN516</v>
      </c>
      <c r="E540" t="str">
        <f>"Malha "&amp;'Verificação Peneiradores'!$N$33&amp;" mm ("&amp;"Peneirador 09"&amp;")"</f>
        <v>Malha 16 mm (Peneirador 09)</v>
      </c>
      <c r="F540" t="s">
        <v>817</v>
      </c>
      <c r="G540">
        <f>IF(COUNTA('Verificação Peneiradores'!$N$36:$N$40)=0,"",COUNTIF('Verificação Peneiradores'!$N$36:$N$40,"OK"))</f>
        <v>5</v>
      </c>
      <c r="H540">
        <f>IF(COUNTA('Verificação Peneiradores'!$N$36:$N$40)=0,"",COUNTA('Verificação Peneiradores'!$N$36:$N$40))</f>
        <v>5</v>
      </c>
      <c r="M540" t="str">
        <f>IF(COUNTA('Verificação Peneiradores'!$N$36:$N$40)=0,"",IF(COUNTIF('Verificação Peneiradores'!$N$36:$N$40,"NÃO OK")&gt;0,"Não conforme","Conforme"))</f>
        <v>Conforme</v>
      </c>
      <c r="N540" t="str">
        <f>IFERROR(TRIM(INDEX('Verificação Peneiradores'!$AE$33:$AE$42,MATCH("*",'Verificação Peneiradores'!$AE$33:$AE$42,0))),"")</f>
        <v>FELIPE</v>
      </c>
      <c r="O540" t="str">
        <f>IFERROR(TRIM(INDEX('Verificação Peneiradores'!$AD$33:$AD$42,MATCH("*",'Verificação Peneiradores'!$AD$33:$AD$42,0))),"")</f>
        <v>B</v>
      </c>
      <c r="P540" t="str">
        <f>IF(COUNTIF('Verificação Peneiradores'!$N$36:$N$40,"SEM TAG")&gt;0,"Sem TAG de calibração; ","")&amp;IF('Verificação Peneiradores'!$N$36="NÃO OK","Condições das telas; ","")&amp;IF('Verificação Peneiradores'!$N$37="NÃO OK","Inclinação das telas; ","")&amp;IF('Verificação Peneiradores'!$N$38="NÃO OK","Vibração do peneirador; ","")&amp;IF('Verificação Peneiradores'!$N$39="NÃO OK","Travamento das peneiras; ","")&amp;IF('Verificação Peneiradores'!$N$40="NÃO OK","Calibração; ","")</f>
        <v/>
      </c>
      <c r="Q540" t="s">
        <v>911</v>
      </c>
    </row>
    <row r="541">
      <c r="A541" t="s">
        <v>816</v>
      </c>
      <c r="B541" t="s">
        <v>667</v>
      </c>
      <c r="C541" s="912">
        <f>IF(MAX('Verificação Peneiradores'!$AC$33:$AC$42)=0,"",MAX('Verificação Peneiradores'!$AC$33:$AC$42))</f>
        <v>46280</v>
      </c>
      <c r="D541" t="str">
        <f>IF('Verificação Peneiradores'!$O$34&amp;""="","Peneirador 09",TRIM('Verificação Peneiradores'!$O$34&amp;""))</f>
        <v>PN650</v>
      </c>
      <c r="E541" t="str">
        <f>"Malha "&amp;'Verificação Peneiradores'!$O$33&amp;" mm ("&amp;"Peneirador 09"&amp;")"</f>
        <v>Malha 14 mm (Peneirador 09)</v>
      </c>
      <c r="F541" t="s">
        <v>817</v>
      </c>
      <c r="G541">
        <f>IF(COUNTA('Verificação Peneiradores'!$O$36:$O$40)=0,"",COUNTIF('Verificação Peneiradores'!$O$36:$O$40,"OK"))</f>
        <v>4</v>
      </c>
      <c r="H541">
        <f>IF(COUNTA('Verificação Peneiradores'!$O$36:$O$40)=0,"",COUNTA('Verificação Peneiradores'!$O$36:$O$40))</f>
        <v>5</v>
      </c>
      <c r="M541" t="str">
        <f>IF(COUNTA('Verificação Peneiradores'!$O$36:$O$40)=0,"",IF(COUNTIF('Verificação Peneiradores'!$O$36:$O$40,"NÃO OK")&gt;0,"Não conforme","Conforme"))</f>
        <v>Conforme</v>
      </c>
      <c r="N541" t="str">
        <f>IFERROR(TRIM(INDEX('Verificação Peneiradores'!$AE$33:$AE$42,MATCH("*",'Verificação Peneiradores'!$AE$33:$AE$42,0))),"")</f>
        <v>FELIPE</v>
      </c>
      <c r="O541" t="str">
        <f>IFERROR(TRIM(INDEX('Verificação Peneiradores'!$AD$33:$AD$42,MATCH("*",'Verificação Peneiradores'!$AD$33:$AD$42,0))),"")</f>
        <v>B</v>
      </c>
      <c r="P541" t="str">
        <f>IF(COUNTIF('Verificação Peneiradores'!$O$36:$O$40,"SEM TAG")&gt;0,"Sem TAG de calibração; ","")&amp;IF('Verificação Peneiradores'!$O$36="NÃO OK","Condições das telas; ","")&amp;IF('Verificação Peneiradores'!$O$37="NÃO OK","Inclinação das telas; ","")&amp;IF('Verificação Peneiradores'!$O$38="NÃO OK","Vibração do peneirador; ","")&amp;IF('Verificação Peneiradores'!$O$39="NÃO OK","Travamento das peneiras; ","")&amp;IF('Verificação Peneiradores'!$O$40="NÃO OK","Calibração; ","")</f>
        <v>Sem TAG de calibração; </v>
      </c>
      <c r="Q541" t="s">
        <v>912</v>
      </c>
    </row>
    <row r="542">
      <c r="A542" t="s">
        <v>816</v>
      </c>
      <c r="B542" t="s">
        <v>667</v>
      </c>
      <c r="C542" s="912">
        <f>IF(MAX('Verificação Peneiradores'!$AC$33:$AC$42)=0,"",MAX('Verificação Peneiradores'!$AC$33:$AC$42))</f>
        <v>46280</v>
      </c>
      <c r="D542" t="str">
        <f>IF('Verificação Peneiradores'!$P$34&amp;""="","Peneirador 09",TRIM('Verificação Peneiradores'!$P$34&amp;""))</f>
        <v>PN484</v>
      </c>
      <c r="E542" t="str">
        <f>"Malha "&amp;'Verificação Peneiradores'!$P$33&amp;" mm ("&amp;"Peneirador 09"&amp;")"</f>
        <v>Malha 12,5 mm (Peneirador 09)</v>
      </c>
      <c r="F542" t="s">
        <v>817</v>
      </c>
      <c r="G542">
        <f>IF(COUNTA('Verificação Peneiradores'!$P$36:$P$40)=0,"",COUNTIF('Verificação Peneiradores'!$P$36:$P$40,"OK"))</f>
        <v>5</v>
      </c>
      <c r="H542">
        <f>IF(COUNTA('Verificação Peneiradores'!$P$36:$P$40)=0,"",COUNTA('Verificação Peneiradores'!$P$36:$P$40))</f>
        <v>5</v>
      </c>
      <c r="M542" t="str">
        <f>IF(COUNTA('Verificação Peneiradores'!$P$36:$P$40)=0,"",IF(COUNTIF('Verificação Peneiradores'!$P$36:$P$40,"NÃO OK")&gt;0,"Não conforme","Conforme"))</f>
        <v>Conforme</v>
      </c>
      <c r="N542" t="str">
        <f>IFERROR(TRIM(INDEX('Verificação Peneiradores'!$AE$33:$AE$42,MATCH("*",'Verificação Peneiradores'!$AE$33:$AE$42,0))),"")</f>
        <v>FELIPE</v>
      </c>
      <c r="O542" t="str">
        <f>IFERROR(TRIM(INDEX('Verificação Peneiradores'!$AD$33:$AD$42,MATCH("*",'Verificação Peneiradores'!$AD$33:$AD$42,0))),"")</f>
        <v>B</v>
      </c>
      <c r="P542" t="str">
        <f>IF(COUNTIF('Verificação Peneiradores'!$P$36:$P$40,"SEM TAG")&gt;0,"Sem TAG de calibração; ","")&amp;IF('Verificação Peneiradores'!$P$36="NÃO OK","Condições das telas; ","")&amp;IF('Verificação Peneiradores'!$P$37="NÃO OK","Inclinação das telas; ","")&amp;IF('Verificação Peneiradores'!$P$38="NÃO OK","Vibração do peneirador; ","")&amp;IF('Verificação Peneiradores'!$P$39="NÃO OK","Travamento das peneiras; ","")&amp;IF('Verificação Peneiradores'!$P$40="NÃO OK","Calibração; ","")</f>
        <v/>
      </c>
      <c r="Q542" t="s">
        <v>913</v>
      </c>
    </row>
    <row r="543">
      <c r="A543" t="s">
        <v>816</v>
      </c>
      <c r="B543" t="s">
        <v>667</v>
      </c>
      <c r="C543" s="912">
        <f>IF(MAX('Verificação Peneiradores'!$AC$33:$AC$42)=0,"",MAX('Verificação Peneiradores'!$AC$33:$AC$42))</f>
        <v>46280</v>
      </c>
      <c r="D543" t="str">
        <f>IF('Verificação Peneiradores'!$Q$34&amp;""="","Peneirador 09",TRIM('Verificação Peneiradores'!$Q$34&amp;""))</f>
        <v>PN558</v>
      </c>
      <c r="E543" t="str">
        <f>"Malha "&amp;'Verificação Peneiradores'!$Q$33&amp;" mm ("&amp;"Peneirador 09"&amp;")"</f>
        <v>Malha 9 mm (Peneirador 09)</v>
      </c>
      <c r="F543" t="s">
        <v>817</v>
      </c>
      <c r="G543">
        <f>IF(COUNTA('Verificação Peneiradores'!$Q$36:$Q$40)=0,"",COUNTIF('Verificação Peneiradores'!$Q$36:$Q$40,"OK"))</f>
        <v>5</v>
      </c>
      <c r="H543">
        <f>IF(COUNTA('Verificação Peneiradores'!$Q$36:$Q$40)=0,"",COUNTA('Verificação Peneiradores'!$Q$36:$Q$40))</f>
        <v>5</v>
      </c>
      <c r="M543" t="str">
        <f>IF(COUNTA('Verificação Peneiradores'!$Q$36:$Q$40)=0,"",IF(COUNTIF('Verificação Peneiradores'!$Q$36:$Q$40,"NÃO OK")&gt;0,"Não conforme","Conforme"))</f>
        <v>Conforme</v>
      </c>
      <c r="N543" t="str">
        <f>IFERROR(TRIM(INDEX('Verificação Peneiradores'!$AE$33:$AE$42,MATCH("*",'Verificação Peneiradores'!$AE$33:$AE$42,0))),"")</f>
        <v>FELIPE</v>
      </c>
      <c r="O543" t="str">
        <f>IFERROR(TRIM(INDEX('Verificação Peneiradores'!$AD$33:$AD$42,MATCH("*",'Verificação Peneiradores'!$AD$33:$AD$42,0))),"")</f>
        <v>B</v>
      </c>
      <c r="P543" t="str">
        <f>IF(COUNTIF('Verificação Peneiradores'!$Q$36:$Q$40,"SEM TAG")&gt;0,"Sem TAG de calibração; ","")&amp;IF('Verificação Peneiradores'!$Q$36="NÃO OK","Condições das telas; ","")&amp;IF('Verificação Peneiradores'!$Q$37="NÃO OK","Inclinação das telas; ","")&amp;IF('Verificação Peneiradores'!$Q$38="NÃO OK","Vibração do peneirador; ","")&amp;IF('Verificação Peneiradores'!$Q$39="NÃO OK","Travamento das peneiras; ","")&amp;IF('Verificação Peneiradores'!$Q$40="NÃO OK","Calibração; ","")</f>
        <v/>
      </c>
      <c r="Q543" t="s">
        <v>914</v>
      </c>
    </row>
    <row r="544">
      <c r="A544" t="s">
        <v>816</v>
      </c>
      <c r="B544" t="s">
        <v>667</v>
      </c>
      <c r="C544" s="912">
        <f>IF(MAX('Verificação Peneiradores'!$AC$33:$AC$42)=0,"",MAX('Verificação Peneiradores'!$AC$33:$AC$42))</f>
        <v>46280</v>
      </c>
      <c r="D544" t="str">
        <f>IF('Verificação Peneiradores'!$R$34&amp;""="","Peneirador 09",TRIM('Verificação Peneiradores'!$R$34&amp;""))</f>
        <v>PN505</v>
      </c>
      <c r="E544" t="str">
        <f>"Malha "&amp;'Verificação Peneiradores'!$R$33&amp;" mm ("&amp;"Peneirador 09"&amp;")"</f>
        <v>Malha 8 mm (Peneirador 09)</v>
      </c>
      <c r="F544" t="s">
        <v>817</v>
      </c>
      <c r="G544">
        <f>IF(COUNTA('Verificação Peneiradores'!$R$36:$R$40)=0,"",COUNTIF('Verificação Peneiradores'!$R$36:$R$40,"OK"))</f>
        <v>5</v>
      </c>
      <c r="H544">
        <f>IF(COUNTA('Verificação Peneiradores'!$R$36:$R$40)=0,"",COUNTA('Verificação Peneiradores'!$R$36:$R$40))</f>
        <v>5</v>
      </c>
      <c r="M544" t="str">
        <f>IF(COUNTA('Verificação Peneiradores'!$R$36:$R$40)=0,"",IF(COUNTIF('Verificação Peneiradores'!$R$36:$R$40,"NÃO OK")&gt;0,"Não conforme","Conforme"))</f>
        <v>Conforme</v>
      </c>
      <c r="N544" t="str">
        <f>IFERROR(TRIM(INDEX('Verificação Peneiradores'!$AE$33:$AE$42,MATCH("*",'Verificação Peneiradores'!$AE$33:$AE$42,0))),"")</f>
        <v>FELIPE</v>
      </c>
      <c r="O544" t="str">
        <f>IFERROR(TRIM(INDEX('Verificação Peneiradores'!$AD$33:$AD$42,MATCH("*",'Verificação Peneiradores'!$AD$33:$AD$42,0))),"")</f>
        <v>B</v>
      </c>
      <c r="P544" t="str">
        <f>IF(COUNTIF('Verificação Peneiradores'!$R$36:$R$40,"SEM TAG")&gt;0,"Sem TAG de calibração; ","")&amp;IF('Verificação Peneiradores'!$R$36="NÃO OK","Condições das telas; ","")&amp;IF('Verificação Peneiradores'!$R$37="NÃO OK","Inclinação das telas; ","")&amp;IF('Verificação Peneiradores'!$R$38="NÃO OK","Vibração do peneirador; ","")&amp;IF('Verificação Peneiradores'!$R$39="NÃO OK","Travamento das peneiras; ","")&amp;IF('Verificação Peneiradores'!$R$40="NÃO OK","Calibração; ","")</f>
        <v/>
      </c>
      <c r="Q544" t="s">
        <v>915</v>
      </c>
    </row>
    <row r="545">
      <c r="A545" t="s">
        <v>816</v>
      </c>
      <c r="B545" t="s">
        <v>667</v>
      </c>
      <c r="C545" s="912">
        <f>IF(MAX('Verificação Peneiradores'!$AC$33:$AC$42)=0,"",MAX('Verificação Peneiradores'!$AC$33:$AC$42))</f>
        <v>46280</v>
      </c>
      <c r="D545" t="str">
        <f>IF('Verificação Peneiradores'!$S$34&amp;""="","Peneirador 09",TRIM('Verificação Peneiradores'!$S$34&amp;""))</f>
        <v>PN631</v>
      </c>
      <c r="E545" t="str">
        <f>"Malha "&amp;'Verificação Peneiradores'!$S$33&amp;" mm ("&amp;"Peneirador 09"&amp;")"</f>
        <v>Malha 6,3 mm (Peneirador 09)</v>
      </c>
      <c r="F545" t="s">
        <v>817</v>
      </c>
      <c r="G545">
        <f>IF(COUNTA('Verificação Peneiradores'!$S$36:$S$40)=0,"",COUNTIF('Verificação Peneiradores'!$S$36:$S$40,"OK"))</f>
        <v>4</v>
      </c>
      <c r="H545">
        <f>IF(COUNTA('Verificação Peneiradores'!$S$36:$S$40)=0,"",COUNTA('Verificação Peneiradores'!$S$36:$S$40))</f>
        <v>5</v>
      </c>
      <c r="M545" t="str">
        <f>IF(COUNTA('Verificação Peneiradores'!$S$36:$S$40)=0,"",IF(COUNTIF('Verificação Peneiradores'!$S$36:$S$40,"NÃO OK")&gt;0,"Não conforme","Conforme"))</f>
        <v>Conforme</v>
      </c>
      <c r="N545" t="str">
        <f>IFERROR(TRIM(INDEX('Verificação Peneiradores'!$AE$33:$AE$42,MATCH("*",'Verificação Peneiradores'!$AE$33:$AE$42,0))),"")</f>
        <v>FELIPE</v>
      </c>
      <c r="O545" t="str">
        <f>IFERROR(TRIM(INDEX('Verificação Peneiradores'!$AD$33:$AD$42,MATCH("*",'Verificação Peneiradores'!$AD$33:$AD$42,0))),"")</f>
        <v>B</v>
      </c>
      <c r="P545" t="str">
        <f>IF(COUNTIF('Verificação Peneiradores'!$S$36:$S$40,"SEM TAG")&gt;0,"Sem TAG de calibração; ","")&amp;IF('Verificação Peneiradores'!$S$36="NÃO OK","Condições das telas; ","")&amp;IF('Verificação Peneiradores'!$S$37="NÃO OK","Inclinação das telas; ","")&amp;IF('Verificação Peneiradores'!$S$38="NÃO OK","Vibração do peneirador; ","")&amp;IF('Verificação Peneiradores'!$S$39="NÃO OK","Travamento das peneiras; ","")&amp;IF('Verificação Peneiradores'!$S$40="NÃO OK","Calibração; ","")</f>
        <v>Sem TAG de calibração; </v>
      </c>
      <c r="Q545" t="s">
        <v>916</v>
      </c>
    </row>
    <row r="546">
      <c r="A546" t="s">
        <v>816</v>
      </c>
      <c r="B546" t="s">
        <v>667</v>
      </c>
      <c r="C546" s="912">
        <f>IF(MAX('Verificação Peneiradores'!$AC$33:$AC$42)=0,"",MAX('Verificação Peneiradores'!$AC$33:$AC$42))</f>
        <v>46280</v>
      </c>
      <c r="D546" t="str">
        <f>IF('Verificação Peneiradores'!$T$34&amp;""="","Peneirador 05",TRIM('Verificação Peneiradores'!$T$34&amp;""))</f>
        <v>PN398</v>
      </c>
      <c r="E546" t="str">
        <f>"Malha "&amp;'Verificação Peneiradores'!$T$33&amp;" mm ("&amp;"Peneirador 05"&amp;")"</f>
        <v>Malha 19 mm (Peneirador 05)</v>
      </c>
      <c r="F546" t="s">
        <v>817</v>
      </c>
      <c r="G546">
        <f>IF(COUNTA('Verificação Peneiradores'!$T$36:$T$40)=0,"",COUNTIF('Verificação Peneiradores'!$T$36:$T$40,"OK"))</f>
        <v>4</v>
      </c>
      <c r="H546">
        <f>IF(COUNTA('Verificação Peneiradores'!$T$36:$T$40)=0,"",COUNTA('Verificação Peneiradores'!$T$36:$T$40))</f>
        <v>5</v>
      </c>
      <c r="M546" t="str">
        <f>IF(COUNTA('Verificação Peneiradores'!$T$36:$T$40)=0,"",IF(COUNTIF('Verificação Peneiradores'!$T$36:$T$40,"NÃO OK")&gt;0,"Não conforme","Conforme"))</f>
        <v>Conforme</v>
      </c>
      <c r="N546" t="str">
        <f>IFERROR(TRIM(INDEX('Verificação Peneiradores'!$AE$33:$AE$42,MATCH("*",'Verificação Peneiradores'!$AE$33:$AE$42,0))),"")</f>
        <v>FELIPE</v>
      </c>
      <c r="O546" t="str">
        <f>IFERROR(TRIM(INDEX('Verificação Peneiradores'!$AD$33:$AD$42,MATCH("*",'Verificação Peneiradores'!$AD$33:$AD$42,0))),"")</f>
        <v>B</v>
      </c>
      <c r="P546" t="str">
        <f>IF(COUNTIF('Verificação Peneiradores'!$T$36:$T$40,"SEM TAG")&gt;0,"Sem TAG de calibração; ","")&amp;IF('Verificação Peneiradores'!$T$36="NÃO OK","Condições das telas; ","")&amp;IF('Verificação Peneiradores'!$T$37="NÃO OK","Inclinação das telas; ","")&amp;IF('Verificação Peneiradores'!$T$38="NÃO OK","Vibração do peneirador; ","")&amp;IF('Verificação Peneiradores'!$T$39="NÃO OK","Travamento das peneiras; ","")&amp;IF('Verificação Peneiradores'!$T$40="NÃO OK","Calibração; ","")</f>
        <v>Sem TAG de calibração; </v>
      </c>
      <c r="Q546" t="s">
        <v>917</v>
      </c>
    </row>
    <row r="547">
      <c r="A547" t="s">
        <v>816</v>
      </c>
      <c r="B547" t="s">
        <v>667</v>
      </c>
      <c r="C547" s="912">
        <f>IF(MAX('Verificação Peneiradores'!$AC$33:$AC$42)=0,"",MAX('Verificação Peneiradores'!$AC$33:$AC$42))</f>
        <v>46280</v>
      </c>
      <c r="D547" t="str">
        <f>IF('Verificação Peneiradores'!$U$34&amp;""="","Peneirador 05",TRIM('Verificação Peneiradores'!$U$34&amp;""))</f>
        <v>PN664</v>
      </c>
      <c r="E547" t="str">
        <f>"Malha "&amp;'Verificação Peneiradores'!$U$33&amp;" mm ("&amp;"Peneirador 05"&amp;")"</f>
        <v>Malha 16 mm (Peneirador 05)</v>
      </c>
      <c r="F547" t="s">
        <v>817</v>
      </c>
      <c r="G547">
        <f>IF(COUNTA('Verificação Peneiradores'!$U$36:$U$40)=0,"",COUNTIF('Verificação Peneiradores'!$U$36:$U$40,"OK"))</f>
        <v>5</v>
      </c>
      <c r="H547">
        <f>IF(COUNTA('Verificação Peneiradores'!$U$36:$U$40)=0,"",COUNTA('Verificação Peneiradores'!$U$36:$U$40))</f>
        <v>5</v>
      </c>
      <c r="M547" t="str">
        <f>IF(COUNTA('Verificação Peneiradores'!$U$36:$U$40)=0,"",IF(COUNTIF('Verificação Peneiradores'!$U$36:$U$40,"NÃO OK")&gt;0,"Não conforme","Conforme"))</f>
        <v>Conforme</v>
      </c>
      <c r="N547" t="str">
        <f>IFERROR(TRIM(INDEX('Verificação Peneiradores'!$AE$33:$AE$42,MATCH("*",'Verificação Peneiradores'!$AE$33:$AE$42,0))),"")</f>
        <v>FELIPE</v>
      </c>
      <c r="O547" t="str">
        <f>IFERROR(TRIM(INDEX('Verificação Peneiradores'!$AD$33:$AD$42,MATCH("*",'Verificação Peneiradores'!$AD$33:$AD$42,0))),"")</f>
        <v>B</v>
      </c>
      <c r="P547" t="str">
        <f>IF(COUNTIF('Verificação Peneiradores'!$U$36:$U$40,"SEM TAG")&gt;0,"Sem TAG de calibração; ","")&amp;IF('Verificação Peneiradores'!$U$36="NÃO OK","Condições das telas; ","")&amp;IF('Verificação Peneiradores'!$U$37="NÃO OK","Inclinação das telas; ","")&amp;IF('Verificação Peneiradores'!$U$38="NÃO OK","Vibração do peneirador; ","")&amp;IF('Verificação Peneiradores'!$U$39="NÃO OK","Travamento das peneiras; ","")&amp;IF('Verificação Peneiradores'!$U$40="NÃO OK","Calibração; ","")</f>
        <v/>
      </c>
      <c r="Q547" t="s">
        <v>918</v>
      </c>
    </row>
    <row r="548">
      <c r="A548" t="s">
        <v>816</v>
      </c>
      <c r="B548" t="s">
        <v>667</v>
      </c>
      <c r="C548" s="912">
        <f>IF(MAX('Verificação Peneiradores'!$AC$33:$AC$42)=0,"",MAX('Verificação Peneiradores'!$AC$33:$AC$42))</f>
        <v>46280</v>
      </c>
      <c r="D548" t="str">
        <f>IF('Verificação Peneiradores'!$V$34&amp;""="","Peneirador 05",TRIM('Verificação Peneiradores'!$V$34&amp;""))</f>
        <v>PN665</v>
      </c>
      <c r="E548" t="str">
        <f>"Malha "&amp;'Verificação Peneiradores'!$V$33&amp;" mm ("&amp;"Peneirador 05"&amp;")"</f>
        <v>Malha 14 mm (Peneirador 05)</v>
      </c>
      <c r="F548" t="s">
        <v>817</v>
      </c>
      <c r="G548" t="str">
        <f>IF(COUNTA('Verificação Peneiradores'!$V$36:$V$40)=0,"",COUNTIF('Verificação Peneiradores'!$V$36:$V$40,"OK"))</f>
        <v/>
      </c>
      <c r="H548" t="str">
        <f>IF(COUNTA('Verificação Peneiradores'!$V$36:$V$40)=0,"",COUNTA('Verificação Peneiradores'!$V$36:$V$40))</f>
        <v/>
      </c>
      <c r="M548" t="str">
        <f>IF(COUNTA('Verificação Peneiradores'!$V$36:$V$40)=0,"",IF(COUNTIF('Verificação Peneiradores'!$V$36:$V$40,"NÃO OK")&gt;0,"Não conforme","Conforme"))</f>
        <v/>
      </c>
      <c r="N548" t="str">
        <f>IFERROR(TRIM(INDEX('Verificação Peneiradores'!$AE$33:$AE$42,MATCH("*",'Verificação Peneiradores'!$AE$33:$AE$42,0))),"")</f>
        <v>FELIPE</v>
      </c>
      <c r="O548" t="str">
        <f>IFERROR(TRIM(INDEX('Verificação Peneiradores'!$AD$33:$AD$42,MATCH("*",'Verificação Peneiradores'!$AD$33:$AD$42,0))),"")</f>
        <v>B</v>
      </c>
      <c r="P548" t="str">
        <f>IF(COUNTIF('Verificação Peneiradores'!$V$36:$V$40,"SEM TAG")&gt;0,"Sem TAG de calibração; ","")&amp;IF('Verificação Peneiradores'!$V$36="NÃO OK","Condições das telas; ","")&amp;IF('Verificação Peneiradores'!$V$37="NÃO OK","Inclinação das telas; ","")&amp;IF('Verificação Peneiradores'!$V$38="NÃO OK","Vibração do peneirador; ","")&amp;IF('Verificação Peneiradores'!$V$39="NÃO OK","Travamento das peneiras; ","")&amp;IF('Verificação Peneiradores'!$V$40="NÃO OK","Calibração; ","")</f>
        <v/>
      </c>
      <c r="Q548" t="s">
        <v>919</v>
      </c>
    </row>
    <row r="549">
      <c r="A549" t="s">
        <v>816</v>
      </c>
      <c r="B549" t="s">
        <v>667</v>
      </c>
      <c r="C549" s="912">
        <f>IF(MAX('Verificação Peneiradores'!$AC$33:$AC$42)=0,"",MAX('Verificação Peneiradores'!$AC$33:$AC$42))</f>
        <v>46280</v>
      </c>
      <c r="D549" t="str">
        <f>IF('Verificação Peneiradores'!$W$34&amp;""="","Peneirador 05",TRIM('Verificação Peneiradores'!$W$34&amp;""))</f>
        <v>PN666</v>
      </c>
      <c r="E549" t="str">
        <f>"Malha "&amp;'Verificação Peneiradores'!$W$33&amp;" mm ("&amp;"Peneirador 05"&amp;")"</f>
        <v>Malha 12,5 mm (Peneirador 05)</v>
      </c>
      <c r="F549" t="s">
        <v>817</v>
      </c>
      <c r="G549" t="str">
        <f>IF(COUNTA('Verificação Peneiradores'!$W$36:$W$40)=0,"",COUNTIF('Verificação Peneiradores'!$W$36:$W$40,"OK"))</f>
        <v/>
      </c>
      <c r="H549" t="str">
        <f>IF(COUNTA('Verificação Peneiradores'!$W$36:$W$40)=0,"",COUNTA('Verificação Peneiradores'!$W$36:$W$40))</f>
        <v/>
      </c>
      <c r="M549" t="str">
        <f>IF(COUNTA('Verificação Peneiradores'!$W$36:$W$40)=0,"",IF(COUNTIF('Verificação Peneiradores'!$W$36:$W$40,"NÃO OK")&gt;0,"Não conforme","Conforme"))</f>
        <v/>
      </c>
      <c r="N549" t="str">
        <f>IFERROR(TRIM(INDEX('Verificação Peneiradores'!$AE$33:$AE$42,MATCH("*",'Verificação Peneiradores'!$AE$33:$AE$42,0))),"")</f>
        <v>FELIPE</v>
      </c>
      <c r="O549" t="str">
        <f>IFERROR(TRIM(INDEX('Verificação Peneiradores'!$AD$33:$AD$42,MATCH("*",'Verificação Peneiradores'!$AD$33:$AD$42,0))),"")</f>
        <v>B</v>
      </c>
      <c r="P549" t="str">
        <f>IF(COUNTIF('Verificação Peneiradores'!$W$36:$W$40,"SEM TAG")&gt;0,"Sem TAG de calibração; ","")&amp;IF('Verificação Peneiradores'!$W$36="NÃO OK","Condições das telas; ","")&amp;IF('Verificação Peneiradores'!$W$37="NÃO OK","Inclinação das telas; ","")&amp;IF('Verificação Peneiradores'!$W$38="NÃO OK","Vibração do peneirador; ","")&amp;IF('Verificação Peneiradores'!$W$39="NÃO OK","Travamento das peneiras; ","")&amp;IF('Verificação Peneiradores'!$W$40="NÃO OK","Calibração; ","")</f>
        <v/>
      </c>
      <c r="Q549" t="s">
        <v>920</v>
      </c>
    </row>
    <row r="550">
      <c r="A550" t="s">
        <v>816</v>
      </c>
      <c r="B550" t="s">
        <v>667</v>
      </c>
      <c r="C550" s="912">
        <f>IF(MAX('Verificação Peneiradores'!$AC$33:$AC$42)=0,"",MAX('Verificação Peneiradores'!$AC$33:$AC$42))</f>
        <v>46280</v>
      </c>
      <c r="D550" t="str">
        <f>IF('Verificação Peneiradores'!$X$34&amp;""="","Peneirador 05",TRIM('Verificação Peneiradores'!$X$34&amp;""))</f>
        <v>PN646</v>
      </c>
      <c r="E550" t="str">
        <f>"Malha "&amp;'Verificação Peneiradores'!$X$33&amp;" mm ("&amp;"Peneirador 05"&amp;")"</f>
        <v>Malha 9 mm (Peneirador 05)</v>
      </c>
      <c r="F550" t="s">
        <v>817</v>
      </c>
      <c r="G550">
        <f>IF(COUNTA('Verificação Peneiradores'!$X$36:$X$40)=0,"",COUNTIF('Verificação Peneiradores'!$X$36:$X$40,"OK"))</f>
        <v>4</v>
      </c>
      <c r="H550">
        <f>IF(COUNTA('Verificação Peneiradores'!$X$36:$X$40)=0,"",COUNTA('Verificação Peneiradores'!$X$36:$X$40))</f>
        <v>5</v>
      </c>
      <c r="M550" t="str">
        <f>IF(COUNTA('Verificação Peneiradores'!$X$36:$X$40)=0,"",IF(COUNTIF('Verificação Peneiradores'!$X$36:$X$40,"NÃO OK")&gt;0,"Não conforme","Conforme"))</f>
        <v>Não conforme</v>
      </c>
      <c r="N550" t="str">
        <f>IFERROR(TRIM(INDEX('Verificação Peneiradores'!$AE$33:$AE$42,MATCH("*",'Verificação Peneiradores'!$AE$33:$AE$42,0))),"")</f>
        <v>FELIPE</v>
      </c>
      <c r="O550" t="str">
        <f>IFERROR(TRIM(INDEX('Verificação Peneiradores'!$AD$33:$AD$42,MATCH("*",'Verificação Peneiradores'!$AD$33:$AD$42,0))),"")</f>
        <v>B</v>
      </c>
      <c r="P550" t="str">
        <f>IF(COUNTIF('Verificação Peneiradores'!$X$36:$X$40,"SEM TAG")&gt;0,"Sem TAG de calibração; ","")&amp;IF('Verificação Peneiradores'!$X$36="NÃO OK","Condições das telas; ","")&amp;IF('Verificação Peneiradores'!$X$37="NÃO OK","Inclinação das telas; ","")&amp;IF('Verificação Peneiradores'!$X$38="NÃO OK","Vibração do peneirador; ","")&amp;IF('Verificação Peneiradores'!$X$39="NÃO OK","Travamento das peneiras; ","")&amp;IF('Verificação Peneiradores'!$X$40="NÃO OK","Calibração; ","")</f>
        <v>Calibração; </v>
      </c>
      <c r="Q550" t="s">
        <v>921</v>
      </c>
    </row>
    <row r="551">
      <c r="A551" t="s">
        <v>816</v>
      </c>
      <c r="B551" t="s">
        <v>667</v>
      </c>
      <c r="C551" s="912">
        <f>IF(MAX('Verificação Peneiradores'!$AC$33:$AC$42)=0,"",MAX('Verificação Peneiradores'!$AC$33:$AC$42))</f>
        <v>46280</v>
      </c>
      <c r="D551" t="str">
        <f>IF('Verificação Peneiradores'!$Y$34&amp;""="","Peneirador 05",TRIM('Verificação Peneiradores'!$Y$34&amp;""))</f>
        <v>PN647</v>
      </c>
      <c r="E551" t="str">
        <f>"Malha "&amp;'Verificação Peneiradores'!$Y$33&amp;" mm ("&amp;"Peneirador 05"&amp;")"</f>
        <v>Malha 8 mm (Peneirador 05)</v>
      </c>
      <c r="F551" t="s">
        <v>817</v>
      </c>
      <c r="G551" t="str">
        <f>IF(COUNTA('Verificação Peneiradores'!$Y$36:$Y$40)=0,"",COUNTIF('Verificação Peneiradores'!$Y$36:$Y$40,"OK"))</f>
        <v/>
      </c>
      <c r="H551" t="str">
        <f>IF(COUNTA('Verificação Peneiradores'!$Y$36:$Y$40)=0,"",COUNTA('Verificação Peneiradores'!$Y$36:$Y$40))</f>
        <v/>
      </c>
      <c r="M551" t="str">
        <f>IF(COUNTA('Verificação Peneiradores'!$Y$36:$Y$40)=0,"",IF(COUNTIF('Verificação Peneiradores'!$Y$36:$Y$40,"NÃO OK")&gt;0,"Não conforme","Conforme"))</f>
        <v/>
      </c>
      <c r="N551" t="str">
        <f>IFERROR(TRIM(INDEX('Verificação Peneiradores'!$AE$33:$AE$42,MATCH("*",'Verificação Peneiradores'!$AE$33:$AE$42,0))),"")</f>
        <v>FELIPE</v>
      </c>
      <c r="O551" t="str">
        <f>IFERROR(TRIM(INDEX('Verificação Peneiradores'!$AD$33:$AD$42,MATCH("*",'Verificação Peneiradores'!$AD$33:$AD$42,0))),"")</f>
        <v>B</v>
      </c>
      <c r="P551" t="str">
        <f>IF(COUNTIF('Verificação Peneiradores'!$Y$36:$Y$40,"SEM TAG")&gt;0,"Sem TAG de calibração; ","")&amp;IF('Verificação Peneiradores'!$Y$36="NÃO OK","Condições das telas; ","")&amp;IF('Verificação Peneiradores'!$Y$37="NÃO OK","Inclinação das telas; ","")&amp;IF('Verificação Peneiradores'!$Y$38="NÃO OK","Vibração do peneirador; ","")&amp;IF('Verificação Peneiradores'!$Y$39="NÃO OK","Travamento das peneiras; ","")&amp;IF('Verificação Peneiradores'!$Y$40="NÃO OK","Calibração; ","")</f>
        <v/>
      </c>
      <c r="Q551" t="s">
        <v>922</v>
      </c>
    </row>
    <row r="552">
      <c r="A552" t="s">
        <v>816</v>
      </c>
      <c r="B552" t="s">
        <v>667</v>
      </c>
      <c r="C552" s="912">
        <f>IF(MAX('Verificação Peneiradores'!$AC$33:$AC$42)=0,"",MAX('Verificação Peneiradores'!$AC$33:$AC$42))</f>
        <v>46280</v>
      </c>
      <c r="D552" t="str">
        <f>IF('Verificação Peneiradores'!$Z$34&amp;""="","Peneirador 05",TRIM('Verificação Peneiradores'!$Z$34&amp;""))</f>
        <v>PN648</v>
      </c>
      <c r="E552" t="str">
        <f>"Malha "&amp;'Verificação Peneiradores'!$Z$33&amp;" mm ("&amp;"Peneirador 05"&amp;")"</f>
        <v>Malha 6,3 mm (Peneirador 05)</v>
      </c>
      <c r="F552" t="s">
        <v>817</v>
      </c>
      <c r="G552">
        <f>IF(COUNTA('Verificação Peneiradores'!$Z$36:$Z$40)=0,"",COUNTIF('Verificação Peneiradores'!$Z$36:$Z$40,"OK"))</f>
        <v>0</v>
      </c>
      <c r="H552">
        <f>IF(COUNTA('Verificação Peneiradores'!$Z$36:$Z$40)=0,"",COUNTA('Verificação Peneiradores'!$Z$36:$Z$40))</f>
        <v>1</v>
      </c>
      <c r="M552" t="str">
        <f>IF(COUNTA('Verificação Peneiradores'!$Z$36:$Z$40)=0,"",IF(COUNTIF('Verificação Peneiradores'!$Z$36:$Z$40,"NÃO OK")&gt;0,"Não conforme","Conforme"))</f>
        <v>Conforme</v>
      </c>
      <c r="N552" t="str">
        <f>IFERROR(TRIM(INDEX('Verificação Peneiradores'!$AE$33:$AE$42,MATCH("*",'Verificação Peneiradores'!$AE$33:$AE$42,0))),"")</f>
        <v>FELIPE</v>
      </c>
      <c r="O552" t="str">
        <f>IFERROR(TRIM(INDEX('Verificação Peneiradores'!$AD$33:$AD$42,MATCH("*",'Verificação Peneiradores'!$AD$33:$AD$42,0))),"")</f>
        <v>B</v>
      </c>
      <c r="P552" t="str">
        <f>IF(COUNTIF('Verificação Peneiradores'!$Z$36:$Z$40,"SEM TAG")&gt;0,"Sem TAG de calibração; ","")&amp;IF('Verificação Peneiradores'!$Z$36="NÃO OK","Condições das telas; ","")&amp;IF('Verificação Peneiradores'!$Z$37="NÃO OK","Inclinação das telas; ","")&amp;IF('Verificação Peneiradores'!$Z$38="NÃO OK","Vibração do peneirador; ","")&amp;IF('Verificação Peneiradores'!$Z$39="NÃO OK","Travamento das peneiras; ","")&amp;IF('Verificação Peneiradores'!$Z$40="NÃO OK","Calibração; ","")</f>
        <v>Sem TAG de calibração; </v>
      </c>
      <c r="Q552" t="s">
        <v>923</v>
      </c>
    </row>
    <row r="553">
      <c r="A553" t="s">
        <v>816</v>
      </c>
      <c r="B553" t="s">
        <v>667</v>
      </c>
      <c r="C553" s="912">
        <f>IF(MAX('Verificação Peneiradores'!$AC$33:$AC$42)=0,"",MAX('Verificação Peneiradores'!$AC$33:$AC$42))</f>
        <v>46280</v>
      </c>
      <c r="D553" t="str">
        <f>IF('Verificação Peneiradores'!$AA$34&amp;""="","Peneirador 06",TRIM('Verificação Peneiradores'!$AA$34&amp;""))</f>
        <v>PN649</v>
      </c>
      <c r="E553" t="str">
        <f>"Malha "&amp;'Verificação Peneiradores'!$AA$33&amp;" mm ("&amp;"Peneirador 06"&amp;")"</f>
        <v>Malha 6,3 mm (Peneirador 06)</v>
      </c>
      <c r="F553" t="s">
        <v>817</v>
      </c>
      <c r="G553">
        <f>IF(COUNTA('Verificação Peneiradores'!$AA$36:$AA$40)=0,"",COUNTIF('Verificação Peneiradores'!$AA$36:$AA$40,"OK"))</f>
        <v>4</v>
      </c>
      <c r="H553">
        <f>IF(COUNTA('Verificação Peneiradores'!$AA$36:$AA$40)=0,"",COUNTA('Verificação Peneiradores'!$AA$36:$AA$40))</f>
        <v>5</v>
      </c>
      <c r="M553" t="str">
        <f>IF(COUNTA('Verificação Peneiradores'!$AA$36:$AA$40)=0,"",IF(COUNTIF('Verificação Peneiradores'!$AA$36:$AA$40,"NÃO OK")&gt;0,"Não conforme","Conforme"))</f>
        <v>Não conforme</v>
      </c>
      <c r="N553" t="str">
        <f>IFERROR(TRIM(INDEX('Verificação Peneiradores'!$AE$33:$AE$42,MATCH("*",'Verificação Peneiradores'!$AE$33:$AE$42,0))),"")</f>
        <v>FELIPE</v>
      </c>
      <c r="O553" t="str">
        <f>IFERROR(TRIM(INDEX('Verificação Peneiradores'!$AD$33:$AD$42,MATCH("*",'Verificação Peneiradores'!$AD$33:$AD$42,0))),"")</f>
        <v>B</v>
      </c>
      <c r="P553" t="str">
        <f>IF(COUNTIF('Verificação Peneiradores'!$AA$36:$AA$40,"SEM TAG")&gt;0,"Sem TAG de calibração; ","")&amp;IF('Verificação Peneiradores'!$AA$36="NÃO OK","Condições das telas; ","")&amp;IF('Verificação Peneiradores'!$AA$37="NÃO OK","Inclinação das telas; ","")&amp;IF('Verificação Peneiradores'!$AA$38="NÃO OK","Vibração do peneirador; ","")&amp;IF('Verificação Peneiradores'!$AA$39="NÃO OK","Travamento das peneiras; ","")&amp;IF('Verificação Peneiradores'!$AA$40="NÃO OK","Calibração; ","")</f>
        <v>Calibração; </v>
      </c>
      <c r="Q553" t="s">
        <v>924</v>
      </c>
    </row>
    <row r="554">
      <c r="A554" t="s">
        <v>816</v>
      </c>
      <c r="B554" t="s">
        <v>667</v>
      </c>
      <c r="C554" s="912">
        <f>IF(MAX('Verificação Peneiradores'!$AC$33:$AC$42)=0,"",MAX('Verificação Peneiradores'!$AC$33:$AC$42))</f>
        <v>46280</v>
      </c>
      <c r="D554" t="str">
        <f>IF('Verificação Peneiradores'!$AB$34&amp;""="","Peneirador 06",TRIM('Verificação Peneiradores'!$AB$34&amp;""))</f>
        <v>N/CONT</v>
      </c>
      <c r="E554" t="str">
        <f>"Malha "&amp;'Verificação Peneiradores'!$AB$33&amp;" mm ("&amp;"Peneirador 06"&amp;")"</f>
        <v>Malha 10 mm (Peneirador 06)</v>
      </c>
      <c r="F554" t="s">
        <v>817</v>
      </c>
      <c r="G554">
        <f>IF(COUNTA('Verificação Peneiradores'!$AB$36:$AB$40)=0,"",COUNTIF('Verificação Peneiradores'!$AB$36:$AB$40,"OK"))</f>
        <v>5</v>
      </c>
      <c r="H554">
        <f>IF(COUNTA('Verificação Peneiradores'!$AB$36:$AB$40)=0,"",COUNTA('Verificação Peneiradores'!$AB$36:$AB$40))</f>
        <v>5</v>
      </c>
      <c r="M554" t="str">
        <f>IF(COUNTA('Verificação Peneiradores'!$AB$36:$AB$40)=0,"",IF(COUNTIF('Verificação Peneiradores'!$AB$36:$AB$40,"NÃO OK")&gt;0,"Não conforme","Conforme"))</f>
        <v>Conforme</v>
      </c>
      <c r="N554" t="str">
        <f>IFERROR(TRIM(INDEX('Verificação Peneiradores'!$AE$33:$AE$42,MATCH("*",'Verificação Peneiradores'!$AE$33:$AE$42,0))),"")</f>
        <v>FELIPE</v>
      </c>
      <c r="O554" t="str">
        <f>IFERROR(TRIM(INDEX('Verificação Peneiradores'!$AD$33:$AD$42,MATCH("*",'Verificação Peneiradores'!$AD$33:$AD$42,0))),"")</f>
        <v>B</v>
      </c>
      <c r="P554" t="str">
        <f>IF(COUNTIF('Verificação Peneiradores'!$AB$36:$AB$40,"SEM TAG")&gt;0,"Sem TAG de calibração; ","")&amp;IF('Verificação Peneiradores'!$AB$36="NÃO OK","Condições das telas; ","")&amp;IF('Verificação Peneiradores'!$AB$37="NÃO OK","Inclinação das telas; ","")&amp;IF('Verificação Peneiradores'!$AB$38="NÃO OK","Vibração do peneirador; ","")&amp;IF('Verificação Peneiradores'!$AB$39="NÃO OK","Travamento das peneiras; ","")&amp;IF('Verificação Peneiradores'!$AB$40="NÃO OK","Calibração; ","")</f>
        <v/>
      </c>
      <c r="Q554" t="s">
        <v>925</v>
      </c>
    </row>
    <row r="555">
      <c r="A555" t="s">
        <v>816</v>
      </c>
      <c r="B555" t="s">
        <v>667</v>
      </c>
      <c r="C555" s="912">
        <f>IF(MAX('Verificação Peneiradores'!$AC$43:$AC$52)=0,"",MAX('Verificação Peneiradores'!$AC$43:$AC$52))</f>
        <v>46282</v>
      </c>
      <c r="D555" t="str">
        <f>IF('Verificação Peneiradores'!$B$44&amp;""="","Circulares",TRIM('Verificação Peneiradores'!$B$44&amp;""))</f>
        <v>PN0423</v>
      </c>
      <c r="E555" t="str">
        <f>"Malha "&amp;'Verificação Peneiradores'!$B$43&amp;" mm ("&amp;"Circulares"&amp;")"</f>
        <v>Malha 19 mm (Circulares)</v>
      </c>
      <c r="F555" t="s">
        <v>817</v>
      </c>
      <c r="G555">
        <f>IF(COUNTA('Verificação Peneiradores'!$B$46:$B$50)=0,"",COUNTIF('Verificação Peneiradores'!$B$46:$B$50,"OK"))</f>
        <v>5</v>
      </c>
      <c r="H555">
        <f>IF(COUNTA('Verificação Peneiradores'!$B$46:$B$50)=0,"",COUNTA('Verificação Peneiradores'!$B$46:$B$50))</f>
        <v>5</v>
      </c>
      <c r="M555" t="str">
        <f>IF(COUNTA('Verificação Peneiradores'!$B$46:$B$50)=0,"",IF(COUNTIF('Verificação Peneiradores'!$B$46:$B$50,"NÃO OK")&gt;0,"Não conforme","Conforme"))</f>
        <v>Conforme</v>
      </c>
      <c r="N555" t="str">
        <f>IFERROR(TRIM(INDEX('Verificação Peneiradores'!$AE$43:$AE$52,MATCH("*",'Verificação Peneiradores'!$AE$43:$AE$52,0))),"")</f>
        <v>LEONARDO</v>
      </c>
      <c r="O555" t="str">
        <f>IFERROR(TRIM(INDEX('Verificação Peneiradores'!$AD$43:$AD$52,MATCH("*",'Verificação Peneiradores'!$AD$43:$AD$52,0))),"")</f>
        <v>A</v>
      </c>
      <c r="P555" t="str">
        <f>IF(COUNTIF('Verificação Peneiradores'!$B$46:$B$50,"SEM TAG")&gt;0,"Sem TAG de calibração; ","")&amp;IF('Verificação Peneiradores'!$B$46="NÃO OK","Condições das telas; ","")&amp;IF('Verificação Peneiradores'!$B$47="NÃO OK","Inclinação das telas; ","")&amp;IF('Verificação Peneiradores'!$B$48="NÃO OK","Vibração do peneirador; ","")&amp;IF('Verificação Peneiradores'!$B$49="NÃO OK","Travamento das peneiras; ","")&amp;IF('Verificação Peneiradores'!$B$50="NÃO OK","Calibração; ","")</f>
        <v/>
      </c>
      <c r="Q555" t="s">
        <v>926</v>
      </c>
    </row>
    <row r="556">
      <c r="A556" t="s">
        <v>816</v>
      </c>
      <c r="B556" t="s">
        <v>667</v>
      </c>
      <c r="C556" s="912">
        <f>IF(MAX('Verificação Peneiradores'!$AC$43:$AC$52)=0,"",MAX('Verificação Peneiradores'!$AC$43:$AC$52))</f>
        <v>46282</v>
      </c>
      <c r="D556" t="str">
        <f>IF('Verificação Peneiradores'!$C$44&amp;""="","Circulares",TRIM('Verificação Peneiradores'!$C$44&amp;""))</f>
        <v>PN0482</v>
      </c>
      <c r="E556" t="str">
        <f>"Malha "&amp;'Verificação Peneiradores'!$C$43&amp;" mm ("&amp;"Circulares"&amp;")"</f>
        <v>Malha 16 mm (Circulares)</v>
      </c>
      <c r="F556" t="s">
        <v>817</v>
      </c>
      <c r="G556">
        <f>IF(COUNTA('Verificação Peneiradores'!$C$46:$C$50)=0,"",COUNTIF('Verificação Peneiradores'!$C$46:$C$50,"OK"))</f>
        <v>4</v>
      </c>
      <c r="H556">
        <f>IF(COUNTA('Verificação Peneiradores'!$C$46:$C$50)=0,"",COUNTA('Verificação Peneiradores'!$C$46:$C$50))</f>
        <v>5</v>
      </c>
      <c r="M556" t="str">
        <f>IF(COUNTA('Verificação Peneiradores'!$C$46:$C$50)=0,"",IF(COUNTIF('Verificação Peneiradores'!$C$46:$C$50,"NÃO OK")&gt;0,"Não conforme","Conforme"))</f>
        <v>Conforme</v>
      </c>
      <c r="N556" t="str">
        <f>IFERROR(TRIM(INDEX('Verificação Peneiradores'!$AE$43:$AE$52,MATCH("*",'Verificação Peneiradores'!$AE$43:$AE$52,0))),"")</f>
        <v>LEONARDO</v>
      </c>
      <c r="O556" t="str">
        <f>IFERROR(TRIM(INDEX('Verificação Peneiradores'!$AD$43:$AD$52,MATCH("*",'Verificação Peneiradores'!$AD$43:$AD$52,0))),"")</f>
        <v>A</v>
      </c>
      <c r="P556" t="str">
        <f>IF(COUNTIF('Verificação Peneiradores'!$C$46:$C$50,"SEM TAG")&gt;0,"Sem TAG de calibração; ","")&amp;IF('Verificação Peneiradores'!$C$46="NÃO OK","Condições das telas; ","")&amp;IF('Verificação Peneiradores'!$C$47="NÃO OK","Inclinação das telas; ","")&amp;IF('Verificação Peneiradores'!$C$48="NÃO OK","Vibração do peneirador; ","")&amp;IF('Verificação Peneiradores'!$C$49="NÃO OK","Travamento das peneiras; ","")&amp;IF('Verificação Peneiradores'!$C$50="NÃO OK","Calibração; ","")</f>
        <v>Sem TAG de calibração; </v>
      </c>
      <c r="Q556" t="s">
        <v>927</v>
      </c>
    </row>
    <row r="557">
      <c r="A557" t="s">
        <v>816</v>
      </c>
      <c r="B557" t="s">
        <v>667</v>
      </c>
      <c r="C557" s="912">
        <f>IF(MAX('Verificação Peneiradores'!$AC$43:$AC$52)=0,"",MAX('Verificação Peneiradores'!$AC$43:$AC$52))</f>
        <v>46282</v>
      </c>
      <c r="D557" t="str">
        <f>IF('Verificação Peneiradores'!$D$44&amp;""="","Circulares",TRIM('Verificação Peneiradores'!$D$44&amp;""))</f>
        <v>PN 614</v>
      </c>
      <c r="E557" t="str">
        <f>"Malha "&amp;'Verificação Peneiradores'!$D$43&amp;" mm ("&amp;"Circulares"&amp;")"</f>
        <v>Malha 12,5 mm (Circulares)</v>
      </c>
      <c r="F557" t="s">
        <v>817</v>
      </c>
      <c r="G557">
        <f>IF(COUNTA('Verificação Peneiradores'!$D$46:$D$50)=0,"",COUNTIF('Verificação Peneiradores'!$D$46:$D$50,"OK"))</f>
        <v>4</v>
      </c>
      <c r="H557">
        <f>IF(COUNTA('Verificação Peneiradores'!$D$46:$D$50)=0,"",COUNTA('Verificação Peneiradores'!$D$46:$D$50))</f>
        <v>5</v>
      </c>
      <c r="M557" t="str">
        <f>IF(COUNTA('Verificação Peneiradores'!$D$46:$D$50)=0,"",IF(COUNTIF('Verificação Peneiradores'!$D$46:$D$50,"NÃO OK")&gt;0,"Não conforme","Conforme"))</f>
        <v>Conforme</v>
      </c>
      <c r="N557" t="str">
        <f>IFERROR(TRIM(INDEX('Verificação Peneiradores'!$AE$43:$AE$52,MATCH("*",'Verificação Peneiradores'!$AE$43:$AE$52,0))),"")</f>
        <v>LEONARDO</v>
      </c>
      <c r="O557" t="str">
        <f>IFERROR(TRIM(INDEX('Verificação Peneiradores'!$AD$43:$AD$52,MATCH("*",'Verificação Peneiradores'!$AD$43:$AD$52,0))),"")</f>
        <v>A</v>
      </c>
      <c r="P557" t="str">
        <f>IF(COUNTIF('Verificação Peneiradores'!$D$46:$D$50,"SEM TAG")&gt;0,"Sem TAG de calibração; ","")&amp;IF('Verificação Peneiradores'!$D$46="NÃO OK","Condições das telas; ","")&amp;IF('Verificação Peneiradores'!$D$47="NÃO OK","Inclinação das telas; ","")&amp;IF('Verificação Peneiradores'!$D$48="NÃO OK","Vibração do peneirador; ","")&amp;IF('Verificação Peneiradores'!$D$49="NÃO OK","Travamento das peneiras; ","")&amp;IF('Verificação Peneiradores'!$D$50="NÃO OK","Calibração; ","")</f>
        <v>Sem TAG de calibração; </v>
      </c>
      <c r="Q557" t="s">
        <v>928</v>
      </c>
    </row>
    <row r="558">
      <c r="A558" t="s">
        <v>816</v>
      </c>
      <c r="B558" t="s">
        <v>667</v>
      </c>
      <c r="C558" s="912">
        <f>IF(MAX('Verificação Peneiradores'!$AC$43:$AC$52)=0,"",MAX('Verificação Peneiradores'!$AC$43:$AC$52))</f>
        <v>46282</v>
      </c>
      <c r="D558" t="str">
        <f>IF('Verificação Peneiradores'!$E$44&amp;""="","Circulares",TRIM('Verificação Peneiradores'!$E$44&amp;""))</f>
        <v>PN 303</v>
      </c>
      <c r="E558" t="str">
        <f>"Malha "&amp;'Verificação Peneiradores'!$E$43&amp;" mm ("&amp;"Circulares"&amp;")"</f>
        <v>Malha 10 mm (Circulares)</v>
      </c>
      <c r="F558" t="s">
        <v>817</v>
      </c>
      <c r="G558">
        <f>IF(COUNTA('Verificação Peneiradores'!$E$46:$E$50)=0,"",COUNTIF('Verificação Peneiradores'!$E$46:$E$50,"OK"))</f>
        <v>4</v>
      </c>
      <c r="H558">
        <f>IF(COUNTA('Verificação Peneiradores'!$E$46:$E$50)=0,"",COUNTA('Verificação Peneiradores'!$E$46:$E$50))</f>
        <v>5</v>
      </c>
      <c r="M558" t="str">
        <f>IF(COUNTA('Verificação Peneiradores'!$E$46:$E$50)=0,"",IF(COUNTIF('Verificação Peneiradores'!$E$46:$E$50,"NÃO OK")&gt;0,"Não conforme","Conforme"))</f>
        <v>Conforme</v>
      </c>
      <c r="N558" t="str">
        <f>IFERROR(TRIM(INDEX('Verificação Peneiradores'!$AE$43:$AE$52,MATCH("*",'Verificação Peneiradores'!$AE$43:$AE$52,0))),"")</f>
        <v>LEONARDO</v>
      </c>
      <c r="O558" t="str">
        <f>IFERROR(TRIM(INDEX('Verificação Peneiradores'!$AD$43:$AD$52,MATCH("*",'Verificação Peneiradores'!$AD$43:$AD$52,0))),"")</f>
        <v>A</v>
      </c>
      <c r="P558" t="str">
        <f>IF(COUNTIF('Verificação Peneiradores'!$E$46:$E$50,"SEM TAG")&gt;0,"Sem TAG de calibração; ","")&amp;IF('Verificação Peneiradores'!$E$46="NÃO OK","Condições das telas; ","")&amp;IF('Verificação Peneiradores'!$E$47="NÃO OK","Inclinação das telas; ","")&amp;IF('Verificação Peneiradores'!$E$48="NÃO OK","Vibração do peneirador; ","")&amp;IF('Verificação Peneiradores'!$E$49="NÃO OK","Travamento das peneiras; ","")&amp;IF('Verificação Peneiradores'!$E$50="NÃO OK","Calibração; ","")</f>
        <v>Sem TAG de calibração; </v>
      </c>
      <c r="Q558" t="s">
        <v>929</v>
      </c>
    </row>
    <row r="559">
      <c r="A559" t="s">
        <v>816</v>
      </c>
      <c r="B559" t="s">
        <v>667</v>
      </c>
      <c r="C559" s="912">
        <f>IF(MAX('Verificação Peneiradores'!$AC$43:$AC$52)=0,"",MAX('Verificação Peneiradores'!$AC$43:$AC$52))</f>
        <v>46282</v>
      </c>
      <c r="D559" t="str">
        <f>IF('Verificação Peneiradores'!$F$44&amp;""="","Circulares",TRIM('Verificação Peneiradores'!$F$44&amp;""))</f>
        <v>PN431</v>
      </c>
      <c r="E559" t="str">
        <f>"Malha "&amp;'Verificação Peneiradores'!$F$43&amp;" mm ("&amp;"Circulares"&amp;")"</f>
        <v>Malha 9 mm (Circulares)</v>
      </c>
      <c r="F559" t="s">
        <v>817</v>
      </c>
      <c r="G559">
        <f>IF(COUNTA('Verificação Peneiradores'!$F$46:$F$50)=0,"",COUNTIF('Verificação Peneiradores'!$F$46:$F$50,"OK"))</f>
        <v>5</v>
      </c>
      <c r="H559">
        <f>IF(COUNTA('Verificação Peneiradores'!$F$46:$F$50)=0,"",COUNTA('Verificação Peneiradores'!$F$46:$F$50))</f>
        <v>5</v>
      </c>
      <c r="M559" t="str">
        <f>IF(COUNTA('Verificação Peneiradores'!$F$46:$F$50)=0,"",IF(COUNTIF('Verificação Peneiradores'!$F$46:$F$50,"NÃO OK")&gt;0,"Não conforme","Conforme"))</f>
        <v>Conforme</v>
      </c>
      <c r="N559" t="str">
        <f>IFERROR(TRIM(INDEX('Verificação Peneiradores'!$AE$43:$AE$52,MATCH("*",'Verificação Peneiradores'!$AE$43:$AE$52,0))),"")</f>
        <v>LEONARDO</v>
      </c>
      <c r="O559" t="str">
        <f>IFERROR(TRIM(INDEX('Verificação Peneiradores'!$AD$43:$AD$52,MATCH("*",'Verificação Peneiradores'!$AD$43:$AD$52,0))),"")</f>
        <v>A</v>
      </c>
      <c r="P559" t="str">
        <f>IF(COUNTIF('Verificação Peneiradores'!$F$46:$F$50,"SEM TAG")&gt;0,"Sem TAG de calibração; ","")&amp;IF('Verificação Peneiradores'!$F$46="NÃO OK","Condições das telas; ","")&amp;IF('Verificação Peneiradores'!$F$47="NÃO OK","Inclinação das telas; ","")&amp;IF('Verificação Peneiradores'!$F$48="NÃO OK","Vibração do peneirador; ","")&amp;IF('Verificação Peneiradores'!$F$49="NÃO OK","Travamento das peneiras; ","")&amp;IF('Verificação Peneiradores'!$F$50="NÃO OK","Calibração; ","")</f>
        <v/>
      </c>
      <c r="Q559" t="s">
        <v>930</v>
      </c>
    </row>
    <row r="560">
      <c r="A560" t="s">
        <v>816</v>
      </c>
      <c r="B560" t="s">
        <v>667</v>
      </c>
      <c r="C560" s="912">
        <f>IF(MAX('Verificação Peneiradores'!$AC$43:$AC$52)=0,"",MAX('Verificação Peneiradores'!$AC$43:$AC$52))</f>
        <v>46282</v>
      </c>
      <c r="D560" t="str">
        <f>IF('Verificação Peneiradores'!$G$44&amp;""="","Circulares",TRIM('Verificação Peneiradores'!$G$44&amp;""))</f>
        <v>PN432</v>
      </c>
      <c r="E560" t="str">
        <f>"Malha "&amp;'Verificação Peneiradores'!$G$43&amp;" mm ("&amp;"Circulares"&amp;")"</f>
        <v>Malha 8 mm (Circulares)</v>
      </c>
      <c r="F560" t="s">
        <v>817</v>
      </c>
      <c r="G560">
        <f>IF(COUNTA('Verificação Peneiradores'!$G$46:$G$50)=0,"",COUNTIF('Verificação Peneiradores'!$G$46:$G$50,"OK"))</f>
        <v>5</v>
      </c>
      <c r="H560">
        <f>IF(COUNTA('Verificação Peneiradores'!$G$46:$G$50)=0,"",COUNTA('Verificação Peneiradores'!$G$46:$G$50))</f>
        <v>5</v>
      </c>
      <c r="M560" t="str">
        <f>IF(COUNTA('Verificação Peneiradores'!$G$46:$G$50)=0,"",IF(COUNTIF('Verificação Peneiradores'!$G$46:$G$50,"NÃO OK")&gt;0,"Não conforme","Conforme"))</f>
        <v>Conforme</v>
      </c>
      <c r="N560" t="str">
        <f>IFERROR(TRIM(INDEX('Verificação Peneiradores'!$AE$43:$AE$52,MATCH("*",'Verificação Peneiradores'!$AE$43:$AE$52,0))),"")</f>
        <v>LEONARDO</v>
      </c>
      <c r="O560" t="str">
        <f>IFERROR(TRIM(INDEX('Verificação Peneiradores'!$AD$43:$AD$52,MATCH("*",'Verificação Peneiradores'!$AD$43:$AD$52,0))),"")</f>
        <v>A</v>
      </c>
      <c r="P560" t="str">
        <f>IF(COUNTIF('Verificação Peneiradores'!$G$46:$G$50,"SEM TAG")&gt;0,"Sem TAG de calibração; ","")&amp;IF('Verificação Peneiradores'!$G$46="NÃO OK","Condições das telas; ","")&amp;IF('Verificação Peneiradores'!$G$47="NÃO OK","Inclinação das telas; ","")&amp;IF('Verificação Peneiradores'!$G$48="NÃO OK","Vibração do peneirador; ","")&amp;IF('Verificação Peneiradores'!$G$49="NÃO OK","Travamento das peneiras; ","")&amp;IF('Verificação Peneiradores'!$G$50="NÃO OK","Calibração; ","")</f>
        <v/>
      </c>
      <c r="Q560" t="s">
        <v>931</v>
      </c>
    </row>
    <row r="561">
      <c r="A561" t="s">
        <v>816</v>
      </c>
      <c r="B561" t="s">
        <v>667</v>
      </c>
      <c r="C561" s="912">
        <f>IF(MAX('Verificação Peneiradores'!$AC$43:$AC$52)=0,"",MAX('Verificação Peneiradores'!$AC$43:$AC$52))</f>
        <v>46282</v>
      </c>
      <c r="D561" t="str">
        <f>IF('Verificação Peneiradores'!$H$44&amp;""="","Circulares",TRIM('Verificação Peneiradores'!$H$44&amp;""))</f>
        <v>PN0430</v>
      </c>
      <c r="E561" t="str">
        <f>"Malha "&amp;'Verificação Peneiradores'!$H$43&amp;" mm ("&amp;"Circulares"&amp;")"</f>
        <v>Malha 6,3 mm (Circulares)</v>
      </c>
      <c r="F561" t="s">
        <v>817</v>
      </c>
      <c r="G561">
        <f>IF(COUNTA('Verificação Peneiradores'!$H$46:$H$50)=0,"",COUNTIF('Verificação Peneiradores'!$H$46:$H$50,"OK"))</f>
        <v>5</v>
      </c>
      <c r="H561">
        <f>IF(COUNTA('Verificação Peneiradores'!$H$46:$H$50)=0,"",COUNTA('Verificação Peneiradores'!$H$46:$H$50))</f>
        <v>5</v>
      </c>
      <c r="M561" t="str">
        <f>IF(COUNTA('Verificação Peneiradores'!$H$46:$H$50)=0,"",IF(COUNTIF('Verificação Peneiradores'!$H$46:$H$50,"NÃO OK")&gt;0,"Não conforme","Conforme"))</f>
        <v>Conforme</v>
      </c>
      <c r="N561" t="str">
        <f>IFERROR(TRIM(INDEX('Verificação Peneiradores'!$AE$43:$AE$52,MATCH("*",'Verificação Peneiradores'!$AE$43:$AE$52,0))),"")</f>
        <v>LEONARDO</v>
      </c>
      <c r="O561" t="str">
        <f>IFERROR(TRIM(INDEX('Verificação Peneiradores'!$AD$43:$AD$52,MATCH("*",'Verificação Peneiradores'!$AD$43:$AD$52,0))),"")</f>
        <v>A</v>
      </c>
      <c r="P561" t="str">
        <f>IF(COUNTIF('Verificação Peneiradores'!$H$46:$H$50,"SEM TAG")&gt;0,"Sem TAG de calibração; ","")&amp;IF('Verificação Peneiradores'!$H$46="NÃO OK","Condições das telas; ","")&amp;IF('Verificação Peneiradores'!$H$47="NÃO OK","Inclinação das telas; ","")&amp;IF('Verificação Peneiradores'!$H$48="NÃO OK","Vibração do peneirador; ","")&amp;IF('Verificação Peneiradores'!$H$49="NÃO OK","Travamento das peneiras; ","")&amp;IF('Verificação Peneiradores'!$H$50="NÃO OK","Calibração; ","")</f>
        <v/>
      </c>
      <c r="Q561" t="s">
        <v>932</v>
      </c>
    </row>
    <row r="562">
      <c r="A562" t="s">
        <v>816</v>
      </c>
      <c r="B562" t="s">
        <v>667</v>
      </c>
      <c r="C562" s="912">
        <f>IF(MAX('Verificação Peneiradores'!$AC$43:$AC$52)=0,"",MAX('Verificação Peneiradores'!$AC$43:$AC$52))</f>
        <v>46282</v>
      </c>
      <c r="D562" t="str">
        <f>IF('Verificação Peneiradores'!$I$44&amp;""="","Circulares",TRIM('Verificação Peneiradores'!$I$44&amp;""))</f>
        <v>PN0425</v>
      </c>
      <c r="E562" t="str">
        <f>"Malha "&amp;'Verificação Peneiradores'!$I$43&amp;" mm ("&amp;"Circulares"&amp;")"</f>
        <v>Malha 5 mm (Circulares)</v>
      </c>
      <c r="F562" t="s">
        <v>817</v>
      </c>
      <c r="G562">
        <f>IF(COUNTA('Verificação Peneiradores'!$I$46:$I$50)=0,"",COUNTIF('Verificação Peneiradores'!$I$46:$I$50,"OK"))</f>
        <v>5</v>
      </c>
      <c r="H562">
        <f>IF(COUNTA('Verificação Peneiradores'!$I$46:$I$50)=0,"",COUNTA('Verificação Peneiradores'!$I$46:$I$50))</f>
        <v>5</v>
      </c>
      <c r="M562" t="str">
        <f>IF(COUNTA('Verificação Peneiradores'!$I$46:$I$50)=0,"",IF(COUNTIF('Verificação Peneiradores'!$I$46:$I$50,"NÃO OK")&gt;0,"Não conforme","Conforme"))</f>
        <v>Conforme</v>
      </c>
      <c r="N562" t="str">
        <f>IFERROR(TRIM(INDEX('Verificação Peneiradores'!$AE$43:$AE$52,MATCH("*",'Verificação Peneiradores'!$AE$43:$AE$52,0))),"")</f>
        <v>LEONARDO</v>
      </c>
      <c r="O562" t="str">
        <f>IFERROR(TRIM(INDEX('Verificação Peneiradores'!$AD$43:$AD$52,MATCH("*",'Verificação Peneiradores'!$AD$43:$AD$52,0))),"")</f>
        <v>A</v>
      </c>
      <c r="P562" t="str">
        <f>IF(COUNTIF('Verificação Peneiradores'!$I$46:$I$50,"SEM TAG")&gt;0,"Sem TAG de calibração; ","")&amp;IF('Verificação Peneiradores'!$I$46="NÃO OK","Condições das telas; ","")&amp;IF('Verificação Peneiradores'!$I$47="NÃO OK","Inclinação das telas; ","")&amp;IF('Verificação Peneiradores'!$I$48="NÃO OK","Vibração do peneirador; ","")&amp;IF('Verificação Peneiradores'!$I$49="NÃO OK","Travamento das peneiras; ","")&amp;IF('Verificação Peneiradores'!$I$50="NÃO OK","Calibração; ","")</f>
        <v/>
      </c>
      <c r="Q562" t="s">
        <v>933</v>
      </c>
    </row>
    <row r="563">
      <c r="A563" t="s">
        <v>816</v>
      </c>
      <c r="B563" t="s">
        <v>667</v>
      </c>
      <c r="C563" s="912">
        <f>IF(MAX('Verificação Peneiradores'!$AC$43:$AC$52)=0,"",MAX('Verificação Peneiradores'!$AC$43:$AC$52))</f>
        <v>46282</v>
      </c>
      <c r="D563" t="str">
        <f>IF('Verificação Peneiradores'!$J$44&amp;""="","Circulares",TRIM('Verificação Peneiradores'!$J$44&amp;""))</f>
        <v>PN0,46</v>
      </c>
      <c r="E563" t="str">
        <f>"Malha "&amp;'Verificação Peneiradores'!$J$43&amp;" mm ("&amp;"Circulares"&amp;")"</f>
        <v>Malha 3,15 mm (Circulares)</v>
      </c>
      <c r="F563" t="s">
        <v>817</v>
      </c>
      <c r="G563">
        <f>IF(COUNTA('Verificação Peneiradores'!$J$46:$J$50)=0,"",COUNTIF('Verificação Peneiradores'!$J$46:$J$50,"OK"))</f>
        <v>5</v>
      </c>
      <c r="H563">
        <f>IF(COUNTA('Verificação Peneiradores'!$J$46:$J$50)=0,"",COUNTA('Verificação Peneiradores'!$J$46:$J$50))</f>
        <v>5</v>
      </c>
      <c r="M563" t="str">
        <f>IF(COUNTA('Verificação Peneiradores'!$J$46:$J$50)=0,"",IF(COUNTIF('Verificação Peneiradores'!$J$46:$J$50,"NÃO OK")&gt;0,"Não conforme","Conforme"))</f>
        <v>Conforme</v>
      </c>
      <c r="N563" t="str">
        <f>IFERROR(TRIM(INDEX('Verificação Peneiradores'!$AE$43:$AE$52,MATCH("*",'Verificação Peneiradores'!$AE$43:$AE$52,0))),"")</f>
        <v>LEONARDO</v>
      </c>
      <c r="O563" t="str">
        <f>IFERROR(TRIM(INDEX('Verificação Peneiradores'!$AD$43:$AD$52,MATCH("*",'Verificação Peneiradores'!$AD$43:$AD$52,0))),"")</f>
        <v>A</v>
      </c>
      <c r="P563" t="str">
        <f>IF(COUNTIF('Verificação Peneiradores'!$J$46:$J$50,"SEM TAG")&gt;0,"Sem TAG de calibração; ","")&amp;IF('Verificação Peneiradores'!$J$46="NÃO OK","Condições das telas; ","")&amp;IF('Verificação Peneiradores'!$J$47="NÃO OK","Inclinação das telas; ","")&amp;IF('Verificação Peneiradores'!$J$48="NÃO OK","Vibração do peneirador; ","")&amp;IF('Verificação Peneiradores'!$J$49="NÃO OK","Travamento das peneiras; ","")&amp;IF('Verificação Peneiradores'!$J$50="NÃO OK","Calibração; ","")</f>
        <v/>
      </c>
      <c r="Q563" t="s">
        <v>934</v>
      </c>
    </row>
    <row r="564">
      <c r="A564" t="s">
        <v>816</v>
      </c>
      <c r="B564" t="s">
        <v>667</v>
      </c>
      <c r="C564" s="912">
        <f>IF(MAX('Verificação Peneiradores'!$AC$43:$AC$52)=0,"",MAX('Verificação Peneiradores'!$AC$43:$AC$52))</f>
        <v>46282</v>
      </c>
      <c r="D564" t="str">
        <f>IF('Verificação Peneiradores'!$K$44&amp;""="","Circulares",TRIM('Verificação Peneiradores'!$K$44&amp;""))</f>
        <v>PN0500</v>
      </c>
      <c r="E564" t="str">
        <f>"Malha "&amp;'Verificação Peneiradores'!$K$43&amp;" mm ("&amp;"Circulares"&amp;")"</f>
        <v>Malha 0,5 mm (Circulares)</v>
      </c>
      <c r="F564" t="s">
        <v>817</v>
      </c>
      <c r="G564">
        <f>IF(COUNTA('Verificação Peneiradores'!$K$46:$K$50)=0,"",COUNTIF('Verificação Peneiradores'!$K$46:$K$50,"OK"))</f>
        <v>5</v>
      </c>
      <c r="H564">
        <f>IF(COUNTA('Verificação Peneiradores'!$K$46:$K$50)=0,"",COUNTA('Verificação Peneiradores'!$K$46:$K$50))</f>
        <v>5</v>
      </c>
      <c r="M564" t="str">
        <f>IF(COUNTA('Verificação Peneiradores'!$K$46:$K$50)=0,"",IF(COUNTIF('Verificação Peneiradores'!$K$46:$K$50,"NÃO OK")&gt;0,"Não conforme","Conforme"))</f>
        <v>Conforme</v>
      </c>
      <c r="N564" t="str">
        <f>IFERROR(TRIM(INDEX('Verificação Peneiradores'!$AE$43:$AE$52,MATCH("*",'Verificação Peneiradores'!$AE$43:$AE$52,0))),"")</f>
        <v>LEONARDO</v>
      </c>
      <c r="O564" t="str">
        <f>IFERROR(TRIM(INDEX('Verificação Peneiradores'!$AD$43:$AD$52,MATCH("*",'Verificação Peneiradores'!$AD$43:$AD$52,0))),"")</f>
        <v>A</v>
      </c>
      <c r="P564" t="str">
        <f>IF(COUNTIF('Verificação Peneiradores'!$K$46:$K$50,"SEM TAG")&gt;0,"Sem TAG de calibração; ","")&amp;IF('Verificação Peneiradores'!$K$46="NÃO OK","Condições das telas; ","")&amp;IF('Verificação Peneiradores'!$K$47="NÃO OK","Inclinação das telas; ","")&amp;IF('Verificação Peneiradores'!$K$48="NÃO OK","Vibração do peneirador; ","")&amp;IF('Verificação Peneiradores'!$K$49="NÃO OK","Travamento das peneiras; ","")&amp;IF('Verificação Peneiradores'!$K$50="NÃO OK","Calibração; ","")</f>
        <v/>
      </c>
      <c r="Q564" t="s">
        <v>935</v>
      </c>
    </row>
    <row r="565">
      <c r="A565" t="s">
        <v>816</v>
      </c>
      <c r="B565" t="s">
        <v>667</v>
      </c>
      <c r="C565" s="912">
        <f>IF(MAX('Verificação Peneiradores'!$AC$43:$AC$52)=0,"",MAX('Verificação Peneiradores'!$AC$43:$AC$52))</f>
        <v>46282</v>
      </c>
      <c r="D565" t="str">
        <f>IF('Verificação Peneiradores'!$L$44&amp;""="","Circulares",TRIM('Verificação Peneiradores'!$L$44&amp;""))</f>
        <v>PN0501</v>
      </c>
      <c r="E565" t="str">
        <f>"Malha "&amp;'Verificação Peneiradores'!$L$43&amp;" mm ("&amp;"Circulares"&amp;")"</f>
        <v>Malha 0,5 mm (Circulares)</v>
      </c>
      <c r="F565" t="s">
        <v>817</v>
      </c>
      <c r="G565">
        <f>IF(COUNTA('Verificação Peneiradores'!$L$46:$L$50)=0,"",COUNTIF('Verificação Peneiradores'!$L$46:$L$50,"OK"))</f>
        <v>5</v>
      </c>
      <c r="H565">
        <f>IF(COUNTA('Verificação Peneiradores'!$L$46:$L$50)=0,"",COUNTA('Verificação Peneiradores'!$L$46:$L$50))</f>
        <v>5</v>
      </c>
      <c r="M565" t="str">
        <f>IF(COUNTA('Verificação Peneiradores'!$L$46:$L$50)=0,"",IF(COUNTIF('Verificação Peneiradores'!$L$46:$L$50,"NÃO OK")&gt;0,"Não conforme","Conforme"))</f>
        <v>Conforme</v>
      </c>
      <c r="N565" t="str">
        <f>IFERROR(TRIM(INDEX('Verificação Peneiradores'!$AE$43:$AE$52,MATCH("*",'Verificação Peneiradores'!$AE$43:$AE$52,0))),"")</f>
        <v>LEONARDO</v>
      </c>
      <c r="O565" t="str">
        <f>IFERROR(TRIM(INDEX('Verificação Peneiradores'!$AD$43:$AD$52,MATCH("*",'Verificação Peneiradores'!$AD$43:$AD$52,0))),"")</f>
        <v>A</v>
      </c>
      <c r="P565" t="str">
        <f>IF(COUNTIF('Verificação Peneiradores'!$L$46:$L$50,"SEM TAG")&gt;0,"Sem TAG de calibração; ","")&amp;IF('Verificação Peneiradores'!$L$46="NÃO OK","Condições das telas; ","")&amp;IF('Verificação Peneiradores'!$L$47="NÃO OK","Inclinação das telas; ","")&amp;IF('Verificação Peneiradores'!$L$48="NÃO OK","Vibração do peneirador; ","")&amp;IF('Verificação Peneiradores'!$L$49="NÃO OK","Travamento das peneiras; ","")&amp;IF('Verificação Peneiradores'!$L$50="NÃO OK","Calibração; ","")</f>
        <v/>
      </c>
      <c r="Q565" t="s">
        <v>936</v>
      </c>
    </row>
    <row r="566">
      <c r="A566" t="s">
        <v>816</v>
      </c>
      <c r="B566" t="s">
        <v>667</v>
      </c>
      <c r="C566" s="912">
        <f>IF(MAX('Verificação Peneiradores'!$AC$43:$AC$52)=0,"",MAX('Verificação Peneiradores'!$AC$43:$AC$52))</f>
        <v>46282</v>
      </c>
      <c r="D566" t="str">
        <f>IF('Verificação Peneiradores'!$M$44&amp;""="","Peneirador 09",TRIM('Verificação Peneiradores'!$M$44&amp;""))</f>
        <v>PN478</v>
      </c>
      <c r="E566" t="str">
        <f>"Malha "&amp;'Verificação Peneiradores'!$M$43&amp;" mm ("&amp;"Peneirador 09"&amp;")"</f>
        <v>Malha 19 mm (Peneirador 09)</v>
      </c>
      <c r="F566" t="s">
        <v>817</v>
      </c>
      <c r="G566">
        <f>IF(COUNTA('Verificação Peneiradores'!$M$46:$M$50)=0,"",COUNTIF('Verificação Peneiradores'!$M$46:$M$50,"OK"))</f>
        <v>5</v>
      </c>
      <c r="H566">
        <f>IF(COUNTA('Verificação Peneiradores'!$M$46:$M$50)=0,"",COUNTA('Verificação Peneiradores'!$M$46:$M$50))</f>
        <v>5</v>
      </c>
      <c r="M566" t="str">
        <f>IF(COUNTA('Verificação Peneiradores'!$M$46:$M$50)=0,"",IF(COUNTIF('Verificação Peneiradores'!$M$46:$M$50,"NÃO OK")&gt;0,"Não conforme","Conforme"))</f>
        <v>Conforme</v>
      </c>
      <c r="N566" t="str">
        <f>IFERROR(TRIM(INDEX('Verificação Peneiradores'!$AE$43:$AE$52,MATCH("*",'Verificação Peneiradores'!$AE$43:$AE$52,0))),"")</f>
        <v>LEONARDO</v>
      </c>
      <c r="O566" t="str">
        <f>IFERROR(TRIM(INDEX('Verificação Peneiradores'!$AD$43:$AD$52,MATCH("*",'Verificação Peneiradores'!$AD$43:$AD$52,0))),"")</f>
        <v>A</v>
      </c>
      <c r="P566" t="str">
        <f>IF(COUNTIF('Verificação Peneiradores'!$M$46:$M$50,"SEM TAG")&gt;0,"Sem TAG de calibração; ","")&amp;IF('Verificação Peneiradores'!$M$46="NÃO OK","Condições das telas; ","")&amp;IF('Verificação Peneiradores'!$M$47="NÃO OK","Inclinação das telas; ","")&amp;IF('Verificação Peneiradores'!$M$48="NÃO OK","Vibração do peneirador; ","")&amp;IF('Verificação Peneiradores'!$M$49="NÃO OK","Travamento das peneiras; ","")&amp;IF('Verificação Peneiradores'!$M$50="NÃO OK","Calibração; ","")</f>
        <v/>
      </c>
      <c r="Q566" t="s">
        <v>937</v>
      </c>
    </row>
    <row r="567">
      <c r="A567" t="s">
        <v>816</v>
      </c>
      <c r="B567" t="s">
        <v>667</v>
      </c>
      <c r="C567" s="912">
        <f>IF(MAX('Verificação Peneiradores'!$AC$43:$AC$52)=0,"",MAX('Verificação Peneiradores'!$AC$43:$AC$52))</f>
        <v>46282</v>
      </c>
      <c r="D567" t="str">
        <f>IF('Verificação Peneiradores'!$N$44&amp;""="","Peneirador 09",TRIM('Verificação Peneiradores'!$N$44&amp;""))</f>
        <v>PN516</v>
      </c>
      <c r="E567" t="str">
        <f>"Malha "&amp;'Verificação Peneiradores'!$N$43&amp;" mm ("&amp;"Peneirador 09"&amp;")"</f>
        <v>Malha 16 mm (Peneirador 09)</v>
      </c>
      <c r="F567" t="s">
        <v>817</v>
      </c>
      <c r="G567">
        <f>IF(COUNTA('Verificação Peneiradores'!$N$46:$N$50)=0,"",COUNTIF('Verificação Peneiradores'!$N$46:$N$50,"OK"))</f>
        <v>5</v>
      </c>
      <c r="H567">
        <f>IF(COUNTA('Verificação Peneiradores'!$N$46:$N$50)=0,"",COUNTA('Verificação Peneiradores'!$N$46:$N$50))</f>
        <v>5</v>
      </c>
      <c r="M567" t="str">
        <f>IF(COUNTA('Verificação Peneiradores'!$N$46:$N$50)=0,"",IF(COUNTIF('Verificação Peneiradores'!$N$46:$N$50,"NÃO OK")&gt;0,"Não conforme","Conforme"))</f>
        <v>Conforme</v>
      </c>
      <c r="N567" t="str">
        <f>IFERROR(TRIM(INDEX('Verificação Peneiradores'!$AE$43:$AE$52,MATCH("*",'Verificação Peneiradores'!$AE$43:$AE$52,0))),"")</f>
        <v>LEONARDO</v>
      </c>
      <c r="O567" t="str">
        <f>IFERROR(TRIM(INDEX('Verificação Peneiradores'!$AD$43:$AD$52,MATCH("*",'Verificação Peneiradores'!$AD$43:$AD$52,0))),"")</f>
        <v>A</v>
      </c>
      <c r="P567" t="str">
        <f>IF(COUNTIF('Verificação Peneiradores'!$N$46:$N$50,"SEM TAG")&gt;0,"Sem TAG de calibração; ","")&amp;IF('Verificação Peneiradores'!$N$46="NÃO OK","Condições das telas; ","")&amp;IF('Verificação Peneiradores'!$N$47="NÃO OK","Inclinação das telas; ","")&amp;IF('Verificação Peneiradores'!$N$48="NÃO OK","Vibração do peneirador; ","")&amp;IF('Verificação Peneiradores'!$N$49="NÃO OK","Travamento das peneiras; ","")&amp;IF('Verificação Peneiradores'!$N$50="NÃO OK","Calibração; ","")</f>
        <v/>
      </c>
      <c r="Q567" t="s">
        <v>938</v>
      </c>
    </row>
    <row r="568">
      <c r="A568" t="s">
        <v>816</v>
      </c>
      <c r="B568" t="s">
        <v>667</v>
      </c>
      <c r="C568" s="912">
        <f>IF(MAX('Verificação Peneiradores'!$AC$43:$AC$52)=0,"",MAX('Verificação Peneiradores'!$AC$43:$AC$52))</f>
        <v>46282</v>
      </c>
      <c r="D568" t="str">
        <f>IF('Verificação Peneiradores'!$O$44&amp;""="","Peneirador 09",TRIM('Verificação Peneiradores'!$O$44&amp;""))</f>
        <v>PN665</v>
      </c>
      <c r="E568" t="str">
        <f>"Malha "&amp;'Verificação Peneiradores'!$O$43&amp;" mm ("&amp;"Peneirador 09"&amp;")"</f>
        <v>Malha 14 mm (Peneirador 09)</v>
      </c>
      <c r="F568" t="s">
        <v>817</v>
      </c>
      <c r="G568">
        <f>IF(COUNTA('Verificação Peneiradores'!$O$46:$O$50)=0,"",COUNTIF('Verificação Peneiradores'!$O$46:$O$50,"OK"))</f>
        <v>4</v>
      </c>
      <c r="H568">
        <f>IF(COUNTA('Verificação Peneiradores'!$O$46:$O$50)=0,"",COUNTA('Verificação Peneiradores'!$O$46:$O$50))</f>
        <v>5</v>
      </c>
      <c r="M568" t="str">
        <f>IF(COUNTA('Verificação Peneiradores'!$O$46:$O$50)=0,"",IF(COUNTIF('Verificação Peneiradores'!$O$46:$O$50,"NÃO OK")&gt;0,"Não conforme","Conforme"))</f>
        <v>Conforme</v>
      </c>
      <c r="N568" t="str">
        <f>IFERROR(TRIM(INDEX('Verificação Peneiradores'!$AE$43:$AE$52,MATCH("*",'Verificação Peneiradores'!$AE$43:$AE$52,0))),"")</f>
        <v>LEONARDO</v>
      </c>
      <c r="O568" t="str">
        <f>IFERROR(TRIM(INDEX('Verificação Peneiradores'!$AD$43:$AD$52,MATCH("*",'Verificação Peneiradores'!$AD$43:$AD$52,0))),"")</f>
        <v>A</v>
      </c>
      <c r="P568" t="str">
        <f>IF(COUNTIF('Verificação Peneiradores'!$O$46:$O$50,"SEM TAG")&gt;0,"Sem TAG de calibração; ","")&amp;IF('Verificação Peneiradores'!$O$46="NÃO OK","Condições das telas; ","")&amp;IF('Verificação Peneiradores'!$O$47="NÃO OK","Inclinação das telas; ","")&amp;IF('Verificação Peneiradores'!$O$48="NÃO OK","Vibração do peneirador; ","")&amp;IF('Verificação Peneiradores'!$O$49="NÃO OK","Travamento das peneiras; ","")&amp;IF('Verificação Peneiradores'!$O$50="NÃO OK","Calibração; ","")</f>
        <v>Sem TAG de calibração; </v>
      </c>
      <c r="Q568" t="s">
        <v>939</v>
      </c>
    </row>
    <row r="569">
      <c r="A569" t="s">
        <v>816</v>
      </c>
      <c r="B569" t="s">
        <v>667</v>
      </c>
      <c r="C569" s="912">
        <f>IF(MAX('Verificação Peneiradores'!$AC$43:$AC$52)=0,"",MAX('Verificação Peneiradores'!$AC$43:$AC$52))</f>
        <v>46282</v>
      </c>
      <c r="D569" t="str">
        <f>IF('Verificação Peneiradores'!$P$44&amp;""="","Peneirador 09",TRIM('Verificação Peneiradores'!$P$44&amp;""))</f>
        <v>PN479598</v>
      </c>
      <c r="E569" t="str">
        <f>"Malha "&amp;'Verificação Peneiradores'!$P$43&amp;" mm ("&amp;"Peneirador 09"&amp;")"</f>
        <v>Malha 12,5 mm (Peneirador 09)</v>
      </c>
      <c r="F569" t="s">
        <v>817</v>
      </c>
      <c r="G569">
        <f>IF(COUNTA('Verificação Peneiradores'!$P$46:$P$50)=0,"",COUNTIF('Verificação Peneiradores'!$P$46:$P$50,"OK"))</f>
        <v>4</v>
      </c>
      <c r="H569">
        <f>IF(COUNTA('Verificação Peneiradores'!$P$46:$P$50)=0,"",COUNTA('Verificação Peneiradores'!$P$46:$P$50))</f>
        <v>5</v>
      </c>
      <c r="M569" t="str">
        <f>IF(COUNTA('Verificação Peneiradores'!$P$46:$P$50)=0,"",IF(COUNTIF('Verificação Peneiradores'!$P$46:$P$50,"NÃO OK")&gt;0,"Não conforme","Conforme"))</f>
        <v>Conforme</v>
      </c>
      <c r="N569" t="str">
        <f>IFERROR(TRIM(INDEX('Verificação Peneiradores'!$AE$43:$AE$52,MATCH("*",'Verificação Peneiradores'!$AE$43:$AE$52,0))),"")</f>
        <v>LEONARDO</v>
      </c>
      <c r="O569" t="str">
        <f>IFERROR(TRIM(INDEX('Verificação Peneiradores'!$AD$43:$AD$52,MATCH("*",'Verificação Peneiradores'!$AD$43:$AD$52,0))),"")</f>
        <v>A</v>
      </c>
      <c r="P569" t="str">
        <f>IF(COUNTIF('Verificação Peneiradores'!$P$46:$P$50,"SEM TAG")&gt;0,"Sem TAG de calibração; ","")&amp;IF('Verificação Peneiradores'!$P$46="NÃO OK","Condições das telas; ","")&amp;IF('Verificação Peneiradores'!$P$47="NÃO OK","Inclinação das telas; ","")&amp;IF('Verificação Peneiradores'!$P$48="NÃO OK","Vibração do peneirador; ","")&amp;IF('Verificação Peneiradores'!$P$49="NÃO OK","Travamento das peneiras; ","")&amp;IF('Verificação Peneiradores'!$P$50="NÃO OK","Calibração; ","")</f>
        <v/>
      </c>
      <c r="Q569" t="s">
        <v>940</v>
      </c>
    </row>
    <row r="570">
      <c r="A570" t="s">
        <v>816</v>
      </c>
      <c r="B570" t="s">
        <v>667</v>
      </c>
      <c r="C570" s="912">
        <f>IF(MAX('Verificação Peneiradores'!$AC$43:$AC$52)=0,"",MAX('Verificação Peneiradores'!$AC$43:$AC$52))</f>
        <v>46282</v>
      </c>
      <c r="D570" t="str">
        <f>IF('Verificação Peneiradores'!$Q$44&amp;""="","Peneirador 09",TRIM('Verificação Peneiradores'!$Q$44&amp;""))</f>
        <v>PN510</v>
      </c>
      <c r="E570" t="str">
        <f>"Malha "&amp;'Verificação Peneiradores'!$Q$43&amp;" mm ("&amp;"Peneirador 09"&amp;")"</f>
        <v>Malha 9 mm (Peneirador 09)</v>
      </c>
      <c r="F570" t="s">
        <v>817</v>
      </c>
      <c r="G570">
        <f>IF(COUNTA('Verificação Peneiradores'!$Q$46:$Q$50)=0,"",COUNTIF('Verificação Peneiradores'!$Q$46:$Q$50,"OK"))</f>
        <v>5</v>
      </c>
      <c r="H570">
        <f>IF(COUNTA('Verificação Peneiradores'!$Q$46:$Q$50)=0,"",COUNTA('Verificação Peneiradores'!$Q$46:$Q$50))</f>
        <v>5</v>
      </c>
      <c r="M570" t="str">
        <f>IF(COUNTA('Verificação Peneiradores'!$Q$46:$Q$50)=0,"",IF(COUNTIF('Verificação Peneiradores'!$Q$46:$Q$50,"NÃO OK")&gt;0,"Não conforme","Conforme"))</f>
        <v>Conforme</v>
      </c>
      <c r="N570" t="str">
        <f>IFERROR(TRIM(INDEX('Verificação Peneiradores'!$AE$43:$AE$52,MATCH("*",'Verificação Peneiradores'!$AE$43:$AE$52,0))),"")</f>
        <v>LEONARDO</v>
      </c>
      <c r="O570" t="str">
        <f>IFERROR(TRIM(INDEX('Verificação Peneiradores'!$AD$43:$AD$52,MATCH("*",'Verificação Peneiradores'!$AD$43:$AD$52,0))),"")</f>
        <v>A</v>
      </c>
      <c r="P570" t="str">
        <f>IF(COUNTIF('Verificação Peneiradores'!$Q$46:$Q$50,"SEM TAG")&gt;0,"Sem TAG de calibração; ","")&amp;IF('Verificação Peneiradores'!$Q$46="NÃO OK","Condições das telas; ","")&amp;IF('Verificação Peneiradores'!$Q$47="NÃO OK","Inclinação das telas; ","")&amp;IF('Verificação Peneiradores'!$Q$48="NÃO OK","Vibração do peneirador; ","")&amp;IF('Verificação Peneiradores'!$Q$49="NÃO OK","Travamento das peneiras; ","")&amp;IF('Verificação Peneiradores'!$Q$50="NÃO OK","Calibração; ","")</f>
        <v/>
      </c>
      <c r="Q570" t="s">
        <v>941</v>
      </c>
    </row>
    <row r="571">
      <c r="A571" t="s">
        <v>816</v>
      </c>
      <c r="B571" t="s">
        <v>667</v>
      </c>
      <c r="C571" s="912">
        <f>IF(MAX('Verificação Peneiradores'!$AC$43:$AC$52)=0,"",MAX('Verificação Peneiradores'!$AC$43:$AC$52))</f>
        <v>46282</v>
      </c>
      <c r="D571" t="str">
        <f>IF('Verificação Peneiradores'!$R$44&amp;""="","Peneirador 09",TRIM('Verificação Peneiradores'!$R$44&amp;""))</f>
        <v>PN647</v>
      </c>
      <c r="E571" t="str">
        <f>"Malha "&amp;'Verificação Peneiradores'!$R$43&amp;" mm ("&amp;"Peneirador 09"&amp;")"</f>
        <v>Malha 8 mm (Peneirador 09)</v>
      </c>
      <c r="F571" t="s">
        <v>817</v>
      </c>
      <c r="G571">
        <f>IF(COUNTA('Verificação Peneiradores'!$R$46:$R$50)=0,"",COUNTIF('Verificação Peneiradores'!$R$46:$R$50,"OK"))</f>
        <v>5</v>
      </c>
      <c r="H571">
        <f>IF(COUNTA('Verificação Peneiradores'!$R$46:$R$50)=0,"",COUNTA('Verificação Peneiradores'!$R$46:$R$50))</f>
        <v>5</v>
      </c>
      <c r="M571" t="str">
        <f>IF(COUNTA('Verificação Peneiradores'!$R$46:$R$50)=0,"",IF(COUNTIF('Verificação Peneiradores'!$R$46:$R$50,"NÃO OK")&gt;0,"Não conforme","Conforme"))</f>
        <v>Conforme</v>
      </c>
      <c r="N571" t="str">
        <f>IFERROR(TRIM(INDEX('Verificação Peneiradores'!$AE$43:$AE$52,MATCH("*",'Verificação Peneiradores'!$AE$43:$AE$52,0))),"")</f>
        <v>LEONARDO</v>
      </c>
      <c r="O571" t="str">
        <f>IFERROR(TRIM(INDEX('Verificação Peneiradores'!$AD$43:$AD$52,MATCH("*",'Verificação Peneiradores'!$AD$43:$AD$52,0))),"")</f>
        <v>A</v>
      </c>
      <c r="P571" t="str">
        <f>IF(COUNTIF('Verificação Peneiradores'!$R$46:$R$50,"SEM TAG")&gt;0,"Sem TAG de calibração; ","")&amp;IF('Verificação Peneiradores'!$R$46="NÃO OK","Condições das telas; ","")&amp;IF('Verificação Peneiradores'!$R$47="NÃO OK","Inclinação das telas; ","")&amp;IF('Verificação Peneiradores'!$R$48="NÃO OK","Vibração do peneirador; ","")&amp;IF('Verificação Peneiradores'!$R$49="NÃO OK","Travamento das peneiras; ","")&amp;IF('Verificação Peneiradores'!$R$50="NÃO OK","Calibração; ","")</f>
        <v/>
      </c>
      <c r="Q571" t="s">
        <v>942</v>
      </c>
    </row>
    <row r="572">
      <c r="A572" t="s">
        <v>816</v>
      </c>
      <c r="B572" t="s">
        <v>667</v>
      </c>
      <c r="C572" s="912">
        <f>IF(MAX('Verificação Peneiradores'!$AC$43:$AC$52)=0,"",MAX('Verificação Peneiradores'!$AC$43:$AC$52))</f>
        <v>46282</v>
      </c>
      <c r="D572" t="str">
        <f>IF('Verificação Peneiradores'!$S$44&amp;""="","Peneirador 09",TRIM('Verificação Peneiradores'!$S$44&amp;""))</f>
        <v>PN0459</v>
      </c>
      <c r="E572" t="str">
        <f>"Malha "&amp;'Verificação Peneiradores'!$S$43&amp;" mm ("&amp;"Peneirador 09"&amp;")"</f>
        <v>Malha 6,3 mm (Peneirador 09)</v>
      </c>
      <c r="F572" t="s">
        <v>817</v>
      </c>
      <c r="G572">
        <f>IF(COUNTA('Verificação Peneiradores'!$S$46:$S$50)=0,"",COUNTIF('Verificação Peneiradores'!$S$46:$S$50,"OK"))</f>
        <v>4</v>
      </c>
      <c r="H572">
        <f>IF(COUNTA('Verificação Peneiradores'!$S$46:$S$50)=0,"",COUNTA('Verificação Peneiradores'!$S$46:$S$50))</f>
        <v>5</v>
      </c>
      <c r="M572" t="str">
        <f>IF(COUNTA('Verificação Peneiradores'!$S$46:$S$50)=0,"",IF(COUNTIF('Verificação Peneiradores'!$S$46:$S$50,"NÃO OK")&gt;0,"Não conforme","Conforme"))</f>
        <v>Conforme</v>
      </c>
      <c r="N572" t="str">
        <f>IFERROR(TRIM(INDEX('Verificação Peneiradores'!$AE$43:$AE$52,MATCH("*",'Verificação Peneiradores'!$AE$43:$AE$52,0))),"")</f>
        <v>LEONARDO</v>
      </c>
      <c r="O572" t="str">
        <f>IFERROR(TRIM(INDEX('Verificação Peneiradores'!$AD$43:$AD$52,MATCH("*",'Verificação Peneiradores'!$AD$43:$AD$52,0))),"")</f>
        <v>A</v>
      </c>
      <c r="P572" t="str">
        <f>IF(COUNTIF('Verificação Peneiradores'!$S$46:$S$50,"SEM TAG")&gt;0,"Sem TAG de calibração; ","")&amp;IF('Verificação Peneiradores'!$S$46="NÃO OK","Condições das telas; ","")&amp;IF('Verificação Peneiradores'!$S$47="NÃO OK","Inclinação das telas; ","")&amp;IF('Verificação Peneiradores'!$S$48="NÃO OK","Vibração do peneirador; ","")&amp;IF('Verificação Peneiradores'!$S$49="NÃO OK","Travamento das peneiras; ","")&amp;IF('Verificação Peneiradores'!$S$50="NÃO OK","Calibração; ","")</f>
        <v>Sem TAG de calibração; </v>
      </c>
      <c r="Q572" t="s">
        <v>943</v>
      </c>
    </row>
    <row r="573">
      <c r="A573" t="s">
        <v>816</v>
      </c>
      <c r="B573" t="s">
        <v>667</v>
      </c>
      <c r="C573" s="912">
        <f>IF(MAX('Verificação Peneiradores'!$AC$43:$AC$52)=0,"",MAX('Verificação Peneiradores'!$AC$43:$AC$52))</f>
        <v>46282</v>
      </c>
      <c r="D573" t="str">
        <f>IF('Verificação Peneiradores'!$T$44&amp;""="","Peneirador 05",TRIM('Verificação Peneiradores'!$T$44&amp;""))</f>
        <v>PN398</v>
      </c>
      <c r="E573" t="str">
        <f>"Malha "&amp;'Verificação Peneiradores'!$T$43&amp;" mm ("&amp;"Peneirador 05"&amp;")"</f>
        <v>Malha 19 mm (Peneirador 05)</v>
      </c>
      <c r="F573" t="s">
        <v>817</v>
      </c>
      <c r="G573">
        <f>IF(COUNTA('Verificação Peneiradores'!$T$46:$T$50)=0,"",COUNTIF('Verificação Peneiradores'!$T$46:$T$50,"OK"))</f>
        <v>4</v>
      </c>
      <c r="H573">
        <f>IF(COUNTA('Verificação Peneiradores'!$T$46:$T$50)=0,"",COUNTA('Verificação Peneiradores'!$T$46:$T$50))</f>
        <v>5</v>
      </c>
      <c r="M573" t="str">
        <f>IF(COUNTA('Verificação Peneiradores'!$T$46:$T$50)=0,"",IF(COUNTIF('Verificação Peneiradores'!$T$46:$T$50,"NÃO OK")&gt;0,"Não conforme","Conforme"))</f>
        <v>Conforme</v>
      </c>
      <c r="N573" t="str">
        <f>IFERROR(TRIM(INDEX('Verificação Peneiradores'!$AE$43:$AE$52,MATCH("*",'Verificação Peneiradores'!$AE$43:$AE$52,0))),"")</f>
        <v>LEONARDO</v>
      </c>
      <c r="O573" t="str">
        <f>IFERROR(TRIM(INDEX('Verificação Peneiradores'!$AD$43:$AD$52,MATCH("*",'Verificação Peneiradores'!$AD$43:$AD$52,0))),"")</f>
        <v>A</v>
      </c>
      <c r="P573" t="str">
        <f>IF(COUNTIF('Verificação Peneiradores'!$T$46:$T$50,"SEM TAG")&gt;0,"Sem TAG de calibração; ","")&amp;IF('Verificação Peneiradores'!$T$46="NÃO OK","Condições das telas; ","")&amp;IF('Verificação Peneiradores'!$T$47="NÃO OK","Inclinação das telas; ","")&amp;IF('Verificação Peneiradores'!$T$48="NÃO OK","Vibração do peneirador; ","")&amp;IF('Verificação Peneiradores'!$T$49="NÃO OK","Travamento das peneiras; ","")&amp;IF('Verificação Peneiradores'!$T$50="NÃO OK","Calibração; ","")</f>
        <v>Sem TAG de calibração; </v>
      </c>
      <c r="Q573" t="s">
        <v>944</v>
      </c>
    </row>
    <row r="574">
      <c r="A574" t="s">
        <v>816</v>
      </c>
      <c r="B574" t="s">
        <v>667</v>
      </c>
      <c r="C574" s="912">
        <f>IF(MAX('Verificação Peneiradores'!$AC$43:$AC$52)=0,"",MAX('Verificação Peneiradores'!$AC$43:$AC$52))</f>
        <v>46282</v>
      </c>
      <c r="D574" t="str">
        <f>IF('Verificação Peneiradores'!$U$44&amp;""="","Peneirador 05",TRIM('Verificação Peneiradores'!$U$44&amp;""))</f>
        <v>PN664</v>
      </c>
      <c r="E574" t="str">
        <f>"Malha "&amp;'Verificação Peneiradores'!$U$43&amp;" mm ("&amp;"Peneirador 05"&amp;")"</f>
        <v>Malha 16 mm (Peneirador 05)</v>
      </c>
      <c r="F574" t="s">
        <v>817</v>
      </c>
      <c r="G574">
        <f>IF(COUNTA('Verificação Peneiradores'!$U$46:$U$50)=0,"",COUNTIF('Verificação Peneiradores'!$U$46:$U$50,"OK"))</f>
        <v>5</v>
      </c>
      <c r="H574">
        <f>IF(COUNTA('Verificação Peneiradores'!$U$46:$U$50)=0,"",COUNTA('Verificação Peneiradores'!$U$46:$U$50))</f>
        <v>5</v>
      </c>
      <c r="M574" t="str">
        <f>IF(COUNTA('Verificação Peneiradores'!$U$46:$U$50)=0,"",IF(COUNTIF('Verificação Peneiradores'!$U$46:$U$50,"NÃO OK")&gt;0,"Não conforme","Conforme"))</f>
        <v>Conforme</v>
      </c>
      <c r="N574" t="str">
        <f>IFERROR(TRIM(INDEX('Verificação Peneiradores'!$AE$43:$AE$52,MATCH("*",'Verificação Peneiradores'!$AE$43:$AE$52,0))),"")</f>
        <v>LEONARDO</v>
      </c>
      <c r="O574" t="str">
        <f>IFERROR(TRIM(INDEX('Verificação Peneiradores'!$AD$43:$AD$52,MATCH("*",'Verificação Peneiradores'!$AD$43:$AD$52,0))),"")</f>
        <v>A</v>
      </c>
      <c r="P574" t="str">
        <f>IF(COUNTIF('Verificação Peneiradores'!$U$46:$U$50,"SEM TAG")&gt;0,"Sem TAG de calibração; ","")&amp;IF('Verificação Peneiradores'!$U$46="NÃO OK","Condições das telas; ","")&amp;IF('Verificação Peneiradores'!$U$47="NÃO OK","Inclinação das telas; ","")&amp;IF('Verificação Peneiradores'!$U$48="NÃO OK","Vibração do peneirador; ","")&amp;IF('Verificação Peneiradores'!$U$49="NÃO OK","Travamento das peneiras; ","")&amp;IF('Verificação Peneiradores'!$U$50="NÃO OK","Calibração; ","")</f>
        <v/>
      </c>
      <c r="Q574" t="s">
        <v>945</v>
      </c>
    </row>
    <row r="575">
      <c r="A575" t="s">
        <v>816</v>
      </c>
      <c r="B575" t="s">
        <v>667</v>
      </c>
      <c r="C575" s="912">
        <f>IF(MAX('Verificação Peneiradores'!$AC$43:$AC$52)=0,"",MAX('Verificação Peneiradores'!$AC$43:$AC$52))</f>
        <v>46282</v>
      </c>
      <c r="D575" t="str">
        <f>IF('Verificação Peneiradores'!$V$44&amp;""="","Peneirador 05",TRIM('Verificação Peneiradores'!$V$44&amp;""))</f>
        <v>PN665</v>
      </c>
      <c r="E575" t="str">
        <f>"Malha "&amp;'Verificação Peneiradores'!$V$43&amp;" mm ("&amp;"Peneirador 05"&amp;")"</f>
        <v>Malha 14 mm (Peneirador 05)</v>
      </c>
      <c r="F575" t="s">
        <v>817</v>
      </c>
      <c r="G575" t="str">
        <f>IF(COUNTA('Verificação Peneiradores'!$V$46:$V$50)=0,"",COUNTIF('Verificação Peneiradores'!$V$46:$V$50,"OK"))</f>
        <v/>
      </c>
      <c r="H575" t="str">
        <f>IF(COUNTA('Verificação Peneiradores'!$V$46:$V$50)=0,"",COUNTA('Verificação Peneiradores'!$V$46:$V$50))</f>
        <v/>
      </c>
      <c r="M575" t="str">
        <f>IF(COUNTA('Verificação Peneiradores'!$V$46:$V$50)=0,"",IF(COUNTIF('Verificação Peneiradores'!$V$46:$V$50,"NÃO OK")&gt;0,"Não conforme","Conforme"))</f>
        <v/>
      </c>
      <c r="N575" t="str">
        <f>IFERROR(TRIM(INDEX('Verificação Peneiradores'!$AE$43:$AE$52,MATCH("*",'Verificação Peneiradores'!$AE$43:$AE$52,0))),"")</f>
        <v>LEONARDO</v>
      </c>
      <c r="O575" t="str">
        <f>IFERROR(TRIM(INDEX('Verificação Peneiradores'!$AD$43:$AD$52,MATCH("*",'Verificação Peneiradores'!$AD$43:$AD$52,0))),"")</f>
        <v>A</v>
      </c>
      <c r="P575" t="str">
        <f>IF(COUNTIF('Verificação Peneiradores'!$V$46:$V$50,"SEM TAG")&gt;0,"Sem TAG de calibração; ","")&amp;IF('Verificação Peneiradores'!$V$46="NÃO OK","Condições das telas; ","")&amp;IF('Verificação Peneiradores'!$V$47="NÃO OK","Inclinação das telas; ","")&amp;IF('Verificação Peneiradores'!$V$48="NÃO OK","Vibração do peneirador; ","")&amp;IF('Verificação Peneiradores'!$V$49="NÃO OK","Travamento das peneiras; ","")&amp;IF('Verificação Peneiradores'!$V$50="NÃO OK","Calibração; ","")</f>
        <v/>
      </c>
      <c r="Q575" t="s">
        <v>946</v>
      </c>
    </row>
    <row r="576">
      <c r="A576" t="s">
        <v>816</v>
      </c>
      <c r="B576" t="s">
        <v>667</v>
      </c>
      <c r="C576" s="912">
        <f>IF(MAX('Verificação Peneiradores'!$AC$43:$AC$52)=0,"",MAX('Verificação Peneiradores'!$AC$43:$AC$52))</f>
        <v>46282</v>
      </c>
      <c r="D576" t="str">
        <f>IF('Verificação Peneiradores'!$W$44&amp;""="","Peneirador 05",TRIM('Verificação Peneiradores'!$W$44&amp;""))</f>
        <v>PN666</v>
      </c>
      <c r="E576" t="str">
        <f>"Malha "&amp;'Verificação Peneiradores'!$W$43&amp;" mm ("&amp;"Peneirador 05"&amp;")"</f>
        <v>Malha 12,5 mm (Peneirador 05)</v>
      </c>
      <c r="F576" t="s">
        <v>817</v>
      </c>
      <c r="G576" t="str">
        <f>IF(COUNTA('Verificação Peneiradores'!$W$46:$W$50)=0,"",COUNTIF('Verificação Peneiradores'!$W$46:$W$50,"OK"))</f>
        <v/>
      </c>
      <c r="H576" t="str">
        <f>IF(COUNTA('Verificação Peneiradores'!$W$46:$W$50)=0,"",COUNTA('Verificação Peneiradores'!$W$46:$W$50))</f>
        <v/>
      </c>
      <c r="M576" t="str">
        <f>IF(COUNTA('Verificação Peneiradores'!$W$46:$W$50)=0,"",IF(COUNTIF('Verificação Peneiradores'!$W$46:$W$50,"NÃO OK")&gt;0,"Não conforme","Conforme"))</f>
        <v/>
      </c>
      <c r="N576" t="str">
        <f>IFERROR(TRIM(INDEX('Verificação Peneiradores'!$AE$43:$AE$52,MATCH("*",'Verificação Peneiradores'!$AE$43:$AE$52,0))),"")</f>
        <v>LEONARDO</v>
      </c>
      <c r="O576" t="str">
        <f>IFERROR(TRIM(INDEX('Verificação Peneiradores'!$AD$43:$AD$52,MATCH("*",'Verificação Peneiradores'!$AD$43:$AD$52,0))),"")</f>
        <v>A</v>
      </c>
      <c r="P576" t="str">
        <f>IF(COUNTIF('Verificação Peneiradores'!$W$46:$W$50,"SEM TAG")&gt;0,"Sem TAG de calibração; ","")&amp;IF('Verificação Peneiradores'!$W$46="NÃO OK","Condições das telas; ","")&amp;IF('Verificação Peneiradores'!$W$47="NÃO OK","Inclinação das telas; ","")&amp;IF('Verificação Peneiradores'!$W$48="NÃO OK","Vibração do peneirador; ","")&amp;IF('Verificação Peneiradores'!$W$49="NÃO OK","Travamento das peneiras; ","")&amp;IF('Verificação Peneiradores'!$W$50="NÃO OK","Calibração; ","")</f>
        <v/>
      </c>
      <c r="Q576" t="s">
        <v>947</v>
      </c>
    </row>
    <row r="577">
      <c r="A577" t="s">
        <v>816</v>
      </c>
      <c r="B577" t="s">
        <v>667</v>
      </c>
      <c r="C577" s="912">
        <f>IF(MAX('Verificação Peneiradores'!$AC$43:$AC$52)=0,"",MAX('Verificação Peneiradores'!$AC$43:$AC$52))</f>
        <v>46282</v>
      </c>
      <c r="D577" t="str">
        <f>IF('Verificação Peneiradores'!$X$44&amp;""="","Peneirador 05",TRIM('Verificação Peneiradores'!$X$44&amp;""))</f>
        <v>PN646</v>
      </c>
      <c r="E577" t="str">
        <f>"Malha "&amp;'Verificação Peneiradores'!$X$43&amp;" mm ("&amp;"Peneirador 05"&amp;")"</f>
        <v>Malha 9 mm (Peneirador 05)</v>
      </c>
      <c r="F577" t="s">
        <v>817</v>
      </c>
      <c r="G577">
        <f>IF(COUNTA('Verificação Peneiradores'!$X$46:$X$50)=0,"",COUNTIF('Verificação Peneiradores'!$X$46:$X$50,"OK"))</f>
        <v>4</v>
      </c>
      <c r="H577">
        <f>IF(COUNTA('Verificação Peneiradores'!$X$46:$X$50)=0,"",COUNTA('Verificação Peneiradores'!$X$46:$X$50))</f>
        <v>5</v>
      </c>
      <c r="M577" t="str">
        <f>IF(COUNTA('Verificação Peneiradores'!$X$46:$X$50)=0,"",IF(COUNTIF('Verificação Peneiradores'!$X$46:$X$50,"NÃO OK")&gt;0,"Não conforme","Conforme"))</f>
        <v>Não conforme</v>
      </c>
      <c r="N577" t="str">
        <f>IFERROR(TRIM(INDEX('Verificação Peneiradores'!$AE$43:$AE$52,MATCH("*",'Verificação Peneiradores'!$AE$43:$AE$52,0))),"")</f>
        <v>LEONARDO</v>
      </c>
      <c r="O577" t="str">
        <f>IFERROR(TRIM(INDEX('Verificação Peneiradores'!$AD$43:$AD$52,MATCH("*",'Verificação Peneiradores'!$AD$43:$AD$52,0))),"")</f>
        <v>A</v>
      </c>
      <c r="P577" t="str">
        <f>IF(COUNTIF('Verificação Peneiradores'!$X$46:$X$50,"SEM TAG")&gt;0,"Sem TAG de calibração; ","")&amp;IF('Verificação Peneiradores'!$X$46="NÃO OK","Condições das telas; ","")&amp;IF('Verificação Peneiradores'!$X$47="NÃO OK","Inclinação das telas; ","")&amp;IF('Verificação Peneiradores'!$X$48="NÃO OK","Vibração do peneirador; ","")&amp;IF('Verificação Peneiradores'!$X$49="NÃO OK","Travamento das peneiras; ","")&amp;IF('Verificação Peneiradores'!$X$50="NÃO OK","Calibração; ","")</f>
        <v>Calibração; </v>
      </c>
      <c r="Q577" t="s">
        <v>948</v>
      </c>
    </row>
    <row r="578">
      <c r="A578" t="s">
        <v>816</v>
      </c>
      <c r="B578" t="s">
        <v>667</v>
      </c>
      <c r="C578" s="912">
        <f>IF(MAX('Verificação Peneiradores'!$AC$43:$AC$52)=0,"",MAX('Verificação Peneiradores'!$AC$43:$AC$52))</f>
        <v>46282</v>
      </c>
      <c r="D578" t="str">
        <f>IF('Verificação Peneiradores'!$Y$44&amp;""="","Peneirador 05",TRIM('Verificação Peneiradores'!$Y$44&amp;""))</f>
        <v>PN647</v>
      </c>
      <c r="E578" t="str">
        <f>"Malha "&amp;'Verificação Peneiradores'!$Y$43&amp;" mm ("&amp;"Peneirador 05"&amp;")"</f>
        <v>Malha 8 mm (Peneirador 05)</v>
      </c>
      <c r="F578" t="s">
        <v>817</v>
      </c>
      <c r="G578" t="str">
        <f>IF(COUNTA('Verificação Peneiradores'!$Y$46:$Y$50)=0,"",COUNTIF('Verificação Peneiradores'!$Y$46:$Y$50,"OK"))</f>
        <v/>
      </c>
      <c r="H578" t="str">
        <f>IF(COUNTA('Verificação Peneiradores'!$Y$46:$Y$50)=0,"",COUNTA('Verificação Peneiradores'!$Y$46:$Y$50))</f>
        <v/>
      </c>
      <c r="M578" t="str">
        <f>IF(COUNTA('Verificação Peneiradores'!$Y$46:$Y$50)=0,"",IF(COUNTIF('Verificação Peneiradores'!$Y$46:$Y$50,"NÃO OK")&gt;0,"Não conforme","Conforme"))</f>
        <v/>
      </c>
      <c r="N578" t="str">
        <f>IFERROR(TRIM(INDEX('Verificação Peneiradores'!$AE$43:$AE$52,MATCH("*",'Verificação Peneiradores'!$AE$43:$AE$52,0))),"")</f>
        <v>LEONARDO</v>
      </c>
      <c r="O578" t="str">
        <f>IFERROR(TRIM(INDEX('Verificação Peneiradores'!$AD$43:$AD$52,MATCH("*",'Verificação Peneiradores'!$AD$43:$AD$52,0))),"")</f>
        <v>A</v>
      </c>
      <c r="P578" t="str">
        <f>IF(COUNTIF('Verificação Peneiradores'!$Y$46:$Y$50,"SEM TAG")&gt;0,"Sem TAG de calibração; ","")&amp;IF('Verificação Peneiradores'!$Y$46="NÃO OK","Condições das telas; ","")&amp;IF('Verificação Peneiradores'!$Y$47="NÃO OK","Inclinação das telas; ","")&amp;IF('Verificação Peneiradores'!$Y$48="NÃO OK","Vibração do peneirador; ","")&amp;IF('Verificação Peneiradores'!$Y$49="NÃO OK","Travamento das peneiras; ","")&amp;IF('Verificação Peneiradores'!$Y$50="NÃO OK","Calibração; ","")</f>
        <v/>
      </c>
      <c r="Q578" t="s">
        <v>949</v>
      </c>
    </row>
    <row r="579">
      <c r="A579" t="s">
        <v>816</v>
      </c>
      <c r="B579" t="s">
        <v>667</v>
      </c>
      <c r="C579" s="912">
        <f>IF(MAX('Verificação Peneiradores'!$AC$43:$AC$52)=0,"",MAX('Verificação Peneiradores'!$AC$43:$AC$52))</f>
        <v>46282</v>
      </c>
      <c r="D579" t="str">
        <f>IF('Verificação Peneiradores'!$Z$44&amp;""="","Peneirador 05",TRIM('Verificação Peneiradores'!$Z$44&amp;""))</f>
        <v>PN649</v>
      </c>
      <c r="E579" t="str">
        <f>"Malha "&amp;'Verificação Peneiradores'!$Z$43&amp;" mm ("&amp;"Peneirador 05"&amp;")"</f>
        <v>Malha 6,3 mm (Peneirador 05)</v>
      </c>
      <c r="F579" t="s">
        <v>817</v>
      </c>
      <c r="G579">
        <f>IF(COUNTA('Verificação Peneiradores'!$Z$46:$Z$50)=0,"",COUNTIF('Verificação Peneiradores'!$Z$46:$Z$50,"OK"))</f>
        <v>0</v>
      </c>
      <c r="H579">
        <f>IF(COUNTA('Verificação Peneiradores'!$Z$46:$Z$50)=0,"",COUNTA('Verificação Peneiradores'!$Z$46:$Z$50))</f>
        <v>1</v>
      </c>
      <c r="M579" t="str">
        <f>IF(COUNTA('Verificação Peneiradores'!$Z$46:$Z$50)=0,"",IF(COUNTIF('Verificação Peneiradores'!$Z$46:$Z$50,"NÃO OK")&gt;0,"Não conforme","Conforme"))</f>
        <v>Conforme</v>
      </c>
      <c r="N579" t="str">
        <f>IFERROR(TRIM(INDEX('Verificação Peneiradores'!$AE$43:$AE$52,MATCH("*",'Verificação Peneiradores'!$AE$43:$AE$52,0))),"")</f>
        <v>LEONARDO</v>
      </c>
      <c r="O579" t="str">
        <f>IFERROR(TRIM(INDEX('Verificação Peneiradores'!$AD$43:$AD$52,MATCH("*",'Verificação Peneiradores'!$AD$43:$AD$52,0))),"")</f>
        <v>A</v>
      </c>
      <c r="P579" t="str">
        <f>IF(COUNTIF('Verificação Peneiradores'!$Z$46:$Z$50,"SEM TAG")&gt;0,"Sem TAG de calibração; ","")&amp;IF('Verificação Peneiradores'!$Z$46="NÃO OK","Condições das telas; ","")&amp;IF('Verificação Peneiradores'!$Z$47="NÃO OK","Inclinação das telas; ","")&amp;IF('Verificação Peneiradores'!$Z$48="NÃO OK","Vibração do peneirador; ","")&amp;IF('Verificação Peneiradores'!$Z$49="NÃO OK","Travamento das peneiras; ","")&amp;IF('Verificação Peneiradores'!$Z$50="NÃO OK","Calibração; ","")</f>
        <v>Sem TAG de calibração; </v>
      </c>
      <c r="Q579" t="s">
        <v>950</v>
      </c>
    </row>
    <row r="580">
      <c r="A580" t="s">
        <v>816</v>
      </c>
      <c r="B580" t="s">
        <v>667</v>
      </c>
      <c r="C580" s="912">
        <f>IF(MAX('Verificação Peneiradores'!$AC$43:$AC$52)=0,"",MAX('Verificação Peneiradores'!$AC$43:$AC$52))</f>
        <v>46282</v>
      </c>
      <c r="D580" t="str">
        <f>IF('Verificação Peneiradores'!$AA$44&amp;""="","Peneirador 06",TRIM('Verificação Peneiradores'!$AA$44&amp;""))</f>
        <v>PN648</v>
      </c>
      <c r="E580" t="str">
        <f>"Malha "&amp;'Verificação Peneiradores'!$AA$43&amp;" mm ("&amp;"Peneirador 06"&amp;")"</f>
        <v>Malha 6,3 mm (Peneirador 06)</v>
      </c>
      <c r="F580" t="s">
        <v>817</v>
      </c>
      <c r="G580">
        <f>IF(COUNTA('Verificação Peneiradores'!$AA$46:$AA$50)=0,"",COUNTIF('Verificação Peneiradores'!$AA$46:$AA$50,"OK"))</f>
        <v>4</v>
      </c>
      <c r="H580">
        <f>IF(COUNTA('Verificação Peneiradores'!$AA$46:$AA$50)=0,"",COUNTA('Verificação Peneiradores'!$AA$46:$AA$50))</f>
        <v>5</v>
      </c>
      <c r="M580" t="str">
        <f>IF(COUNTA('Verificação Peneiradores'!$AA$46:$AA$50)=0,"",IF(COUNTIF('Verificação Peneiradores'!$AA$46:$AA$50,"NÃO OK")&gt;0,"Não conforme","Conforme"))</f>
        <v>Não conforme</v>
      </c>
      <c r="N580" t="str">
        <f>IFERROR(TRIM(INDEX('Verificação Peneiradores'!$AE$43:$AE$52,MATCH("*",'Verificação Peneiradores'!$AE$43:$AE$52,0))),"")</f>
        <v>LEONARDO</v>
      </c>
      <c r="O580" t="str">
        <f>IFERROR(TRIM(INDEX('Verificação Peneiradores'!$AD$43:$AD$52,MATCH("*",'Verificação Peneiradores'!$AD$43:$AD$52,0))),"")</f>
        <v>A</v>
      </c>
      <c r="P580" t="str">
        <f>IF(COUNTIF('Verificação Peneiradores'!$AA$46:$AA$50,"SEM TAG")&gt;0,"Sem TAG de calibração; ","")&amp;IF('Verificação Peneiradores'!$AA$46="NÃO OK","Condições das telas; ","")&amp;IF('Verificação Peneiradores'!$AA$47="NÃO OK","Inclinação das telas; ","")&amp;IF('Verificação Peneiradores'!$AA$48="NÃO OK","Vibração do peneirador; ","")&amp;IF('Verificação Peneiradores'!$AA$49="NÃO OK","Travamento das peneiras; ","")&amp;IF('Verificação Peneiradores'!$AA$50="NÃO OK","Calibração; ","")</f>
        <v>Calibração; </v>
      </c>
      <c r="Q580" t="s">
        <v>951</v>
      </c>
    </row>
    <row r="581">
      <c r="A581" t="s">
        <v>816</v>
      </c>
      <c r="B581" t="s">
        <v>667</v>
      </c>
      <c r="C581" s="912">
        <f>IF(MAX('Verificação Peneiradores'!$AC$43:$AC$52)=0,"",MAX('Verificação Peneiradores'!$AC$43:$AC$52))</f>
        <v>46282</v>
      </c>
      <c r="D581" t="str">
        <f>IF('Verificação Peneiradores'!$AB$44&amp;""="","Peneirador 06",TRIM('Verificação Peneiradores'!$AB$44&amp;""))</f>
        <v>N/CONT</v>
      </c>
      <c r="E581" t="str">
        <f>"Malha "&amp;'Verificação Peneiradores'!$AB$43&amp;" mm ("&amp;"Peneirador 06"&amp;")"</f>
        <v>Malha 10 mm (Peneirador 06)</v>
      </c>
      <c r="F581" t="s">
        <v>817</v>
      </c>
      <c r="G581">
        <f>IF(COUNTA('Verificação Peneiradores'!$AB$46:$AB$50)=0,"",COUNTIF('Verificação Peneiradores'!$AB$46:$AB$50,"OK"))</f>
        <v>5</v>
      </c>
      <c r="H581">
        <f>IF(COUNTA('Verificação Peneiradores'!$AB$46:$AB$50)=0,"",COUNTA('Verificação Peneiradores'!$AB$46:$AB$50))</f>
        <v>5</v>
      </c>
      <c r="M581" t="str">
        <f>IF(COUNTA('Verificação Peneiradores'!$AB$46:$AB$50)=0,"",IF(COUNTIF('Verificação Peneiradores'!$AB$46:$AB$50,"NÃO OK")&gt;0,"Não conforme","Conforme"))</f>
        <v>Conforme</v>
      </c>
      <c r="N581" t="str">
        <f>IFERROR(TRIM(INDEX('Verificação Peneiradores'!$AE$43:$AE$52,MATCH("*",'Verificação Peneiradores'!$AE$43:$AE$52,0))),"")</f>
        <v>LEONARDO</v>
      </c>
      <c r="O581" t="str">
        <f>IFERROR(TRIM(INDEX('Verificação Peneiradores'!$AD$43:$AD$52,MATCH("*",'Verificação Peneiradores'!$AD$43:$AD$52,0))),"")</f>
        <v>A</v>
      </c>
      <c r="P581" t="str">
        <f>IF(COUNTIF('Verificação Peneiradores'!$AB$46:$AB$50,"SEM TAG")&gt;0,"Sem TAG de calibração; ","")&amp;IF('Verificação Peneiradores'!$AB$46="NÃO OK","Condições das telas; ","")&amp;IF('Verificação Peneiradores'!$AB$47="NÃO OK","Inclinação das telas; ","")&amp;IF('Verificação Peneiradores'!$AB$48="NÃO OK","Vibração do peneirador; ","")&amp;IF('Verificação Peneiradores'!$AB$49="NÃO OK","Travamento das peneiras; ","")&amp;IF('Verificação Peneiradores'!$AB$50="NÃO OK","Calibração; ","")</f>
        <v/>
      </c>
      <c r="Q581" t="s">
        <v>952</v>
      </c>
    </row>
    <row r="582">
      <c r="A582" t="s">
        <v>816</v>
      </c>
      <c r="B582" t="s">
        <v>667</v>
      </c>
      <c r="C582" s="912">
        <f>IF(MAX('Verificação Peneiradores'!$AC$53:$AC$62)=0,"",MAX('Verificação Peneiradores'!$AC$53:$AC$62))</f>
        <v>46286</v>
      </c>
      <c r="D582" t="str">
        <f>IF('Verificação Peneiradores'!$B$54&amp;""="","Circulares",TRIM('Verificação Peneiradores'!$B$54&amp;""))</f>
        <v>PN0423</v>
      </c>
      <c r="E582" t="str">
        <f>"Malha "&amp;'Verificação Peneiradores'!$B$53&amp;" mm ("&amp;"Circulares"&amp;")"</f>
        <v>Malha 19 mm (Circulares)</v>
      </c>
      <c r="F582" t="s">
        <v>817</v>
      </c>
      <c r="G582">
        <f>IF(COUNTA('Verificação Peneiradores'!$B$56:$B$60)=0,"",COUNTIF('Verificação Peneiradores'!$B$56:$B$60,"OK"))</f>
        <v>5</v>
      </c>
      <c r="H582">
        <f>IF(COUNTA('Verificação Peneiradores'!$B$56:$B$60)=0,"",COUNTA('Verificação Peneiradores'!$B$56:$B$60))</f>
        <v>5</v>
      </c>
      <c r="M582" t="str">
        <f>IF(COUNTA('Verificação Peneiradores'!$B$56:$B$60)=0,"",IF(COUNTIF('Verificação Peneiradores'!$B$56:$B$60,"NÃO OK")&gt;0,"Não conforme","Conforme"))</f>
        <v>Conforme</v>
      </c>
      <c r="N582" t="str">
        <f>IFERROR(TRIM(INDEX('Verificação Peneiradores'!$AE$53:$AE$62,MATCH("*",'Verificação Peneiradores'!$AE$53:$AE$62,0))),"")</f>
        <v>LeoNARDO</v>
      </c>
      <c r="O582" t="str">
        <f>IFERROR(TRIM(INDEX('Verificação Peneiradores'!$AD$53:$AD$62,MATCH("*",'Verificação Peneiradores'!$AD$53:$AD$62,0))),"")</f>
        <v>A</v>
      </c>
      <c r="P582" t="str">
        <f>IF(COUNTIF('Verificação Peneiradores'!$B$56:$B$60,"SEM TAG")&gt;0,"Sem TAG de calibração; ","")&amp;IF('Verificação Peneiradores'!$B$56="NÃO OK","Condições das telas; ","")&amp;IF('Verificação Peneiradores'!$B$57="NÃO OK","Inclinação das telas; ","")&amp;IF('Verificação Peneiradores'!$B$58="NÃO OK","Vibração do peneirador; ","")&amp;IF('Verificação Peneiradores'!$B$59="NÃO OK","Travamento das peneiras; ","")&amp;IF('Verificação Peneiradores'!$B$60="NÃO OK","Calibração; ","")</f>
        <v/>
      </c>
      <c r="Q582" t="s">
        <v>953</v>
      </c>
    </row>
    <row r="583">
      <c r="A583" t="s">
        <v>816</v>
      </c>
      <c r="B583" t="s">
        <v>667</v>
      </c>
      <c r="C583" s="912">
        <f>IF(MAX('Verificação Peneiradores'!$AC$53:$AC$62)=0,"",MAX('Verificação Peneiradores'!$AC$53:$AC$62))</f>
        <v>46286</v>
      </c>
      <c r="D583" t="str">
        <f>IF('Verificação Peneiradores'!$C$54&amp;""="","Circulares",TRIM('Verificação Peneiradores'!$C$54&amp;""))</f>
        <v>PN0482</v>
      </c>
      <c r="E583" t="str">
        <f>"Malha "&amp;'Verificação Peneiradores'!$C$53&amp;" mm ("&amp;"Circulares"&amp;")"</f>
        <v>Malha 16 mm (Circulares)</v>
      </c>
      <c r="F583" t="s">
        <v>817</v>
      </c>
      <c r="G583">
        <f>IF(COUNTA('Verificação Peneiradores'!$C$56:$C$60)=0,"",COUNTIF('Verificação Peneiradores'!$C$56:$C$60,"OK"))</f>
        <v>4</v>
      </c>
      <c r="H583">
        <f>IF(COUNTA('Verificação Peneiradores'!$C$56:$C$60)=0,"",COUNTA('Verificação Peneiradores'!$C$56:$C$60))</f>
        <v>5</v>
      </c>
      <c r="M583" t="str">
        <f>IF(COUNTA('Verificação Peneiradores'!$C$56:$C$60)=0,"",IF(COUNTIF('Verificação Peneiradores'!$C$56:$C$60,"NÃO OK")&gt;0,"Não conforme","Conforme"))</f>
        <v>Conforme</v>
      </c>
      <c r="N583" t="str">
        <f>IFERROR(TRIM(INDEX('Verificação Peneiradores'!$AE$53:$AE$62,MATCH("*",'Verificação Peneiradores'!$AE$53:$AE$62,0))),"")</f>
        <v>LeoNARDO</v>
      </c>
      <c r="O583" t="str">
        <f>IFERROR(TRIM(INDEX('Verificação Peneiradores'!$AD$53:$AD$62,MATCH("*",'Verificação Peneiradores'!$AD$53:$AD$62,0))),"")</f>
        <v>A</v>
      </c>
      <c r="P583" t="str">
        <f>IF(COUNTIF('Verificação Peneiradores'!$C$56:$C$60,"SEM TAG")&gt;0,"Sem TAG de calibração; ","")&amp;IF('Verificação Peneiradores'!$C$56="NÃO OK","Condições das telas; ","")&amp;IF('Verificação Peneiradores'!$C$57="NÃO OK","Inclinação das telas; ","")&amp;IF('Verificação Peneiradores'!$C$58="NÃO OK","Vibração do peneirador; ","")&amp;IF('Verificação Peneiradores'!$C$59="NÃO OK","Travamento das peneiras; ","")&amp;IF('Verificação Peneiradores'!$C$60="NÃO OK","Calibração; ","")</f>
        <v>Sem TAG de calibração; </v>
      </c>
      <c r="Q583" t="s">
        <v>954</v>
      </c>
    </row>
    <row r="584">
      <c r="A584" t="s">
        <v>816</v>
      </c>
      <c r="B584" t="s">
        <v>667</v>
      </c>
      <c r="C584" s="912">
        <f>IF(MAX('Verificação Peneiradores'!$AC$53:$AC$62)=0,"",MAX('Verificação Peneiradores'!$AC$53:$AC$62))</f>
        <v>46286</v>
      </c>
      <c r="D584" t="str">
        <f>IF('Verificação Peneiradores'!$D$54&amp;""="","Circulares",TRIM('Verificação Peneiradores'!$D$54&amp;""))</f>
        <v>PN 614</v>
      </c>
      <c r="E584" t="str">
        <f>"Malha "&amp;'Verificação Peneiradores'!$D$53&amp;" mm ("&amp;"Circulares"&amp;")"</f>
        <v>Malha 12,5 mm (Circulares)</v>
      </c>
      <c r="F584" t="s">
        <v>817</v>
      </c>
      <c r="G584">
        <f>IF(COUNTA('Verificação Peneiradores'!$D$56:$D$60)=0,"",COUNTIF('Verificação Peneiradores'!$D$56:$D$60,"OK"))</f>
        <v>4</v>
      </c>
      <c r="H584">
        <f>IF(COUNTA('Verificação Peneiradores'!$D$56:$D$60)=0,"",COUNTA('Verificação Peneiradores'!$D$56:$D$60))</f>
        <v>5</v>
      </c>
      <c r="M584" t="str">
        <f>IF(COUNTA('Verificação Peneiradores'!$D$56:$D$60)=0,"",IF(COUNTIF('Verificação Peneiradores'!$D$56:$D$60,"NÃO OK")&gt;0,"Não conforme","Conforme"))</f>
        <v>Conforme</v>
      </c>
      <c r="N584" t="str">
        <f>IFERROR(TRIM(INDEX('Verificação Peneiradores'!$AE$53:$AE$62,MATCH("*",'Verificação Peneiradores'!$AE$53:$AE$62,0))),"")</f>
        <v>LeoNARDO</v>
      </c>
      <c r="O584" t="str">
        <f>IFERROR(TRIM(INDEX('Verificação Peneiradores'!$AD$53:$AD$62,MATCH("*",'Verificação Peneiradores'!$AD$53:$AD$62,0))),"")</f>
        <v>A</v>
      </c>
      <c r="P584" t="str">
        <f>IF(COUNTIF('Verificação Peneiradores'!$D$56:$D$60,"SEM TAG")&gt;0,"Sem TAG de calibração; ","")&amp;IF('Verificação Peneiradores'!$D$56="NÃO OK","Condições das telas; ","")&amp;IF('Verificação Peneiradores'!$D$57="NÃO OK","Inclinação das telas; ","")&amp;IF('Verificação Peneiradores'!$D$58="NÃO OK","Vibração do peneirador; ","")&amp;IF('Verificação Peneiradores'!$D$59="NÃO OK","Travamento das peneiras; ","")&amp;IF('Verificação Peneiradores'!$D$60="NÃO OK","Calibração; ","")</f>
        <v>Sem TAG de calibração; </v>
      </c>
      <c r="Q584" t="s">
        <v>955</v>
      </c>
    </row>
    <row r="585">
      <c r="A585" t="s">
        <v>816</v>
      </c>
      <c r="B585" t="s">
        <v>667</v>
      </c>
      <c r="C585" s="912">
        <f>IF(MAX('Verificação Peneiradores'!$AC$53:$AC$62)=0,"",MAX('Verificação Peneiradores'!$AC$53:$AC$62))</f>
        <v>46286</v>
      </c>
      <c r="D585" t="str">
        <f>IF('Verificação Peneiradores'!$E$54&amp;""="","Circulares",TRIM('Verificação Peneiradores'!$E$54&amp;""))</f>
        <v>PN 303</v>
      </c>
      <c r="E585" t="str">
        <f>"Malha "&amp;'Verificação Peneiradores'!$E$53&amp;" mm ("&amp;"Circulares"&amp;")"</f>
        <v>Malha 10 mm (Circulares)</v>
      </c>
      <c r="F585" t="s">
        <v>817</v>
      </c>
      <c r="G585">
        <f>IF(COUNTA('Verificação Peneiradores'!$E$56:$E$60)=0,"",COUNTIF('Verificação Peneiradores'!$E$56:$E$60,"OK"))</f>
        <v>4</v>
      </c>
      <c r="H585">
        <f>IF(COUNTA('Verificação Peneiradores'!$E$56:$E$60)=0,"",COUNTA('Verificação Peneiradores'!$E$56:$E$60))</f>
        <v>5</v>
      </c>
      <c r="M585" t="str">
        <f>IF(COUNTA('Verificação Peneiradores'!$E$56:$E$60)=0,"",IF(COUNTIF('Verificação Peneiradores'!$E$56:$E$60,"NÃO OK")&gt;0,"Não conforme","Conforme"))</f>
        <v>Conforme</v>
      </c>
      <c r="N585" t="str">
        <f>IFERROR(TRIM(INDEX('Verificação Peneiradores'!$AE$53:$AE$62,MATCH("*",'Verificação Peneiradores'!$AE$53:$AE$62,0))),"")</f>
        <v>LeoNARDO</v>
      </c>
      <c r="O585" t="str">
        <f>IFERROR(TRIM(INDEX('Verificação Peneiradores'!$AD$53:$AD$62,MATCH("*",'Verificação Peneiradores'!$AD$53:$AD$62,0))),"")</f>
        <v>A</v>
      </c>
      <c r="P585" t="str">
        <f>IF(COUNTIF('Verificação Peneiradores'!$E$56:$E$60,"SEM TAG")&gt;0,"Sem TAG de calibração; ","")&amp;IF('Verificação Peneiradores'!$E$56="NÃO OK","Condições das telas; ","")&amp;IF('Verificação Peneiradores'!$E$57="NÃO OK","Inclinação das telas; ","")&amp;IF('Verificação Peneiradores'!$E$58="NÃO OK","Vibração do peneirador; ","")&amp;IF('Verificação Peneiradores'!$E$59="NÃO OK","Travamento das peneiras; ","")&amp;IF('Verificação Peneiradores'!$E$60="NÃO OK","Calibração; ","")</f>
        <v>Sem TAG de calibração; </v>
      </c>
      <c r="Q585" t="s">
        <v>956</v>
      </c>
    </row>
    <row r="586">
      <c r="A586" t="s">
        <v>816</v>
      </c>
      <c r="B586" t="s">
        <v>667</v>
      </c>
      <c r="C586" s="912">
        <f>IF(MAX('Verificação Peneiradores'!$AC$53:$AC$62)=0,"",MAX('Verificação Peneiradores'!$AC$53:$AC$62))</f>
        <v>46286</v>
      </c>
      <c r="D586" t="str">
        <f>IF('Verificação Peneiradores'!$F$54&amp;""="","Circulares",TRIM('Verificação Peneiradores'!$F$54&amp;""))</f>
        <v>PN431</v>
      </c>
      <c r="E586" t="str">
        <f>"Malha "&amp;'Verificação Peneiradores'!$F$53&amp;" mm ("&amp;"Circulares"&amp;")"</f>
        <v>Malha 9 mm (Circulares)</v>
      </c>
      <c r="F586" t="s">
        <v>817</v>
      </c>
      <c r="G586">
        <f>IF(COUNTA('Verificação Peneiradores'!$F$56:$F$60)=0,"",COUNTIF('Verificação Peneiradores'!$F$56:$F$60,"OK"))</f>
        <v>5</v>
      </c>
      <c r="H586">
        <f>IF(COUNTA('Verificação Peneiradores'!$F$56:$F$60)=0,"",COUNTA('Verificação Peneiradores'!$F$56:$F$60))</f>
        <v>5</v>
      </c>
      <c r="M586" t="str">
        <f>IF(COUNTA('Verificação Peneiradores'!$F$56:$F$60)=0,"",IF(COUNTIF('Verificação Peneiradores'!$F$56:$F$60,"NÃO OK")&gt;0,"Não conforme","Conforme"))</f>
        <v>Conforme</v>
      </c>
      <c r="N586" t="str">
        <f>IFERROR(TRIM(INDEX('Verificação Peneiradores'!$AE$53:$AE$62,MATCH("*",'Verificação Peneiradores'!$AE$53:$AE$62,0))),"")</f>
        <v>LeoNARDO</v>
      </c>
      <c r="O586" t="str">
        <f>IFERROR(TRIM(INDEX('Verificação Peneiradores'!$AD$53:$AD$62,MATCH("*",'Verificação Peneiradores'!$AD$53:$AD$62,0))),"")</f>
        <v>A</v>
      </c>
      <c r="P586" t="str">
        <f>IF(COUNTIF('Verificação Peneiradores'!$F$56:$F$60,"SEM TAG")&gt;0,"Sem TAG de calibração; ","")&amp;IF('Verificação Peneiradores'!$F$56="NÃO OK","Condições das telas; ","")&amp;IF('Verificação Peneiradores'!$F$57="NÃO OK","Inclinação das telas; ","")&amp;IF('Verificação Peneiradores'!$F$58="NÃO OK","Vibração do peneirador; ","")&amp;IF('Verificação Peneiradores'!$F$59="NÃO OK","Travamento das peneiras; ","")&amp;IF('Verificação Peneiradores'!$F$60="NÃO OK","Calibração; ","")</f>
        <v/>
      </c>
      <c r="Q586" t="s">
        <v>957</v>
      </c>
    </row>
    <row r="587">
      <c r="A587" t="s">
        <v>816</v>
      </c>
      <c r="B587" t="s">
        <v>667</v>
      </c>
      <c r="C587" s="912">
        <f>IF(MAX('Verificação Peneiradores'!$AC$53:$AC$62)=0,"",MAX('Verificação Peneiradores'!$AC$53:$AC$62))</f>
        <v>46286</v>
      </c>
      <c r="D587" t="str">
        <f>IF('Verificação Peneiradores'!$G$54&amp;""="","Circulares",TRIM('Verificação Peneiradores'!$G$54&amp;""))</f>
        <v>PN432</v>
      </c>
      <c r="E587" t="str">
        <f>"Malha "&amp;'Verificação Peneiradores'!$G$53&amp;" mm ("&amp;"Circulares"&amp;")"</f>
        <v>Malha 8 mm (Circulares)</v>
      </c>
      <c r="F587" t="s">
        <v>817</v>
      </c>
      <c r="G587">
        <f>IF(COUNTA('Verificação Peneiradores'!$G$56:$G$60)=0,"",COUNTIF('Verificação Peneiradores'!$G$56:$G$60,"OK"))</f>
        <v>5</v>
      </c>
      <c r="H587">
        <f>IF(COUNTA('Verificação Peneiradores'!$G$56:$G$60)=0,"",COUNTA('Verificação Peneiradores'!$G$56:$G$60))</f>
        <v>5</v>
      </c>
      <c r="M587" t="str">
        <f>IF(COUNTA('Verificação Peneiradores'!$G$56:$G$60)=0,"",IF(COUNTIF('Verificação Peneiradores'!$G$56:$G$60,"NÃO OK")&gt;0,"Não conforme","Conforme"))</f>
        <v>Conforme</v>
      </c>
      <c r="N587" t="str">
        <f>IFERROR(TRIM(INDEX('Verificação Peneiradores'!$AE$53:$AE$62,MATCH("*",'Verificação Peneiradores'!$AE$53:$AE$62,0))),"")</f>
        <v>LeoNARDO</v>
      </c>
      <c r="O587" t="str">
        <f>IFERROR(TRIM(INDEX('Verificação Peneiradores'!$AD$53:$AD$62,MATCH("*",'Verificação Peneiradores'!$AD$53:$AD$62,0))),"")</f>
        <v>A</v>
      </c>
      <c r="P587" t="str">
        <f>IF(COUNTIF('Verificação Peneiradores'!$G$56:$G$60,"SEM TAG")&gt;0,"Sem TAG de calibração; ","")&amp;IF('Verificação Peneiradores'!$G$56="NÃO OK","Condições das telas; ","")&amp;IF('Verificação Peneiradores'!$G$57="NÃO OK","Inclinação das telas; ","")&amp;IF('Verificação Peneiradores'!$G$58="NÃO OK","Vibração do peneirador; ","")&amp;IF('Verificação Peneiradores'!$G$59="NÃO OK","Travamento das peneiras; ","")&amp;IF('Verificação Peneiradores'!$G$60="NÃO OK","Calibração; ","")</f>
        <v/>
      </c>
      <c r="Q587" t="s">
        <v>958</v>
      </c>
    </row>
    <row r="588">
      <c r="A588" t="s">
        <v>816</v>
      </c>
      <c r="B588" t="s">
        <v>667</v>
      </c>
      <c r="C588" s="912">
        <f>IF(MAX('Verificação Peneiradores'!$AC$53:$AC$62)=0,"",MAX('Verificação Peneiradores'!$AC$53:$AC$62))</f>
        <v>46286</v>
      </c>
      <c r="D588" t="str">
        <f>IF('Verificação Peneiradores'!$H$54&amp;""="","Circulares",TRIM('Verificação Peneiradores'!$H$54&amp;""))</f>
        <v>PN0430</v>
      </c>
      <c r="E588" t="str">
        <f>"Malha "&amp;'Verificação Peneiradores'!$H$53&amp;" mm ("&amp;"Circulares"&amp;")"</f>
        <v>Malha 6,3 mm (Circulares)</v>
      </c>
      <c r="F588" t="s">
        <v>817</v>
      </c>
      <c r="G588">
        <f>IF(COUNTA('Verificação Peneiradores'!$H$56:$H$60)=0,"",COUNTIF('Verificação Peneiradores'!$H$56:$H$60,"OK"))</f>
        <v>5</v>
      </c>
      <c r="H588">
        <f>IF(COUNTA('Verificação Peneiradores'!$H$56:$H$60)=0,"",COUNTA('Verificação Peneiradores'!$H$56:$H$60))</f>
        <v>5</v>
      </c>
      <c r="M588" t="str">
        <f>IF(COUNTA('Verificação Peneiradores'!$H$56:$H$60)=0,"",IF(COUNTIF('Verificação Peneiradores'!$H$56:$H$60,"NÃO OK")&gt;0,"Não conforme","Conforme"))</f>
        <v>Conforme</v>
      </c>
      <c r="N588" t="str">
        <f>IFERROR(TRIM(INDEX('Verificação Peneiradores'!$AE$53:$AE$62,MATCH("*",'Verificação Peneiradores'!$AE$53:$AE$62,0))),"")</f>
        <v>LeoNARDO</v>
      </c>
      <c r="O588" t="str">
        <f>IFERROR(TRIM(INDEX('Verificação Peneiradores'!$AD$53:$AD$62,MATCH("*",'Verificação Peneiradores'!$AD$53:$AD$62,0))),"")</f>
        <v>A</v>
      </c>
      <c r="P588" t="str">
        <f>IF(COUNTIF('Verificação Peneiradores'!$H$56:$H$60,"SEM TAG")&gt;0,"Sem TAG de calibração; ","")&amp;IF('Verificação Peneiradores'!$H$56="NÃO OK","Condições das telas; ","")&amp;IF('Verificação Peneiradores'!$H$57="NÃO OK","Inclinação das telas; ","")&amp;IF('Verificação Peneiradores'!$H$58="NÃO OK","Vibração do peneirador; ","")&amp;IF('Verificação Peneiradores'!$H$59="NÃO OK","Travamento das peneiras; ","")&amp;IF('Verificação Peneiradores'!$H$60="NÃO OK","Calibração; ","")</f>
        <v/>
      </c>
      <c r="Q588" t="s">
        <v>959</v>
      </c>
    </row>
    <row r="589">
      <c r="A589" t="s">
        <v>816</v>
      </c>
      <c r="B589" t="s">
        <v>667</v>
      </c>
      <c r="C589" s="912">
        <f>IF(MAX('Verificação Peneiradores'!$AC$53:$AC$62)=0,"",MAX('Verificação Peneiradores'!$AC$53:$AC$62))</f>
        <v>46286</v>
      </c>
      <c r="D589" t="str">
        <f>IF('Verificação Peneiradores'!$I$54&amp;""="","Circulares",TRIM('Verificação Peneiradores'!$I$54&amp;""))</f>
        <v>PN0425</v>
      </c>
      <c r="E589" t="str">
        <f>"Malha "&amp;'Verificação Peneiradores'!$I$53&amp;" mm ("&amp;"Circulares"&amp;")"</f>
        <v>Malha 5 mm (Circulares)</v>
      </c>
      <c r="F589" t="s">
        <v>817</v>
      </c>
      <c r="G589">
        <f>IF(COUNTA('Verificação Peneiradores'!$I$56:$I$60)=0,"",COUNTIF('Verificação Peneiradores'!$I$56:$I$60,"OK"))</f>
        <v>5</v>
      </c>
      <c r="H589">
        <f>IF(COUNTA('Verificação Peneiradores'!$I$56:$I$60)=0,"",COUNTA('Verificação Peneiradores'!$I$56:$I$60))</f>
        <v>5</v>
      </c>
      <c r="M589" t="str">
        <f>IF(COUNTA('Verificação Peneiradores'!$I$56:$I$60)=0,"",IF(COUNTIF('Verificação Peneiradores'!$I$56:$I$60,"NÃO OK")&gt;0,"Não conforme","Conforme"))</f>
        <v>Conforme</v>
      </c>
      <c r="N589" t="str">
        <f>IFERROR(TRIM(INDEX('Verificação Peneiradores'!$AE$53:$AE$62,MATCH("*",'Verificação Peneiradores'!$AE$53:$AE$62,0))),"")</f>
        <v>LeoNARDO</v>
      </c>
      <c r="O589" t="str">
        <f>IFERROR(TRIM(INDEX('Verificação Peneiradores'!$AD$53:$AD$62,MATCH("*",'Verificação Peneiradores'!$AD$53:$AD$62,0))),"")</f>
        <v>A</v>
      </c>
      <c r="P589" t="str">
        <f>IF(COUNTIF('Verificação Peneiradores'!$I$56:$I$60,"SEM TAG")&gt;0,"Sem TAG de calibração; ","")&amp;IF('Verificação Peneiradores'!$I$56="NÃO OK","Condições das telas; ","")&amp;IF('Verificação Peneiradores'!$I$57="NÃO OK","Inclinação das telas; ","")&amp;IF('Verificação Peneiradores'!$I$58="NÃO OK","Vibração do peneirador; ","")&amp;IF('Verificação Peneiradores'!$I$59="NÃO OK","Travamento das peneiras; ","")&amp;IF('Verificação Peneiradores'!$I$60="NÃO OK","Calibração; ","")</f>
        <v/>
      </c>
      <c r="Q589" t="s">
        <v>960</v>
      </c>
    </row>
    <row r="590">
      <c r="A590" t="s">
        <v>816</v>
      </c>
      <c r="B590" t="s">
        <v>667</v>
      </c>
      <c r="C590" s="912">
        <f>IF(MAX('Verificação Peneiradores'!$AC$53:$AC$62)=0,"",MAX('Verificação Peneiradores'!$AC$53:$AC$62))</f>
        <v>46286</v>
      </c>
      <c r="D590" t="str">
        <f>IF('Verificação Peneiradores'!$J$54&amp;""="","Circulares",TRIM('Verificação Peneiradores'!$J$54&amp;""))</f>
        <v>PN0,46</v>
      </c>
      <c r="E590" t="str">
        <f>"Malha "&amp;'Verificação Peneiradores'!$J$53&amp;" mm ("&amp;"Circulares"&amp;")"</f>
        <v>Malha 3,15 mm (Circulares)</v>
      </c>
      <c r="F590" t="s">
        <v>817</v>
      </c>
      <c r="G590">
        <f>IF(COUNTA('Verificação Peneiradores'!$J$56:$J$60)=0,"",COUNTIF('Verificação Peneiradores'!$J$56:$J$60,"OK"))</f>
        <v>5</v>
      </c>
      <c r="H590">
        <f>IF(COUNTA('Verificação Peneiradores'!$J$56:$J$60)=0,"",COUNTA('Verificação Peneiradores'!$J$56:$J$60))</f>
        <v>5</v>
      </c>
      <c r="M590" t="str">
        <f>IF(COUNTA('Verificação Peneiradores'!$J$56:$J$60)=0,"",IF(COUNTIF('Verificação Peneiradores'!$J$56:$J$60,"NÃO OK")&gt;0,"Não conforme","Conforme"))</f>
        <v>Conforme</v>
      </c>
      <c r="N590" t="str">
        <f>IFERROR(TRIM(INDEX('Verificação Peneiradores'!$AE$53:$AE$62,MATCH("*",'Verificação Peneiradores'!$AE$53:$AE$62,0))),"")</f>
        <v>LeoNARDO</v>
      </c>
      <c r="O590" t="str">
        <f>IFERROR(TRIM(INDEX('Verificação Peneiradores'!$AD$53:$AD$62,MATCH("*",'Verificação Peneiradores'!$AD$53:$AD$62,0))),"")</f>
        <v>A</v>
      </c>
      <c r="P590" t="str">
        <f>IF(COUNTIF('Verificação Peneiradores'!$J$56:$J$60,"SEM TAG")&gt;0,"Sem TAG de calibração; ","")&amp;IF('Verificação Peneiradores'!$J$56="NÃO OK","Condições das telas; ","")&amp;IF('Verificação Peneiradores'!$J$57="NÃO OK","Inclinação das telas; ","")&amp;IF('Verificação Peneiradores'!$J$58="NÃO OK","Vibração do peneirador; ","")&amp;IF('Verificação Peneiradores'!$J$59="NÃO OK","Travamento das peneiras; ","")&amp;IF('Verificação Peneiradores'!$J$60="NÃO OK","Calibração; ","")</f>
        <v/>
      </c>
      <c r="Q590" t="s">
        <v>961</v>
      </c>
    </row>
    <row r="591">
      <c r="A591" t="s">
        <v>816</v>
      </c>
      <c r="B591" t="s">
        <v>667</v>
      </c>
      <c r="C591" s="912">
        <f>IF(MAX('Verificação Peneiradores'!$AC$53:$AC$62)=0,"",MAX('Verificação Peneiradores'!$AC$53:$AC$62))</f>
        <v>46286</v>
      </c>
      <c r="D591" t="str">
        <f>IF('Verificação Peneiradores'!$K$54&amp;""="","Circulares",TRIM('Verificação Peneiradores'!$K$54&amp;""))</f>
        <v>PN0500</v>
      </c>
      <c r="E591" t="str">
        <f>"Malha "&amp;'Verificação Peneiradores'!$K$53&amp;" mm ("&amp;"Circulares"&amp;")"</f>
        <v>Malha 0,5 mm (Circulares)</v>
      </c>
      <c r="F591" t="s">
        <v>817</v>
      </c>
      <c r="G591">
        <f>IF(COUNTA('Verificação Peneiradores'!$K$56:$K$60)=0,"",COUNTIF('Verificação Peneiradores'!$K$56:$K$60,"OK"))</f>
        <v>5</v>
      </c>
      <c r="H591">
        <f>IF(COUNTA('Verificação Peneiradores'!$K$56:$K$60)=0,"",COUNTA('Verificação Peneiradores'!$K$56:$K$60))</f>
        <v>5</v>
      </c>
      <c r="M591" t="str">
        <f>IF(COUNTA('Verificação Peneiradores'!$K$56:$K$60)=0,"",IF(COUNTIF('Verificação Peneiradores'!$K$56:$K$60,"NÃO OK")&gt;0,"Não conforme","Conforme"))</f>
        <v>Conforme</v>
      </c>
      <c r="N591" t="str">
        <f>IFERROR(TRIM(INDEX('Verificação Peneiradores'!$AE$53:$AE$62,MATCH("*",'Verificação Peneiradores'!$AE$53:$AE$62,0))),"")</f>
        <v>LeoNARDO</v>
      </c>
      <c r="O591" t="str">
        <f>IFERROR(TRIM(INDEX('Verificação Peneiradores'!$AD$53:$AD$62,MATCH("*",'Verificação Peneiradores'!$AD$53:$AD$62,0))),"")</f>
        <v>A</v>
      </c>
      <c r="P591" t="str">
        <f>IF(COUNTIF('Verificação Peneiradores'!$K$56:$K$60,"SEM TAG")&gt;0,"Sem TAG de calibração; ","")&amp;IF('Verificação Peneiradores'!$K$56="NÃO OK","Condições das telas; ","")&amp;IF('Verificação Peneiradores'!$K$57="NÃO OK","Inclinação das telas; ","")&amp;IF('Verificação Peneiradores'!$K$58="NÃO OK","Vibração do peneirador; ","")&amp;IF('Verificação Peneiradores'!$K$59="NÃO OK","Travamento das peneiras; ","")&amp;IF('Verificação Peneiradores'!$K$60="NÃO OK","Calibração; ","")</f>
        <v/>
      </c>
      <c r="Q591" t="s">
        <v>962</v>
      </c>
    </row>
    <row r="592">
      <c r="A592" t="s">
        <v>816</v>
      </c>
      <c r="B592" t="s">
        <v>667</v>
      </c>
      <c r="C592" s="912">
        <f>IF(MAX('Verificação Peneiradores'!$AC$53:$AC$62)=0,"",MAX('Verificação Peneiradores'!$AC$53:$AC$62))</f>
        <v>46286</v>
      </c>
      <c r="D592" t="str">
        <f>IF('Verificação Peneiradores'!$L$54&amp;""="","Circulares",TRIM('Verificação Peneiradores'!$L$54&amp;""))</f>
        <v>PN0501</v>
      </c>
      <c r="E592" t="str">
        <f>"Malha "&amp;'Verificação Peneiradores'!$L$53&amp;" mm ("&amp;"Circulares"&amp;")"</f>
        <v>Malha 0,5 mm (Circulares)</v>
      </c>
      <c r="F592" t="s">
        <v>817</v>
      </c>
      <c r="G592">
        <f>IF(COUNTA('Verificação Peneiradores'!$L$56:$L$60)=0,"",COUNTIF('Verificação Peneiradores'!$L$56:$L$60,"OK"))</f>
        <v>5</v>
      </c>
      <c r="H592">
        <f>IF(COUNTA('Verificação Peneiradores'!$L$56:$L$60)=0,"",COUNTA('Verificação Peneiradores'!$L$56:$L$60))</f>
        <v>5</v>
      </c>
      <c r="M592" t="str">
        <f>IF(COUNTA('Verificação Peneiradores'!$L$56:$L$60)=0,"",IF(COUNTIF('Verificação Peneiradores'!$L$56:$L$60,"NÃO OK")&gt;0,"Não conforme","Conforme"))</f>
        <v>Conforme</v>
      </c>
      <c r="N592" t="str">
        <f>IFERROR(TRIM(INDEX('Verificação Peneiradores'!$AE$53:$AE$62,MATCH("*",'Verificação Peneiradores'!$AE$53:$AE$62,0))),"")</f>
        <v>LeoNARDO</v>
      </c>
      <c r="O592" t="str">
        <f>IFERROR(TRIM(INDEX('Verificação Peneiradores'!$AD$53:$AD$62,MATCH("*",'Verificação Peneiradores'!$AD$53:$AD$62,0))),"")</f>
        <v>A</v>
      </c>
      <c r="P592" t="str">
        <f>IF(COUNTIF('Verificação Peneiradores'!$L$56:$L$60,"SEM TAG")&gt;0,"Sem TAG de calibração; ","")&amp;IF('Verificação Peneiradores'!$L$56="NÃO OK","Condições das telas; ","")&amp;IF('Verificação Peneiradores'!$L$57="NÃO OK","Inclinação das telas; ","")&amp;IF('Verificação Peneiradores'!$L$58="NÃO OK","Vibração do peneirador; ","")&amp;IF('Verificação Peneiradores'!$L$59="NÃO OK","Travamento das peneiras; ","")&amp;IF('Verificação Peneiradores'!$L$60="NÃO OK","Calibração; ","")</f>
        <v/>
      </c>
      <c r="Q592" t="s">
        <v>963</v>
      </c>
    </row>
    <row r="593">
      <c r="A593" t="s">
        <v>816</v>
      </c>
      <c r="B593" t="s">
        <v>667</v>
      </c>
      <c r="C593" s="912">
        <f>IF(MAX('Verificação Peneiradores'!$AC$53:$AC$62)=0,"",MAX('Verificação Peneiradores'!$AC$53:$AC$62))</f>
        <v>46286</v>
      </c>
      <c r="D593" t="str">
        <f>IF('Verificação Peneiradores'!$M$54&amp;""="","Peneirador 09",TRIM('Verificação Peneiradores'!$M$54&amp;""))</f>
        <v>PN478</v>
      </c>
      <c r="E593" t="str">
        <f>"Malha "&amp;'Verificação Peneiradores'!$M$53&amp;" mm ("&amp;"Peneirador 09"&amp;")"</f>
        <v>Malha 19 mm (Peneirador 09)</v>
      </c>
      <c r="F593" t="s">
        <v>817</v>
      </c>
      <c r="G593">
        <f>IF(COUNTA('Verificação Peneiradores'!$M$56:$M$60)=0,"",COUNTIF('Verificação Peneiradores'!$M$56:$M$60,"OK"))</f>
        <v>5</v>
      </c>
      <c r="H593">
        <f>IF(COUNTA('Verificação Peneiradores'!$M$56:$M$60)=0,"",COUNTA('Verificação Peneiradores'!$M$56:$M$60))</f>
        <v>5</v>
      </c>
      <c r="M593" t="str">
        <f>IF(COUNTA('Verificação Peneiradores'!$M$56:$M$60)=0,"",IF(COUNTIF('Verificação Peneiradores'!$M$56:$M$60,"NÃO OK")&gt;0,"Não conforme","Conforme"))</f>
        <v>Conforme</v>
      </c>
      <c r="N593" t="str">
        <f>IFERROR(TRIM(INDEX('Verificação Peneiradores'!$AE$53:$AE$62,MATCH("*",'Verificação Peneiradores'!$AE$53:$AE$62,0))),"")</f>
        <v>LeoNARDO</v>
      </c>
      <c r="O593" t="str">
        <f>IFERROR(TRIM(INDEX('Verificação Peneiradores'!$AD$53:$AD$62,MATCH("*",'Verificação Peneiradores'!$AD$53:$AD$62,0))),"")</f>
        <v>A</v>
      </c>
      <c r="P593" t="str">
        <f>IF(COUNTIF('Verificação Peneiradores'!$M$56:$M$60,"SEM TAG")&gt;0,"Sem TAG de calibração; ","")&amp;IF('Verificação Peneiradores'!$M$56="NÃO OK","Condições das telas; ","")&amp;IF('Verificação Peneiradores'!$M$57="NÃO OK","Inclinação das telas; ","")&amp;IF('Verificação Peneiradores'!$M$58="NÃO OK","Vibração do peneirador; ","")&amp;IF('Verificação Peneiradores'!$M$59="NÃO OK","Travamento das peneiras; ","")&amp;IF('Verificação Peneiradores'!$M$60="NÃO OK","Calibração; ","")</f>
        <v/>
      </c>
      <c r="Q593" t="s">
        <v>964</v>
      </c>
    </row>
    <row r="594">
      <c r="A594" t="s">
        <v>816</v>
      </c>
      <c r="B594" t="s">
        <v>667</v>
      </c>
      <c r="C594" s="912">
        <f>IF(MAX('Verificação Peneiradores'!$AC$53:$AC$62)=0,"",MAX('Verificação Peneiradores'!$AC$53:$AC$62))</f>
        <v>46286</v>
      </c>
      <c r="D594" t="str">
        <f>IF('Verificação Peneiradores'!$N$54&amp;""="","Peneirador 09",TRIM('Verificação Peneiradores'!$N$54&amp;""))</f>
        <v>PN516</v>
      </c>
      <c r="E594" t="str">
        <f>"Malha "&amp;'Verificação Peneiradores'!$N$53&amp;" mm ("&amp;"Peneirador 09"&amp;")"</f>
        <v>Malha 16 mm (Peneirador 09)</v>
      </c>
      <c r="F594" t="s">
        <v>817</v>
      </c>
      <c r="G594">
        <f>IF(COUNTA('Verificação Peneiradores'!$N$56:$N$60)=0,"",COUNTIF('Verificação Peneiradores'!$N$56:$N$60,"OK"))</f>
        <v>5</v>
      </c>
      <c r="H594">
        <f>IF(COUNTA('Verificação Peneiradores'!$N$56:$N$60)=0,"",COUNTA('Verificação Peneiradores'!$N$56:$N$60))</f>
        <v>5</v>
      </c>
      <c r="M594" t="str">
        <f>IF(COUNTA('Verificação Peneiradores'!$N$56:$N$60)=0,"",IF(COUNTIF('Verificação Peneiradores'!$N$56:$N$60,"NÃO OK")&gt;0,"Não conforme","Conforme"))</f>
        <v>Conforme</v>
      </c>
      <c r="N594" t="str">
        <f>IFERROR(TRIM(INDEX('Verificação Peneiradores'!$AE$53:$AE$62,MATCH("*",'Verificação Peneiradores'!$AE$53:$AE$62,0))),"")</f>
        <v>LeoNARDO</v>
      </c>
      <c r="O594" t="str">
        <f>IFERROR(TRIM(INDEX('Verificação Peneiradores'!$AD$53:$AD$62,MATCH("*",'Verificação Peneiradores'!$AD$53:$AD$62,0))),"")</f>
        <v>A</v>
      </c>
      <c r="P594" t="str">
        <f>IF(COUNTIF('Verificação Peneiradores'!$N$56:$N$60,"SEM TAG")&gt;0,"Sem TAG de calibração; ","")&amp;IF('Verificação Peneiradores'!$N$56="NÃO OK","Condições das telas; ","")&amp;IF('Verificação Peneiradores'!$N$57="NÃO OK","Inclinação das telas; ","")&amp;IF('Verificação Peneiradores'!$N$58="NÃO OK","Vibração do peneirador; ","")&amp;IF('Verificação Peneiradores'!$N$59="NÃO OK","Travamento das peneiras; ","")&amp;IF('Verificação Peneiradores'!$N$60="NÃO OK","Calibração; ","")</f>
        <v/>
      </c>
      <c r="Q594" t="s">
        <v>965</v>
      </c>
    </row>
    <row r="595">
      <c r="A595" t="s">
        <v>816</v>
      </c>
      <c r="B595" t="s">
        <v>667</v>
      </c>
      <c r="C595" s="912">
        <f>IF(MAX('Verificação Peneiradores'!$AC$53:$AC$62)=0,"",MAX('Verificação Peneiradores'!$AC$53:$AC$62))</f>
        <v>46286</v>
      </c>
      <c r="D595" t="str">
        <f>IF('Verificação Peneiradores'!$O$54&amp;""="","Peneirador 09",TRIM('Verificação Peneiradores'!$O$54&amp;""))</f>
        <v>PN665</v>
      </c>
      <c r="E595" t="str">
        <f>"Malha "&amp;'Verificação Peneiradores'!$O$53&amp;" mm ("&amp;"Peneirador 09"&amp;")"</f>
        <v>Malha 14 mm (Peneirador 09)</v>
      </c>
      <c r="F595" t="s">
        <v>817</v>
      </c>
      <c r="G595">
        <f>IF(COUNTA('Verificação Peneiradores'!$O$56:$O$60)=0,"",COUNTIF('Verificação Peneiradores'!$O$56:$O$60,"OK"))</f>
        <v>4</v>
      </c>
      <c r="H595">
        <f>IF(COUNTA('Verificação Peneiradores'!$O$56:$O$60)=0,"",COUNTA('Verificação Peneiradores'!$O$56:$O$60))</f>
        <v>5</v>
      </c>
      <c r="M595" t="str">
        <f>IF(COUNTA('Verificação Peneiradores'!$O$56:$O$60)=0,"",IF(COUNTIF('Verificação Peneiradores'!$O$56:$O$60,"NÃO OK")&gt;0,"Não conforme","Conforme"))</f>
        <v>Conforme</v>
      </c>
      <c r="N595" t="str">
        <f>IFERROR(TRIM(INDEX('Verificação Peneiradores'!$AE$53:$AE$62,MATCH("*",'Verificação Peneiradores'!$AE$53:$AE$62,0))),"")</f>
        <v>LeoNARDO</v>
      </c>
      <c r="O595" t="str">
        <f>IFERROR(TRIM(INDEX('Verificação Peneiradores'!$AD$53:$AD$62,MATCH("*",'Verificação Peneiradores'!$AD$53:$AD$62,0))),"")</f>
        <v>A</v>
      </c>
      <c r="P595" t="str">
        <f>IF(COUNTIF('Verificação Peneiradores'!$O$56:$O$60,"SEM TAG")&gt;0,"Sem TAG de calibração; ","")&amp;IF('Verificação Peneiradores'!$O$56="NÃO OK","Condições das telas; ","")&amp;IF('Verificação Peneiradores'!$O$57="NÃO OK","Inclinação das telas; ","")&amp;IF('Verificação Peneiradores'!$O$58="NÃO OK","Vibração do peneirador; ","")&amp;IF('Verificação Peneiradores'!$O$59="NÃO OK","Travamento das peneiras; ","")&amp;IF('Verificação Peneiradores'!$O$60="NÃO OK","Calibração; ","")</f>
        <v>Sem TAG de calibração; </v>
      </c>
      <c r="Q595" t="s">
        <v>966</v>
      </c>
    </row>
    <row r="596">
      <c r="A596" t="s">
        <v>816</v>
      </c>
      <c r="B596" t="s">
        <v>667</v>
      </c>
      <c r="C596" s="912">
        <f>IF(MAX('Verificação Peneiradores'!$AC$53:$AC$62)=0,"",MAX('Verificação Peneiradores'!$AC$53:$AC$62))</f>
        <v>46286</v>
      </c>
      <c r="D596" t="str">
        <f>IF('Verificação Peneiradores'!$P$54&amp;""="","Peneirador 09",TRIM('Verificação Peneiradores'!$P$54&amp;""))</f>
        <v>PN479598</v>
      </c>
      <c r="E596" t="str">
        <f>"Malha "&amp;'Verificação Peneiradores'!$P$53&amp;" mm ("&amp;"Peneirador 09"&amp;")"</f>
        <v>Malha 12,5 mm (Peneirador 09)</v>
      </c>
      <c r="F596" t="s">
        <v>817</v>
      </c>
      <c r="G596">
        <f>IF(COUNTA('Verificação Peneiradores'!$P$56:$P$60)=0,"",COUNTIF('Verificação Peneiradores'!$P$56:$P$60,"OK"))</f>
        <v>4</v>
      </c>
      <c r="H596">
        <f>IF(COUNTA('Verificação Peneiradores'!$P$56:$P$60)=0,"",COUNTA('Verificação Peneiradores'!$P$56:$P$60))</f>
        <v>5</v>
      </c>
      <c r="M596" t="str">
        <f>IF(COUNTA('Verificação Peneiradores'!$P$56:$P$60)=0,"",IF(COUNTIF('Verificação Peneiradores'!$P$56:$P$60,"NÃO OK")&gt;0,"Não conforme","Conforme"))</f>
        <v>Conforme</v>
      </c>
      <c r="N596" t="str">
        <f>IFERROR(TRIM(INDEX('Verificação Peneiradores'!$AE$53:$AE$62,MATCH("*",'Verificação Peneiradores'!$AE$53:$AE$62,0))),"")</f>
        <v>LeoNARDO</v>
      </c>
      <c r="O596" t="str">
        <f>IFERROR(TRIM(INDEX('Verificação Peneiradores'!$AD$53:$AD$62,MATCH("*",'Verificação Peneiradores'!$AD$53:$AD$62,0))),"")</f>
        <v>A</v>
      </c>
      <c r="P596" t="str">
        <f>IF(COUNTIF('Verificação Peneiradores'!$P$56:$P$60,"SEM TAG")&gt;0,"Sem TAG de calibração; ","")&amp;IF('Verificação Peneiradores'!$P$56="NÃO OK","Condições das telas; ","")&amp;IF('Verificação Peneiradores'!$P$57="NÃO OK","Inclinação das telas; ","")&amp;IF('Verificação Peneiradores'!$P$58="NÃO OK","Vibração do peneirador; ","")&amp;IF('Verificação Peneiradores'!$P$59="NÃO OK","Travamento das peneiras; ","")&amp;IF('Verificação Peneiradores'!$P$60="NÃO OK","Calibração; ","")</f>
        <v/>
      </c>
      <c r="Q596" t="s">
        <v>967</v>
      </c>
    </row>
    <row r="597">
      <c r="A597" t="s">
        <v>816</v>
      </c>
      <c r="B597" t="s">
        <v>667</v>
      </c>
      <c r="C597" s="912">
        <f>IF(MAX('Verificação Peneiradores'!$AC$53:$AC$62)=0,"",MAX('Verificação Peneiradores'!$AC$53:$AC$62))</f>
        <v>46286</v>
      </c>
      <c r="D597" t="str">
        <f>IF('Verificação Peneiradores'!$Q$54&amp;""="","Peneirador 09",TRIM('Verificação Peneiradores'!$Q$54&amp;""))</f>
        <v>PN510</v>
      </c>
      <c r="E597" t="str">
        <f>"Malha "&amp;'Verificação Peneiradores'!$Q$53&amp;" mm ("&amp;"Peneirador 09"&amp;")"</f>
        <v>Malha 9 mm (Peneirador 09)</v>
      </c>
      <c r="F597" t="s">
        <v>817</v>
      </c>
      <c r="G597">
        <f>IF(COUNTA('Verificação Peneiradores'!$Q$56:$Q$60)=0,"",COUNTIF('Verificação Peneiradores'!$Q$56:$Q$60,"OK"))</f>
        <v>5</v>
      </c>
      <c r="H597">
        <f>IF(COUNTA('Verificação Peneiradores'!$Q$56:$Q$60)=0,"",COUNTA('Verificação Peneiradores'!$Q$56:$Q$60))</f>
        <v>5</v>
      </c>
      <c r="M597" t="str">
        <f>IF(COUNTA('Verificação Peneiradores'!$Q$56:$Q$60)=0,"",IF(COUNTIF('Verificação Peneiradores'!$Q$56:$Q$60,"NÃO OK")&gt;0,"Não conforme","Conforme"))</f>
        <v>Conforme</v>
      </c>
      <c r="N597" t="str">
        <f>IFERROR(TRIM(INDEX('Verificação Peneiradores'!$AE$53:$AE$62,MATCH("*",'Verificação Peneiradores'!$AE$53:$AE$62,0))),"")</f>
        <v>LeoNARDO</v>
      </c>
      <c r="O597" t="str">
        <f>IFERROR(TRIM(INDEX('Verificação Peneiradores'!$AD$53:$AD$62,MATCH("*",'Verificação Peneiradores'!$AD$53:$AD$62,0))),"")</f>
        <v>A</v>
      </c>
      <c r="P597" t="str">
        <f>IF(COUNTIF('Verificação Peneiradores'!$Q$56:$Q$60,"SEM TAG")&gt;0,"Sem TAG de calibração; ","")&amp;IF('Verificação Peneiradores'!$Q$56="NÃO OK","Condições das telas; ","")&amp;IF('Verificação Peneiradores'!$Q$57="NÃO OK","Inclinação das telas; ","")&amp;IF('Verificação Peneiradores'!$Q$58="NÃO OK","Vibração do peneirador; ","")&amp;IF('Verificação Peneiradores'!$Q$59="NÃO OK","Travamento das peneiras; ","")&amp;IF('Verificação Peneiradores'!$Q$60="NÃO OK","Calibração; ","")</f>
        <v/>
      </c>
      <c r="Q597" t="s">
        <v>968</v>
      </c>
    </row>
    <row r="598">
      <c r="A598" t="s">
        <v>816</v>
      </c>
      <c r="B598" t="s">
        <v>667</v>
      </c>
      <c r="C598" s="912">
        <f>IF(MAX('Verificação Peneiradores'!$AC$53:$AC$62)=0,"",MAX('Verificação Peneiradores'!$AC$53:$AC$62))</f>
        <v>46286</v>
      </c>
      <c r="D598" t="str">
        <f>IF('Verificação Peneiradores'!$R$54&amp;""="","Peneirador 09",TRIM('Verificação Peneiradores'!$R$54&amp;""))</f>
        <v>PN647</v>
      </c>
      <c r="E598" t="str">
        <f>"Malha "&amp;'Verificação Peneiradores'!$R$53&amp;" mm ("&amp;"Peneirador 09"&amp;")"</f>
        <v>Malha 8 mm (Peneirador 09)</v>
      </c>
      <c r="F598" t="s">
        <v>817</v>
      </c>
      <c r="G598">
        <f>IF(COUNTA('Verificação Peneiradores'!$R$56:$R$60)=0,"",COUNTIF('Verificação Peneiradores'!$R$56:$R$60,"OK"))</f>
        <v>5</v>
      </c>
      <c r="H598">
        <f>IF(COUNTA('Verificação Peneiradores'!$R$56:$R$60)=0,"",COUNTA('Verificação Peneiradores'!$R$56:$R$60))</f>
        <v>5</v>
      </c>
      <c r="M598" t="str">
        <f>IF(COUNTA('Verificação Peneiradores'!$R$56:$R$60)=0,"",IF(COUNTIF('Verificação Peneiradores'!$R$56:$R$60,"NÃO OK")&gt;0,"Não conforme","Conforme"))</f>
        <v>Conforme</v>
      </c>
      <c r="N598" t="str">
        <f>IFERROR(TRIM(INDEX('Verificação Peneiradores'!$AE$53:$AE$62,MATCH("*",'Verificação Peneiradores'!$AE$53:$AE$62,0))),"")</f>
        <v>LeoNARDO</v>
      </c>
      <c r="O598" t="str">
        <f>IFERROR(TRIM(INDEX('Verificação Peneiradores'!$AD$53:$AD$62,MATCH("*",'Verificação Peneiradores'!$AD$53:$AD$62,0))),"")</f>
        <v>A</v>
      </c>
      <c r="P598" t="str">
        <f>IF(COUNTIF('Verificação Peneiradores'!$R$56:$R$60,"SEM TAG")&gt;0,"Sem TAG de calibração; ","")&amp;IF('Verificação Peneiradores'!$R$56="NÃO OK","Condições das telas; ","")&amp;IF('Verificação Peneiradores'!$R$57="NÃO OK","Inclinação das telas; ","")&amp;IF('Verificação Peneiradores'!$R$58="NÃO OK","Vibração do peneirador; ","")&amp;IF('Verificação Peneiradores'!$R$59="NÃO OK","Travamento das peneiras; ","")&amp;IF('Verificação Peneiradores'!$R$60="NÃO OK","Calibração; ","")</f>
        <v/>
      </c>
      <c r="Q598" t="s">
        <v>969</v>
      </c>
    </row>
    <row r="599">
      <c r="A599" t="s">
        <v>816</v>
      </c>
      <c r="B599" t="s">
        <v>667</v>
      </c>
      <c r="C599" s="912">
        <f>IF(MAX('Verificação Peneiradores'!$AC$53:$AC$62)=0,"",MAX('Verificação Peneiradores'!$AC$53:$AC$62))</f>
        <v>46286</v>
      </c>
      <c r="D599" t="str">
        <f>IF('Verificação Peneiradores'!$S$54&amp;""="","Peneirador 09",TRIM('Verificação Peneiradores'!$S$54&amp;""))</f>
        <v>PN0459</v>
      </c>
      <c r="E599" t="str">
        <f>"Malha "&amp;'Verificação Peneiradores'!$S$53&amp;" mm ("&amp;"Peneirador 09"&amp;")"</f>
        <v>Malha 6,3 mm (Peneirador 09)</v>
      </c>
      <c r="F599" t="s">
        <v>817</v>
      </c>
      <c r="G599">
        <f>IF(COUNTA('Verificação Peneiradores'!$S$56:$S$60)=0,"",COUNTIF('Verificação Peneiradores'!$S$56:$S$60,"OK"))</f>
        <v>4</v>
      </c>
      <c r="H599">
        <f>IF(COUNTA('Verificação Peneiradores'!$S$56:$S$60)=0,"",COUNTA('Verificação Peneiradores'!$S$56:$S$60))</f>
        <v>5</v>
      </c>
      <c r="M599" t="str">
        <f>IF(COUNTA('Verificação Peneiradores'!$S$56:$S$60)=0,"",IF(COUNTIF('Verificação Peneiradores'!$S$56:$S$60,"NÃO OK")&gt;0,"Não conforme","Conforme"))</f>
        <v>Conforme</v>
      </c>
      <c r="N599" t="str">
        <f>IFERROR(TRIM(INDEX('Verificação Peneiradores'!$AE$53:$AE$62,MATCH("*",'Verificação Peneiradores'!$AE$53:$AE$62,0))),"")</f>
        <v>LeoNARDO</v>
      </c>
      <c r="O599" t="str">
        <f>IFERROR(TRIM(INDEX('Verificação Peneiradores'!$AD$53:$AD$62,MATCH("*",'Verificação Peneiradores'!$AD$53:$AD$62,0))),"")</f>
        <v>A</v>
      </c>
      <c r="P599" t="str">
        <f>IF(COUNTIF('Verificação Peneiradores'!$S$56:$S$60,"SEM TAG")&gt;0,"Sem TAG de calibração; ","")&amp;IF('Verificação Peneiradores'!$S$56="NÃO OK","Condições das telas; ","")&amp;IF('Verificação Peneiradores'!$S$57="NÃO OK","Inclinação das telas; ","")&amp;IF('Verificação Peneiradores'!$S$58="NÃO OK","Vibração do peneirador; ","")&amp;IF('Verificação Peneiradores'!$S$59="NÃO OK","Travamento das peneiras; ","")&amp;IF('Verificação Peneiradores'!$S$60="NÃO OK","Calibração; ","")</f>
        <v>Sem TAG de calibração; </v>
      </c>
      <c r="Q599" t="s">
        <v>970</v>
      </c>
    </row>
    <row r="600">
      <c r="A600" t="s">
        <v>816</v>
      </c>
      <c r="B600" t="s">
        <v>667</v>
      </c>
      <c r="C600" s="912">
        <f>IF(MAX('Verificação Peneiradores'!$AC$53:$AC$62)=0,"",MAX('Verificação Peneiradores'!$AC$53:$AC$62))</f>
        <v>46286</v>
      </c>
      <c r="D600" t="str">
        <f>IF('Verificação Peneiradores'!$T$54&amp;""="","Peneirador 05",TRIM('Verificação Peneiradores'!$T$54&amp;""))</f>
        <v>PN398</v>
      </c>
      <c r="E600" t="str">
        <f>"Malha "&amp;'Verificação Peneiradores'!$T$53&amp;" mm ("&amp;"Peneirador 05"&amp;")"</f>
        <v>Malha 19 mm (Peneirador 05)</v>
      </c>
      <c r="F600" t="s">
        <v>817</v>
      </c>
      <c r="G600">
        <f>IF(COUNTA('Verificação Peneiradores'!$T$56:$T$60)=0,"",COUNTIF('Verificação Peneiradores'!$T$56:$T$60,"OK"))</f>
        <v>4</v>
      </c>
      <c r="H600">
        <f>IF(COUNTA('Verificação Peneiradores'!$T$56:$T$60)=0,"",COUNTA('Verificação Peneiradores'!$T$56:$T$60))</f>
        <v>5</v>
      </c>
      <c r="M600" t="str">
        <f>IF(COUNTA('Verificação Peneiradores'!$T$56:$T$60)=0,"",IF(COUNTIF('Verificação Peneiradores'!$T$56:$T$60,"NÃO OK")&gt;0,"Não conforme","Conforme"))</f>
        <v>Conforme</v>
      </c>
      <c r="N600" t="str">
        <f>IFERROR(TRIM(INDEX('Verificação Peneiradores'!$AE$53:$AE$62,MATCH("*",'Verificação Peneiradores'!$AE$53:$AE$62,0))),"")</f>
        <v>LeoNARDO</v>
      </c>
      <c r="O600" t="str">
        <f>IFERROR(TRIM(INDEX('Verificação Peneiradores'!$AD$53:$AD$62,MATCH("*",'Verificação Peneiradores'!$AD$53:$AD$62,0))),"")</f>
        <v>A</v>
      </c>
      <c r="P600" t="str">
        <f>IF(COUNTIF('Verificação Peneiradores'!$T$56:$T$60,"SEM TAG")&gt;0,"Sem TAG de calibração; ","")&amp;IF('Verificação Peneiradores'!$T$56="NÃO OK","Condições das telas; ","")&amp;IF('Verificação Peneiradores'!$T$57="NÃO OK","Inclinação das telas; ","")&amp;IF('Verificação Peneiradores'!$T$58="NÃO OK","Vibração do peneirador; ","")&amp;IF('Verificação Peneiradores'!$T$59="NÃO OK","Travamento das peneiras; ","")&amp;IF('Verificação Peneiradores'!$T$60="NÃO OK","Calibração; ","")</f>
        <v>Sem TAG de calibração; </v>
      </c>
      <c r="Q600" t="s">
        <v>971</v>
      </c>
    </row>
    <row r="601">
      <c r="A601" t="s">
        <v>816</v>
      </c>
      <c r="B601" t="s">
        <v>667</v>
      </c>
      <c r="C601" s="912">
        <f>IF(MAX('Verificação Peneiradores'!$AC$53:$AC$62)=0,"",MAX('Verificação Peneiradores'!$AC$53:$AC$62))</f>
        <v>46286</v>
      </c>
      <c r="D601" t="str">
        <f>IF('Verificação Peneiradores'!$U$54&amp;""="","Peneirador 05",TRIM('Verificação Peneiradores'!$U$54&amp;""))</f>
        <v>PN664</v>
      </c>
      <c r="E601" t="str">
        <f>"Malha "&amp;'Verificação Peneiradores'!$U$53&amp;" mm ("&amp;"Peneirador 05"&amp;")"</f>
        <v>Malha 16 mm (Peneirador 05)</v>
      </c>
      <c r="F601" t="s">
        <v>817</v>
      </c>
      <c r="G601">
        <f>IF(COUNTA('Verificação Peneiradores'!$U$56:$U$60)=0,"",COUNTIF('Verificação Peneiradores'!$U$56:$U$60,"OK"))</f>
        <v>5</v>
      </c>
      <c r="H601">
        <f>IF(COUNTA('Verificação Peneiradores'!$U$56:$U$60)=0,"",COUNTA('Verificação Peneiradores'!$U$56:$U$60))</f>
        <v>5</v>
      </c>
      <c r="M601" t="str">
        <f>IF(COUNTA('Verificação Peneiradores'!$U$56:$U$60)=0,"",IF(COUNTIF('Verificação Peneiradores'!$U$56:$U$60,"NÃO OK")&gt;0,"Não conforme","Conforme"))</f>
        <v>Conforme</v>
      </c>
      <c r="N601" t="str">
        <f>IFERROR(TRIM(INDEX('Verificação Peneiradores'!$AE$53:$AE$62,MATCH("*",'Verificação Peneiradores'!$AE$53:$AE$62,0))),"")</f>
        <v>LeoNARDO</v>
      </c>
      <c r="O601" t="str">
        <f>IFERROR(TRIM(INDEX('Verificação Peneiradores'!$AD$53:$AD$62,MATCH("*",'Verificação Peneiradores'!$AD$53:$AD$62,0))),"")</f>
        <v>A</v>
      </c>
      <c r="P601" t="str">
        <f>IF(COUNTIF('Verificação Peneiradores'!$U$56:$U$60,"SEM TAG")&gt;0,"Sem TAG de calibração; ","")&amp;IF('Verificação Peneiradores'!$U$56="NÃO OK","Condições das telas; ","")&amp;IF('Verificação Peneiradores'!$U$57="NÃO OK","Inclinação das telas; ","")&amp;IF('Verificação Peneiradores'!$U$58="NÃO OK","Vibração do peneirador; ","")&amp;IF('Verificação Peneiradores'!$U$59="NÃO OK","Travamento das peneiras; ","")&amp;IF('Verificação Peneiradores'!$U$60="NÃO OK","Calibração; ","")</f>
        <v/>
      </c>
      <c r="Q601" t="s">
        <v>972</v>
      </c>
    </row>
    <row r="602">
      <c r="A602" t="s">
        <v>816</v>
      </c>
      <c r="B602" t="s">
        <v>667</v>
      </c>
      <c r="C602" s="912">
        <f>IF(MAX('Verificação Peneiradores'!$AC$53:$AC$62)=0,"",MAX('Verificação Peneiradores'!$AC$53:$AC$62))</f>
        <v>46286</v>
      </c>
      <c r="D602" t="str">
        <f>IF('Verificação Peneiradores'!$V$54&amp;""="","Peneirador 05",TRIM('Verificação Peneiradores'!$V$54&amp;""))</f>
        <v>PN665</v>
      </c>
      <c r="E602" t="str">
        <f>"Malha "&amp;'Verificação Peneiradores'!$V$53&amp;" mm ("&amp;"Peneirador 05"&amp;")"</f>
        <v>Malha 14 mm (Peneirador 05)</v>
      </c>
      <c r="F602" t="s">
        <v>817</v>
      </c>
      <c r="G602" t="str">
        <f>IF(COUNTA('Verificação Peneiradores'!$V$56:$V$60)=0,"",COUNTIF('Verificação Peneiradores'!$V$56:$V$60,"OK"))</f>
        <v/>
      </c>
      <c r="H602" t="str">
        <f>IF(COUNTA('Verificação Peneiradores'!$V$56:$V$60)=0,"",COUNTA('Verificação Peneiradores'!$V$56:$V$60))</f>
        <v/>
      </c>
      <c r="M602" t="str">
        <f>IF(COUNTA('Verificação Peneiradores'!$V$56:$V$60)=0,"",IF(COUNTIF('Verificação Peneiradores'!$V$56:$V$60,"NÃO OK")&gt;0,"Não conforme","Conforme"))</f>
        <v/>
      </c>
      <c r="N602" t="str">
        <f>IFERROR(TRIM(INDEX('Verificação Peneiradores'!$AE$53:$AE$62,MATCH("*",'Verificação Peneiradores'!$AE$53:$AE$62,0))),"")</f>
        <v>LeoNARDO</v>
      </c>
      <c r="O602" t="str">
        <f>IFERROR(TRIM(INDEX('Verificação Peneiradores'!$AD$53:$AD$62,MATCH("*",'Verificação Peneiradores'!$AD$53:$AD$62,0))),"")</f>
        <v>A</v>
      </c>
      <c r="P602" t="str">
        <f>IF(COUNTIF('Verificação Peneiradores'!$V$56:$V$60,"SEM TAG")&gt;0,"Sem TAG de calibração; ","")&amp;IF('Verificação Peneiradores'!$V$56="NÃO OK","Condições das telas; ","")&amp;IF('Verificação Peneiradores'!$V$57="NÃO OK","Inclinação das telas; ","")&amp;IF('Verificação Peneiradores'!$V$58="NÃO OK","Vibração do peneirador; ","")&amp;IF('Verificação Peneiradores'!$V$59="NÃO OK","Travamento das peneiras; ","")&amp;IF('Verificação Peneiradores'!$V$60="NÃO OK","Calibração; ","")</f>
        <v/>
      </c>
      <c r="Q602" t="s">
        <v>973</v>
      </c>
    </row>
    <row r="603">
      <c r="A603" t="s">
        <v>816</v>
      </c>
      <c r="B603" t="s">
        <v>667</v>
      </c>
      <c r="C603" s="912">
        <f>IF(MAX('Verificação Peneiradores'!$AC$53:$AC$62)=0,"",MAX('Verificação Peneiradores'!$AC$53:$AC$62))</f>
        <v>46286</v>
      </c>
      <c r="D603" t="str">
        <f>IF('Verificação Peneiradores'!$W$54&amp;""="","Peneirador 05",TRIM('Verificação Peneiradores'!$W$54&amp;""))</f>
        <v>PN666</v>
      </c>
      <c r="E603" t="str">
        <f>"Malha "&amp;'Verificação Peneiradores'!$W$53&amp;" mm ("&amp;"Peneirador 05"&amp;")"</f>
        <v>Malha 12,5 mm (Peneirador 05)</v>
      </c>
      <c r="F603" t="s">
        <v>817</v>
      </c>
      <c r="G603" t="str">
        <f>IF(COUNTA('Verificação Peneiradores'!$W$56:$W$60)=0,"",COUNTIF('Verificação Peneiradores'!$W$56:$W$60,"OK"))</f>
        <v/>
      </c>
      <c r="H603" t="str">
        <f>IF(COUNTA('Verificação Peneiradores'!$W$56:$W$60)=0,"",COUNTA('Verificação Peneiradores'!$W$56:$W$60))</f>
        <v/>
      </c>
      <c r="M603" t="str">
        <f>IF(COUNTA('Verificação Peneiradores'!$W$56:$W$60)=0,"",IF(COUNTIF('Verificação Peneiradores'!$W$56:$W$60,"NÃO OK")&gt;0,"Não conforme","Conforme"))</f>
        <v/>
      </c>
      <c r="N603" t="str">
        <f>IFERROR(TRIM(INDEX('Verificação Peneiradores'!$AE$53:$AE$62,MATCH("*",'Verificação Peneiradores'!$AE$53:$AE$62,0))),"")</f>
        <v>LeoNARDO</v>
      </c>
      <c r="O603" t="str">
        <f>IFERROR(TRIM(INDEX('Verificação Peneiradores'!$AD$53:$AD$62,MATCH("*",'Verificação Peneiradores'!$AD$53:$AD$62,0))),"")</f>
        <v>A</v>
      </c>
      <c r="P603" t="str">
        <f>IF(COUNTIF('Verificação Peneiradores'!$W$56:$W$60,"SEM TAG")&gt;0,"Sem TAG de calibração; ","")&amp;IF('Verificação Peneiradores'!$W$56="NÃO OK","Condições das telas; ","")&amp;IF('Verificação Peneiradores'!$W$57="NÃO OK","Inclinação das telas; ","")&amp;IF('Verificação Peneiradores'!$W$58="NÃO OK","Vibração do peneirador; ","")&amp;IF('Verificação Peneiradores'!$W$59="NÃO OK","Travamento das peneiras; ","")&amp;IF('Verificação Peneiradores'!$W$60="NÃO OK","Calibração; ","")</f>
        <v/>
      </c>
      <c r="Q603" t="s">
        <v>974</v>
      </c>
    </row>
    <row r="604">
      <c r="A604" t="s">
        <v>816</v>
      </c>
      <c r="B604" t="s">
        <v>667</v>
      </c>
      <c r="C604" s="912">
        <f>IF(MAX('Verificação Peneiradores'!$AC$53:$AC$62)=0,"",MAX('Verificação Peneiradores'!$AC$53:$AC$62))</f>
        <v>46286</v>
      </c>
      <c r="D604" t="str">
        <f>IF('Verificação Peneiradores'!$X$54&amp;""="","Peneirador 05",TRIM('Verificação Peneiradores'!$X$54&amp;""))</f>
        <v>PN646</v>
      </c>
      <c r="E604" t="str">
        <f>"Malha "&amp;'Verificação Peneiradores'!$X$53&amp;" mm ("&amp;"Peneirador 05"&amp;")"</f>
        <v>Malha 9 mm (Peneirador 05)</v>
      </c>
      <c r="F604" t="s">
        <v>817</v>
      </c>
      <c r="G604">
        <f>IF(COUNTA('Verificação Peneiradores'!$X$56:$X$60)=0,"",COUNTIF('Verificação Peneiradores'!$X$56:$X$60,"OK"))</f>
        <v>4</v>
      </c>
      <c r="H604">
        <f>IF(COUNTA('Verificação Peneiradores'!$X$56:$X$60)=0,"",COUNTA('Verificação Peneiradores'!$X$56:$X$60))</f>
        <v>5</v>
      </c>
      <c r="M604" t="str">
        <f>IF(COUNTA('Verificação Peneiradores'!$X$56:$X$60)=0,"",IF(COUNTIF('Verificação Peneiradores'!$X$56:$X$60,"NÃO OK")&gt;0,"Não conforme","Conforme"))</f>
        <v>Não conforme</v>
      </c>
      <c r="N604" t="str">
        <f>IFERROR(TRIM(INDEX('Verificação Peneiradores'!$AE$53:$AE$62,MATCH("*",'Verificação Peneiradores'!$AE$53:$AE$62,0))),"")</f>
        <v>LeoNARDO</v>
      </c>
      <c r="O604" t="str">
        <f>IFERROR(TRIM(INDEX('Verificação Peneiradores'!$AD$53:$AD$62,MATCH("*",'Verificação Peneiradores'!$AD$53:$AD$62,0))),"")</f>
        <v>A</v>
      </c>
      <c r="P604" t="str">
        <f>IF(COUNTIF('Verificação Peneiradores'!$X$56:$X$60,"SEM TAG")&gt;0,"Sem TAG de calibração; ","")&amp;IF('Verificação Peneiradores'!$X$56="NÃO OK","Condições das telas; ","")&amp;IF('Verificação Peneiradores'!$X$57="NÃO OK","Inclinação das telas; ","")&amp;IF('Verificação Peneiradores'!$X$58="NÃO OK","Vibração do peneirador; ","")&amp;IF('Verificação Peneiradores'!$X$59="NÃO OK","Travamento das peneiras; ","")&amp;IF('Verificação Peneiradores'!$X$60="NÃO OK","Calibração; ","")</f>
        <v>Calibração; </v>
      </c>
      <c r="Q604" t="s">
        <v>975</v>
      </c>
    </row>
    <row r="605">
      <c r="A605" t="s">
        <v>816</v>
      </c>
      <c r="B605" t="s">
        <v>667</v>
      </c>
      <c r="C605" s="912">
        <f>IF(MAX('Verificação Peneiradores'!$AC$53:$AC$62)=0,"",MAX('Verificação Peneiradores'!$AC$53:$AC$62))</f>
        <v>46286</v>
      </c>
      <c r="D605" t="str">
        <f>IF('Verificação Peneiradores'!$Y$54&amp;""="","Peneirador 05",TRIM('Verificação Peneiradores'!$Y$54&amp;""))</f>
        <v>PN647</v>
      </c>
      <c r="E605" t="str">
        <f>"Malha "&amp;'Verificação Peneiradores'!$Y$53&amp;" mm ("&amp;"Peneirador 05"&amp;")"</f>
        <v>Malha 8 mm (Peneirador 05)</v>
      </c>
      <c r="F605" t="s">
        <v>817</v>
      </c>
      <c r="G605" t="str">
        <f>IF(COUNTA('Verificação Peneiradores'!$Y$56:$Y$60)=0,"",COUNTIF('Verificação Peneiradores'!$Y$56:$Y$60,"OK"))</f>
        <v/>
      </c>
      <c r="H605" t="str">
        <f>IF(COUNTA('Verificação Peneiradores'!$Y$56:$Y$60)=0,"",COUNTA('Verificação Peneiradores'!$Y$56:$Y$60))</f>
        <v/>
      </c>
      <c r="M605" t="str">
        <f>IF(COUNTA('Verificação Peneiradores'!$Y$56:$Y$60)=0,"",IF(COUNTIF('Verificação Peneiradores'!$Y$56:$Y$60,"NÃO OK")&gt;0,"Não conforme","Conforme"))</f>
        <v/>
      </c>
      <c r="N605" t="str">
        <f>IFERROR(TRIM(INDEX('Verificação Peneiradores'!$AE$53:$AE$62,MATCH("*",'Verificação Peneiradores'!$AE$53:$AE$62,0))),"")</f>
        <v>LeoNARDO</v>
      </c>
      <c r="O605" t="str">
        <f>IFERROR(TRIM(INDEX('Verificação Peneiradores'!$AD$53:$AD$62,MATCH("*",'Verificação Peneiradores'!$AD$53:$AD$62,0))),"")</f>
        <v>A</v>
      </c>
      <c r="P605" t="str">
        <f>IF(COUNTIF('Verificação Peneiradores'!$Y$56:$Y$60,"SEM TAG")&gt;0,"Sem TAG de calibração; ","")&amp;IF('Verificação Peneiradores'!$Y$56="NÃO OK","Condições das telas; ","")&amp;IF('Verificação Peneiradores'!$Y$57="NÃO OK","Inclinação das telas; ","")&amp;IF('Verificação Peneiradores'!$Y$58="NÃO OK","Vibração do peneirador; ","")&amp;IF('Verificação Peneiradores'!$Y$59="NÃO OK","Travamento das peneiras; ","")&amp;IF('Verificação Peneiradores'!$Y$60="NÃO OK","Calibração; ","")</f>
        <v/>
      </c>
      <c r="Q605" t="s">
        <v>976</v>
      </c>
    </row>
    <row r="606">
      <c r="A606" t="s">
        <v>816</v>
      </c>
      <c r="B606" t="s">
        <v>667</v>
      </c>
      <c r="C606" s="912">
        <f>IF(MAX('Verificação Peneiradores'!$AC$53:$AC$62)=0,"",MAX('Verificação Peneiradores'!$AC$53:$AC$62))</f>
        <v>46286</v>
      </c>
      <c r="D606" t="str">
        <f>IF('Verificação Peneiradores'!$Z$54&amp;""="","Peneirador 05",TRIM('Verificação Peneiradores'!$Z$54&amp;""))</f>
        <v>PN649</v>
      </c>
      <c r="E606" t="str">
        <f>"Malha "&amp;'Verificação Peneiradores'!$Z$53&amp;" mm ("&amp;"Peneirador 05"&amp;")"</f>
        <v>Malha 6,3 mm (Peneirador 05)</v>
      </c>
      <c r="F606" t="s">
        <v>817</v>
      </c>
      <c r="G606">
        <f>IF(COUNTA('Verificação Peneiradores'!$Z$56:$Z$60)=0,"",COUNTIF('Verificação Peneiradores'!$Z$56:$Z$60,"OK"))</f>
        <v>0</v>
      </c>
      <c r="H606">
        <f>IF(COUNTA('Verificação Peneiradores'!$Z$56:$Z$60)=0,"",COUNTA('Verificação Peneiradores'!$Z$56:$Z$60))</f>
        <v>1</v>
      </c>
      <c r="M606" t="str">
        <f>IF(COUNTA('Verificação Peneiradores'!$Z$56:$Z$60)=0,"",IF(COUNTIF('Verificação Peneiradores'!$Z$56:$Z$60,"NÃO OK")&gt;0,"Não conforme","Conforme"))</f>
        <v>Conforme</v>
      </c>
      <c r="N606" t="str">
        <f>IFERROR(TRIM(INDEX('Verificação Peneiradores'!$AE$53:$AE$62,MATCH("*",'Verificação Peneiradores'!$AE$53:$AE$62,0))),"")</f>
        <v>LeoNARDO</v>
      </c>
      <c r="O606" t="str">
        <f>IFERROR(TRIM(INDEX('Verificação Peneiradores'!$AD$53:$AD$62,MATCH("*",'Verificação Peneiradores'!$AD$53:$AD$62,0))),"")</f>
        <v>A</v>
      </c>
      <c r="P606" t="str">
        <f>IF(COUNTIF('Verificação Peneiradores'!$Z$56:$Z$60,"SEM TAG")&gt;0,"Sem TAG de calibração; ","")&amp;IF('Verificação Peneiradores'!$Z$56="NÃO OK","Condições das telas; ","")&amp;IF('Verificação Peneiradores'!$Z$57="NÃO OK","Inclinação das telas; ","")&amp;IF('Verificação Peneiradores'!$Z$58="NÃO OK","Vibração do peneirador; ","")&amp;IF('Verificação Peneiradores'!$Z$59="NÃO OK","Travamento das peneiras; ","")&amp;IF('Verificação Peneiradores'!$Z$60="NÃO OK","Calibração; ","")</f>
        <v>Sem TAG de calibração; </v>
      </c>
      <c r="Q606" t="s">
        <v>977</v>
      </c>
    </row>
    <row r="607">
      <c r="A607" t="s">
        <v>816</v>
      </c>
      <c r="B607" t="s">
        <v>667</v>
      </c>
      <c r="C607" s="912">
        <f>IF(MAX('Verificação Peneiradores'!$AC$53:$AC$62)=0,"",MAX('Verificação Peneiradores'!$AC$53:$AC$62))</f>
        <v>46286</v>
      </c>
      <c r="D607" t="str">
        <f>IF('Verificação Peneiradores'!$AA$54&amp;""="","Peneirador 06",TRIM('Verificação Peneiradores'!$AA$54&amp;""))</f>
        <v>PN648</v>
      </c>
      <c r="E607" t="str">
        <f>"Malha "&amp;'Verificação Peneiradores'!$AA$53&amp;" mm ("&amp;"Peneirador 06"&amp;")"</f>
        <v>Malha 6,3 mm (Peneirador 06)</v>
      </c>
      <c r="F607" t="s">
        <v>817</v>
      </c>
      <c r="G607">
        <f>IF(COUNTA('Verificação Peneiradores'!$AA$56:$AA$60)=0,"",COUNTIF('Verificação Peneiradores'!$AA$56:$AA$60,"OK"))</f>
        <v>4</v>
      </c>
      <c r="H607">
        <f>IF(COUNTA('Verificação Peneiradores'!$AA$56:$AA$60)=0,"",COUNTA('Verificação Peneiradores'!$AA$56:$AA$60))</f>
        <v>5</v>
      </c>
      <c r="M607" t="str">
        <f>IF(COUNTA('Verificação Peneiradores'!$AA$56:$AA$60)=0,"",IF(COUNTIF('Verificação Peneiradores'!$AA$56:$AA$60,"NÃO OK")&gt;0,"Não conforme","Conforme"))</f>
        <v>Não conforme</v>
      </c>
      <c r="N607" t="str">
        <f>IFERROR(TRIM(INDEX('Verificação Peneiradores'!$AE$53:$AE$62,MATCH("*",'Verificação Peneiradores'!$AE$53:$AE$62,0))),"")</f>
        <v>LeoNARDO</v>
      </c>
      <c r="O607" t="str">
        <f>IFERROR(TRIM(INDEX('Verificação Peneiradores'!$AD$53:$AD$62,MATCH("*",'Verificação Peneiradores'!$AD$53:$AD$62,0))),"")</f>
        <v>A</v>
      </c>
      <c r="P607" t="str">
        <f>IF(COUNTIF('Verificação Peneiradores'!$AA$56:$AA$60,"SEM TAG")&gt;0,"Sem TAG de calibração; ","")&amp;IF('Verificação Peneiradores'!$AA$56="NÃO OK","Condições das telas; ","")&amp;IF('Verificação Peneiradores'!$AA$57="NÃO OK","Inclinação das telas; ","")&amp;IF('Verificação Peneiradores'!$AA$58="NÃO OK","Vibração do peneirador; ","")&amp;IF('Verificação Peneiradores'!$AA$59="NÃO OK","Travamento das peneiras; ","")&amp;IF('Verificação Peneiradores'!$AA$60="NÃO OK","Calibração; ","")</f>
        <v>Calibração; </v>
      </c>
      <c r="Q607" t="s">
        <v>978</v>
      </c>
    </row>
    <row r="608">
      <c r="A608" t="s">
        <v>816</v>
      </c>
      <c r="B608" t="s">
        <v>667</v>
      </c>
      <c r="C608" s="912">
        <f>IF(MAX('Verificação Peneiradores'!$AC$53:$AC$62)=0,"",MAX('Verificação Peneiradores'!$AC$53:$AC$62))</f>
        <v>46286</v>
      </c>
      <c r="D608" t="str">
        <f>IF('Verificação Peneiradores'!$AB$54&amp;""="","Peneirador 06",TRIM('Verificação Peneiradores'!$AB$54&amp;""))</f>
        <v>N/CONT</v>
      </c>
      <c r="E608" t="str">
        <f>"Malha "&amp;'Verificação Peneiradores'!$AB$53&amp;" mm ("&amp;"Peneirador 06"&amp;")"</f>
        <v>Malha 10 mm (Peneirador 06)</v>
      </c>
      <c r="F608" t="s">
        <v>817</v>
      </c>
      <c r="G608">
        <f>IF(COUNTA('Verificação Peneiradores'!$AB$56:$AB$60)=0,"",COUNTIF('Verificação Peneiradores'!$AB$56:$AB$60,"OK"))</f>
        <v>5</v>
      </c>
      <c r="H608">
        <f>IF(COUNTA('Verificação Peneiradores'!$AB$56:$AB$60)=0,"",COUNTA('Verificação Peneiradores'!$AB$56:$AB$60))</f>
        <v>5</v>
      </c>
      <c r="M608" t="str">
        <f>IF(COUNTA('Verificação Peneiradores'!$AB$56:$AB$60)=0,"",IF(COUNTIF('Verificação Peneiradores'!$AB$56:$AB$60,"NÃO OK")&gt;0,"Não conforme","Conforme"))</f>
        <v>Conforme</v>
      </c>
      <c r="N608" t="str">
        <f>IFERROR(TRIM(INDEX('Verificação Peneiradores'!$AE$53:$AE$62,MATCH("*",'Verificação Peneiradores'!$AE$53:$AE$62,0))),"")</f>
        <v>LeoNARDO</v>
      </c>
      <c r="O608" t="str">
        <f>IFERROR(TRIM(INDEX('Verificação Peneiradores'!$AD$53:$AD$62,MATCH("*",'Verificação Peneiradores'!$AD$53:$AD$62,0))),"")</f>
        <v>A</v>
      </c>
      <c r="P608" t="str">
        <f>IF(COUNTIF('Verificação Peneiradores'!$AB$56:$AB$60,"SEM TAG")&gt;0,"Sem TAG de calibração; ","")&amp;IF('Verificação Peneiradores'!$AB$56="NÃO OK","Condições das telas; ","")&amp;IF('Verificação Peneiradores'!$AB$57="NÃO OK","Inclinação das telas; ","")&amp;IF('Verificação Peneiradores'!$AB$58="NÃO OK","Vibração do peneirador; ","")&amp;IF('Verificação Peneiradores'!$AB$59="NÃO OK","Travamento das peneiras; ","")&amp;IF('Verificação Peneiradores'!$AB$60="NÃO OK","Calibração; ","")</f>
        <v/>
      </c>
      <c r="Q608" t="s">
        <v>979</v>
      </c>
    </row>
    <row r="609">
      <c r="A609" t="s">
        <v>816</v>
      </c>
      <c r="B609" t="s">
        <v>667</v>
      </c>
      <c r="C609" s="912" t="str">
        <f>IF(MAX('Verificação Peneiradores'!$AC$63:$AC$72)=0,"",MAX('Verificação Peneiradores'!$AC$63:$AC$72))</f>
        <v/>
      </c>
      <c r="D609" t="str">
        <f>IF('Verificação Peneiradores'!$B$64&amp;""="","Circulares",TRIM('Verificação Peneiradores'!$B$64&amp;""))</f>
        <v>PN0423</v>
      </c>
      <c r="E609" t="str">
        <f>"Malha "&amp;'Verificação Peneiradores'!$B$63&amp;" mm ("&amp;"Circulares"&amp;")"</f>
        <v>Malha 19 mm (Circulares)</v>
      </c>
      <c r="F609" t="s">
        <v>817</v>
      </c>
      <c r="G609" t="str">
        <f>IF(COUNTA('Verificação Peneiradores'!$B$66:$B$70)=0,"",COUNTIF('Verificação Peneiradores'!$B$66:$B$70,"OK"))</f>
        <v/>
      </c>
      <c r="H609" t="str">
        <f>IF(COUNTA('Verificação Peneiradores'!$B$66:$B$70)=0,"",COUNTA('Verificação Peneiradores'!$B$66:$B$70))</f>
        <v/>
      </c>
      <c r="M609" t="str">
        <f>IF(COUNTA('Verificação Peneiradores'!$B$66:$B$70)=0,"",IF(COUNTIF('Verificação Peneiradores'!$B$66:$B$70,"NÃO OK")&gt;0,"Não conforme","Conforme"))</f>
        <v/>
      </c>
      <c r="N609" t="str">
        <f>IFERROR(TRIM(INDEX('Verificação Peneiradores'!$AE$63:$AE$72,MATCH("*",'Verificação Peneiradores'!$AE$63:$AE$72,0))),"")</f>
        <v/>
      </c>
      <c r="O609" t="str">
        <f>IFERROR(TRIM(INDEX('Verificação Peneiradores'!$AD$63:$AD$72,MATCH("*",'Verificação Peneiradores'!$AD$63:$AD$72,0))),"")</f>
        <v/>
      </c>
      <c r="P609" t="str">
        <f>IF(COUNTIF('Verificação Peneiradores'!$B$66:$B$70,"SEM TAG")&gt;0,"Sem TAG de calibração; ","")&amp;IF('Verificação Peneiradores'!$B$66="NÃO OK","Condições das telas; ","")&amp;IF('Verificação Peneiradores'!$B$67="NÃO OK","Inclinação das telas; ","")&amp;IF('Verificação Peneiradores'!$B$68="NÃO OK","Vibração do peneirador; ","")&amp;IF('Verificação Peneiradores'!$B$69="NÃO OK","Travamento das peneiras; ","")&amp;IF('Verificação Peneiradores'!$B$70="NÃO OK","Calibração; ","")</f>
        <v/>
      </c>
      <c r="Q609" t="s">
        <v>980</v>
      </c>
    </row>
    <row r="610">
      <c r="A610" t="s">
        <v>816</v>
      </c>
      <c r="B610" t="s">
        <v>667</v>
      </c>
      <c r="C610" s="912" t="str">
        <f>IF(MAX('Verificação Peneiradores'!$AC$63:$AC$72)=0,"",MAX('Verificação Peneiradores'!$AC$63:$AC$72))</f>
        <v/>
      </c>
      <c r="D610" t="str">
        <f>IF('Verificação Peneiradores'!$C$64&amp;""="","Circulares",TRIM('Verificação Peneiradores'!$C$64&amp;""))</f>
        <v>PN0482</v>
      </c>
      <c r="E610" t="str">
        <f>"Malha "&amp;'Verificação Peneiradores'!$C$63&amp;" mm ("&amp;"Circulares"&amp;")"</f>
        <v>Malha 16 mm (Circulares)</v>
      </c>
      <c r="F610" t="s">
        <v>817</v>
      </c>
      <c r="G610" t="str">
        <f>IF(COUNTA('Verificação Peneiradores'!$C$66:$C$70)=0,"",COUNTIF('Verificação Peneiradores'!$C$66:$C$70,"OK"))</f>
        <v/>
      </c>
      <c r="H610" t="str">
        <f>IF(COUNTA('Verificação Peneiradores'!$C$66:$C$70)=0,"",COUNTA('Verificação Peneiradores'!$C$66:$C$70))</f>
        <v/>
      </c>
      <c r="M610" t="str">
        <f>IF(COUNTA('Verificação Peneiradores'!$C$66:$C$70)=0,"",IF(COUNTIF('Verificação Peneiradores'!$C$66:$C$70,"NÃO OK")&gt;0,"Não conforme","Conforme"))</f>
        <v/>
      </c>
      <c r="N610" t="str">
        <f>IFERROR(TRIM(INDEX('Verificação Peneiradores'!$AE$63:$AE$72,MATCH("*",'Verificação Peneiradores'!$AE$63:$AE$72,0))),"")</f>
        <v/>
      </c>
      <c r="O610" t="str">
        <f>IFERROR(TRIM(INDEX('Verificação Peneiradores'!$AD$63:$AD$72,MATCH("*",'Verificação Peneiradores'!$AD$63:$AD$72,0))),"")</f>
        <v/>
      </c>
      <c r="P610" t="str">
        <f>IF(COUNTIF('Verificação Peneiradores'!$C$66:$C$70,"SEM TAG")&gt;0,"Sem TAG de calibração; ","")&amp;IF('Verificação Peneiradores'!$C$66="NÃO OK","Condições das telas; ","")&amp;IF('Verificação Peneiradores'!$C$67="NÃO OK","Inclinação das telas; ","")&amp;IF('Verificação Peneiradores'!$C$68="NÃO OK","Vibração do peneirador; ","")&amp;IF('Verificação Peneiradores'!$C$69="NÃO OK","Travamento das peneiras; ","")&amp;IF('Verificação Peneiradores'!$C$70="NÃO OK","Calibração; ","")</f>
        <v/>
      </c>
      <c r="Q610" t="s">
        <v>981</v>
      </c>
    </row>
    <row r="611">
      <c r="A611" t="s">
        <v>816</v>
      </c>
      <c r="B611" t="s">
        <v>667</v>
      </c>
      <c r="C611" s="912" t="str">
        <f>IF(MAX('Verificação Peneiradores'!$AC$63:$AC$72)=0,"",MAX('Verificação Peneiradores'!$AC$63:$AC$72))</f>
        <v/>
      </c>
      <c r="D611" t="str">
        <f>IF('Verificação Peneiradores'!$D$64&amp;""="","Circulares",TRIM('Verificação Peneiradores'!$D$64&amp;""))</f>
        <v>PN 614</v>
      </c>
      <c r="E611" t="str">
        <f>"Malha "&amp;'Verificação Peneiradores'!$D$63&amp;" mm ("&amp;"Circulares"&amp;")"</f>
        <v>Malha 12,5 mm (Circulares)</v>
      </c>
      <c r="F611" t="s">
        <v>817</v>
      </c>
      <c r="G611" t="str">
        <f>IF(COUNTA('Verificação Peneiradores'!$D$66:$D$70)=0,"",COUNTIF('Verificação Peneiradores'!$D$66:$D$70,"OK"))</f>
        <v/>
      </c>
      <c r="H611" t="str">
        <f>IF(COUNTA('Verificação Peneiradores'!$D$66:$D$70)=0,"",COUNTA('Verificação Peneiradores'!$D$66:$D$70))</f>
        <v/>
      </c>
      <c r="M611" t="str">
        <f>IF(COUNTA('Verificação Peneiradores'!$D$66:$D$70)=0,"",IF(COUNTIF('Verificação Peneiradores'!$D$66:$D$70,"NÃO OK")&gt;0,"Não conforme","Conforme"))</f>
        <v/>
      </c>
      <c r="N611" t="str">
        <f>IFERROR(TRIM(INDEX('Verificação Peneiradores'!$AE$63:$AE$72,MATCH("*",'Verificação Peneiradores'!$AE$63:$AE$72,0))),"")</f>
        <v/>
      </c>
      <c r="O611" t="str">
        <f>IFERROR(TRIM(INDEX('Verificação Peneiradores'!$AD$63:$AD$72,MATCH("*",'Verificação Peneiradores'!$AD$63:$AD$72,0))),"")</f>
        <v/>
      </c>
      <c r="P611" t="str">
        <f>IF(COUNTIF('Verificação Peneiradores'!$D$66:$D$70,"SEM TAG")&gt;0,"Sem TAG de calibração; ","")&amp;IF('Verificação Peneiradores'!$D$66="NÃO OK","Condições das telas; ","")&amp;IF('Verificação Peneiradores'!$D$67="NÃO OK","Inclinação das telas; ","")&amp;IF('Verificação Peneiradores'!$D$68="NÃO OK","Vibração do peneirador; ","")&amp;IF('Verificação Peneiradores'!$D$69="NÃO OK","Travamento das peneiras; ","")&amp;IF('Verificação Peneiradores'!$D$70="NÃO OK","Calibração; ","")</f>
        <v/>
      </c>
      <c r="Q611" t="s">
        <v>982</v>
      </c>
    </row>
    <row r="612">
      <c r="A612" t="s">
        <v>816</v>
      </c>
      <c r="B612" t="s">
        <v>667</v>
      </c>
      <c r="C612" s="912" t="str">
        <f>IF(MAX('Verificação Peneiradores'!$AC$63:$AC$72)=0,"",MAX('Verificação Peneiradores'!$AC$63:$AC$72))</f>
        <v/>
      </c>
      <c r="D612" t="str">
        <f>IF('Verificação Peneiradores'!$E$64&amp;""="","Circulares",TRIM('Verificação Peneiradores'!$E$64&amp;""))</f>
        <v>PN 303</v>
      </c>
      <c r="E612" t="str">
        <f>"Malha "&amp;'Verificação Peneiradores'!$E$63&amp;" mm ("&amp;"Circulares"&amp;")"</f>
        <v>Malha 10 mm (Circulares)</v>
      </c>
      <c r="F612" t="s">
        <v>817</v>
      </c>
      <c r="G612" t="str">
        <f>IF(COUNTA('Verificação Peneiradores'!$E$66:$E$70)=0,"",COUNTIF('Verificação Peneiradores'!$E$66:$E$70,"OK"))</f>
        <v/>
      </c>
      <c r="H612" t="str">
        <f>IF(COUNTA('Verificação Peneiradores'!$E$66:$E$70)=0,"",COUNTA('Verificação Peneiradores'!$E$66:$E$70))</f>
        <v/>
      </c>
      <c r="M612" t="str">
        <f>IF(COUNTA('Verificação Peneiradores'!$E$66:$E$70)=0,"",IF(COUNTIF('Verificação Peneiradores'!$E$66:$E$70,"NÃO OK")&gt;0,"Não conforme","Conforme"))</f>
        <v/>
      </c>
      <c r="N612" t="str">
        <f>IFERROR(TRIM(INDEX('Verificação Peneiradores'!$AE$63:$AE$72,MATCH("*",'Verificação Peneiradores'!$AE$63:$AE$72,0))),"")</f>
        <v/>
      </c>
      <c r="O612" t="str">
        <f>IFERROR(TRIM(INDEX('Verificação Peneiradores'!$AD$63:$AD$72,MATCH("*",'Verificação Peneiradores'!$AD$63:$AD$72,0))),"")</f>
        <v/>
      </c>
      <c r="P612" t="str">
        <f>IF(COUNTIF('Verificação Peneiradores'!$E$66:$E$70,"SEM TAG")&gt;0,"Sem TAG de calibração; ","")&amp;IF('Verificação Peneiradores'!$E$66="NÃO OK","Condições das telas; ","")&amp;IF('Verificação Peneiradores'!$E$67="NÃO OK","Inclinação das telas; ","")&amp;IF('Verificação Peneiradores'!$E$68="NÃO OK","Vibração do peneirador; ","")&amp;IF('Verificação Peneiradores'!$E$69="NÃO OK","Travamento das peneiras; ","")&amp;IF('Verificação Peneiradores'!$E$70="NÃO OK","Calibração; ","")</f>
        <v/>
      </c>
      <c r="Q612" t="s">
        <v>983</v>
      </c>
    </row>
    <row r="613">
      <c r="A613" t="s">
        <v>816</v>
      </c>
      <c r="B613" t="s">
        <v>667</v>
      </c>
      <c r="C613" s="912" t="str">
        <f>IF(MAX('Verificação Peneiradores'!$AC$63:$AC$72)=0,"",MAX('Verificação Peneiradores'!$AC$63:$AC$72))</f>
        <v/>
      </c>
      <c r="D613" t="str">
        <f>IF('Verificação Peneiradores'!$F$64&amp;""="","Circulares",TRIM('Verificação Peneiradores'!$F$64&amp;""))</f>
        <v>PN431</v>
      </c>
      <c r="E613" t="str">
        <f>"Malha "&amp;'Verificação Peneiradores'!$F$63&amp;" mm ("&amp;"Circulares"&amp;")"</f>
        <v>Malha 9 mm (Circulares)</v>
      </c>
      <c r="F613" t="s">
        <v>817</v>
      </c>
      <c r="G613" t="str">
        <f>IF(COUNTA('Verificação Peneiradores'!$F$66:$F$70)=0,"",COUNTIF('Verificação Peneiradores'!$F$66:$F$70,"OK"))</f>
        <v/>
      </c>
      <c r="H613" t="str">
        <f>IF(COUNTA('Verificação Peneiradores'!$F$66:$F$70)=0,"",COUNTA('Verificação Peneiradores'!$F$66:$F$70))</f>
        <v/>
      </c>
      <c r="M613" t="str">
        <f>IF(COUNTA('Verificação Peneiradores'!$F$66:$F$70)=0,"",IF(COUNTIF('Verificação Peneiradores'!$F$66:$F$70,"NÃO OK")&gt;0,"Não conforme","Conforme"))</f>
        <v/>
      </c>
      <c r="N613" t="str">
        <f>IFERROR(TRIM(INDEX('Verificação Peneiradores'!$AE$63:$AE$72,MATCH("*",'Verificação Peneiradores'!$AE$63:$AE$72,0))),"")</f>
        <v/>
      </c>
      <c r="O613" t="str">
        <f>IFERROR(TRIM(INDEX('Verificação Peneiradores'!$AD$63:$AD$72,MATCH("*",'Verificação Peneiradores'!$AD$63:$AD$72,0))),"")</f>
        <v/>
      </c>
      <c r="P613" t="str">
        <f>IF(COUNTIF('Verificação Peneiradores'!$F$66:$F$70,"SEM TAG")&gt;0,"Sem TAG de calibração; ","")&amp;IF('Verificação Peneiradores'!$F$66="NÃO OK","Condições das telas; ","")&amp;IF('Verificação Peneiradores'!$F$67="NÃO OK","Inclinação das telas; ","")&amp;IF('Verificação Peneiradores'!$F$68="NÃO OK","Vibração do peneirador; ","")&amp;IF('Verificação Peneiradores'!$F$69="NÃO OK","Travamento das peneiras; ","")&amp;IF('Verificação Peneiradores'!$F$70="NÃO OK","Calibração; ","")</f>
        <v/>
      </c>
      <c r="Q613" t="s">
        <v>984</v>
      </c>
    </row>
    <row r="614">
      <c r="A614" t="s">
        <v>816</v>
      </c>
      <c r="B614" t="s">
        <v>667</v>
      </c>
      <c r="C614" s="912" t="str">
        <f>IF(MAX('Verificação Peneiradores'!$AC$63:$AC$72)=0,"",MAX('Verificação Peneiradores'!$AC$63:$AC$72))</f>
        <v/>
      </c>
      <c r="D614" t="str">
        <f>IF('Verificação Peneiradores'!$G$64&amp;""="","Circulares",TRIM('Verificação Peneiradores'!$G$64&amp;""))</f>
        <v>PN432</v>
      </c>
      <c r="E614" t="str">
        <f>"Malha "&amp;'Verificação Peneiradores'!$G$63&amp;" mm ("&amp;"Circulares"&amp;")"</f>
        <v>Malha 8 mm (Circulares)</v>
      </c>
      <c r="F614" t="s">
        <v>817</v>
      </c>
      <c r="G614" t="str">
        <f>IF(COUNTA('Verificação Peneiradores'!$G$66:$G$70)=0,"",COUNTIF('Verificação Peneiradores'!$G$66:$G$70,"OK"))</f>
        <v/>
      </c>
      <c r="H614" t="str">
        <f>IF(COUNTA('Verificação Peneiradores'!$G$66:$G$70)=0,"",COUNTA('Verificação Peneiradores'!$G$66:$G$70))</f>
        <v/>
      </c>
      <c r="M614" t="str">
        <f>IF(COUNTA('Verificação Peneiradores'!$G$66:$G$70)=0,"",IF(COUNTIF('Verificação Peneiradores'!$G$66:$G$70,"NÃO OK")&gt;0,"Não conforme","Conforme"))</f>
        <v/>
      </c>
      <c r="N614" t="str">
        <f>IFERROR(TRIM(INDEX('Verificação Peneiradores'!$AE$63:$AE$72,MATCH("*",'Verificação Peneiradores'!$AE$63:$AE$72,0))),"")</f>
        <v/>
      </c>
      <c r="O614" t="str">
        <f>IFERROR(TRIM(INDEX('Verificação Peneiradores'!$AD$63:$AD$72,MATCH("*",'Verificação Peneiradores'!$AD$63:$AD$72,0))),"")</f>
        <v/>
      </c>
      <c r="P614" t="str">
        <f>IF(COUNTIF('Verificação Peneiradores'!$G$66:$G$70,"SEM TAG")&gt;0,"Sem TAG de calibração; ","")&amp;IF('Verificação Peneiradores'!$G$66="NÃO OK","Condições das telas; ","")&amp;IF('Verificação Peneiradores'!$G$67="NÃO OK","Inclinação das telas; ","")&amp;IF('Verificação Peneiradores'!$G$68="NÃO OK","Vibração do peneirador; ","")&amp;IF('Verificação Peneiradores'!$G$69="NÃO OK","Travamento das peneiras; ","")&amp;IF('Verificação Peneiradores'!$G$70="NÃO OK","Calibração; ","")</f>
        <v/>
      </c>
      <c r="Q614" t="s">
        <v>985</v>
      </c>
    </row>
    <row r="615">
      <c r="A615" t="s">
        <v>816</v>
      </c>
      <c r="B615" t="s">
        <v>667</v>
      </c>
      <c r="C615" s="912" t="str">
        <f>IF(MAX('Verificação Peneiradores'!$AC$63:$AC$72)=0,"",MAX('Verificação Peneiradores'!$AC$63:$AC$72))</f>
        <v/>
      </c>
      <c r="D615" t="str">
        <f>IF('Verificação Peneiradores'!$H$64&amp;""="","Circulares",TRIM('Verificação Peneiradores'!$H$64&amp;""))</f>
        <v>PN0430</v>
      </c>
      <c r="E615" t="str">
        <f>"Malha "&amp;'Verificação Peneiradores'!$H$63&amp;" mm ("&amp;"Circulares"&amp;")"</f>
        <v>Malha 6,3 mm (Circulares)</v>
      </c>
      <c r="F615" t="s">
        <v>817</v>
      </c>
      <c r="G615" t="str">
        <f>IF(COUNTA('Verificação Peneiradores'!$H$66:$H$70)=0,"",COUNTIF('Verificação Peneiradores'!$H$66:$H$70,"OK"))</f>
        <v/>
      </c>
      <c r="H615" t="str">
        <f>IF(COUNTA('Verificação Peneiradores'!$H$66:$H$70)=0,"",COUNTA('Verificação Peneiradores'!$H$66:$H$70))</f>
        <v/>
      </c>
      <c r="M615" t="str">
        <f>IF(COUNTA('Verificação Peneiradores'!$H$66:$H$70)=0,"",IF(COUNTIF('Verificação Peneiradores'!$H$66:$H$70,"NÃO OK")&gt;0,"Não conforme","Conforme"))</f>
        <v/>
      </c>
      <c r="N615" t="str">
        <f>IFERROR(TRIM(INDEX('Verificação Peneiradores'!$AE$63:$AE$72,MATCH("*",'Verificação Peneiradores'!$AE$63:$AE$72,0))),"")</f>
        <v/>
      </c>
      <c r="O615" t="str">
        <f>IFERROR(TRIM(INDEX('Verificação Peneiradores'!$AD$63:$AD$72,MATCH("*",'Verificação Peneiradores'!$AD$63:$AD$72,0))),"")</f>
        <v/>
      </c>
      <c r="P615" t="str">
        <f>IF(COUNTIF('Verificação Peneiradores'!$H$66:$H$70,"SEM TAG")&gt;0,"Sem TAG de calibração; ","")&amp;IF('Verificação Peneiradores'!$H$66="NÃO OK","Condições das telas; ","")&amp;IF('Verificação Peneiradores'!$H$67="NÃO OK","Inclinação das telas; ","")&amp;IF('Verificação Peneiradores'!$H$68="NÃO OK","Vibração do peneirador; ","")&amp;IF('Verificação Peneiradores'!$H$69="NÃO OK","Travamento das peneiras; ","")&amp;IF('Verificação Peneiradores'!$H$70="NÃO OK","Calibração; ","")</f>
        <v/>
      </c>
      <c r="Q615" t="s">
        <v>986</v>
      </c>
    </row>
    <row r="616">
      <c r="A616" t="s">
        <v>816</v>
      </c>
      <c r="B616" t="s">
        <v>667</v>
      </c>
      <c r="C616" s="912" t="str">
        <f>IF(MAX('Verificação Peneiradores'!$AC$63:$AC$72)=0,"",MAX('Verificação Peneiradores'!$AC$63:$AC$72))</f>
        <v/>
      </c>
      <c r="D616" t="str">
        <f>IF('Verificação Peneiradores'!$I$64&amp;""="","Circulares",TRIM('Verificação Peneiradores'!$I$64&amp;""))</f>
        <v>PN0425</v>
      </c>
      <c r="E616" t="str">
        <f>"Malha "&amp;'Verificação Peneiradores'!$I$63&amp;" mm ("&amp;"Circulares"&amp;")"</f>
        <v>Malha 5 mm (Circulares)</v>
      </c>
      <c r="F616" t="s">
        <v>817</v>
      </c>
      <c r="G616" t="str">
        <f>IF(COUNTA('Verificação Peneiradores'!$I$66:$I$70)=0,"",COUNTIF('Verificação Peneiradores'!$I$66:$I$70,"OK"))</f>
        <v/>
      </c>
      <c r="H616" t="str">
        <f>IF(COUNTA('Verificação Peneiradores'!$I$66:$I$70)=0,"",COUNTA('Verificação Peneiradores'!$I$66:$I$70))</f>
        <v/>
      </c>
      <c r="M616" t="str">
        <f>IF(COUNTA('Verificação Peneiradores'!$I$66:$I$70)=0,"",IF(COUNTIF('Verificação Peneiradores'!$I$66:$I$70,"NÃO OK")&gt;0,"Não conforme","Conforme"))</f>
        <v/>
      </c>
      <c r="N616" t="str">
        <f>IFERROR(TRIM(INDEX('Verificação Peneiradores'!$AE$63:$AE$72,MATCH("*",'Verificação Peneiradores'!$AE$63:$AE$72,0))),"")</f>
        <v/>
      </c>
      <c r="O616" t="str">
        <f>IFERROR(TRIM(INDEX('Verificação Peneiradores'!$AD$63:$AD$72,MATCH("*",'Verificação Peneiradores'!$AD$63:$AD$72,0))),"")</f>
        <v/>
      </c>
      <c r="P616" t="str">
        <f>IF(COUNTIF('Verificação Peneiradores'!$I$66:$I$70,"SEM TAG")&gt;0,"Sem TAG de calibração; ","")&amp;IF('Verificação Peneiradores'!$I$66="NÃO OK","Condições das telas; ","")&amp;IF('Verificação Peneiradores'!$I$67="NÃO OK","Inclinação das telas; ","")&amp;IF('Verificação Peneiradores'!$I$68="NÃO OK","Vibração do peneirador; ","")&amp;IF('Verificação Peneiradores'!$I$69="NÃO OK","Travamento das peneiras; ","")&amp;IF('Verificação Peneiradores'!$I$70="NÃO OK","Calibração; ","")</f>
        <v/>
      </c>
      <c r="Q616" t="s">
        <v>987</v>
      </c>
    </row>
    <row r="617">
      <c r="A617" t="s">
        <v>816</v>
      </c>
      <c r="B617" t="s">
        <v>667</v>
      </c>
      <c r="C617" s="912" t="str">
        <f>IF(MAX('Verificação Peneiradores'!$AC$63:$AC$72)=0,"",MAX('Verificação Peneiradores'!$AC$63:$AC$72))</f>
        <v/>
      </c>
      <c r="D617" t="str">
        <f>IF('Verificação Peneiradores'!$J$64&amp;""="","Circulares",TRIM('Verificação Peneiradores'!$J$64&amp;""))</f>
        <v>PN0,46</v>
      </c>
      <c r="E617" t="str">
        <f>"Malha "&amp;'Verificação Peneiradores'!$J$63&amp;" mm ("&amp;"Circulares"&amp;")"</f>
        <v>Malha 3,15 mm (Circulares)</v>
      </c>
      <c r="F617" t="s">
        <v>817</v>
      </c>
      <c r="G617" t="str">
        <f>IF(COUNTA('Verificação Peneiradores'!$J$66:$J$70)=0,"",COUNTIF('Verificação Peneiradores'!$J$66:$J$70,"OK"))</f>
        <v/>
      </c>
      <c r="H617" t="str">
        <f>IF(COUNTA('Verificação Peneiradores'!$J$66:$J$70)=0,"",COUNTA('Verificação Peneiradores'!$J$66:$J$70))</f>
        <v/>
      </c>
      <c r="M617" t="str">
        <f>IF(COUNTA('Verificação Peneiradores'!$J$66:$J$70)=0,"",IF(COUNTIF('Verificação Peneiradores'!$J$66:$J$70,"NÃO OK")&gt;0,"Não conforme","Conforme"))</f>
        <v/>
      </c>
      <c r="N617" t="str">
        <f>IFERROR(TRIM(INDEX('Verificação Peneiradores'!$AE$63:$AE$72,MATCH("*",'Verificação Peneiradores'!$AE$63:$AE$72,0))),"")</f>
        <v/>
      </c>
      <c r="O617" t="str">
        <f>IFERROR(TRIM(INDEX('Verificação Peneiradores'!$AD$63:$AD$72,MATCH("*",'Verificação Peneiradores'!$AD$63:$AD$72,0))),"")</f>
        <v/>
      </c>
      <c r="P617" t="str">
        <f>IF(COUNTIF('Verificação Peneiradores'!$J$66:$J$70,"SEM TAG")&gt;0,"Sem TAG de calibração; ","")&amp;IF('Verificação Peneiradores'!$J$66="NÃO OK","Condições das telas; ","")&amp;IF('Verificação Peneiradores'!$J$67="NÃO OK","Inclinação das telas; ","")&amp;IF('Verificação Peneiradores'!$J$68="NÃO OK","Vibração do peneirador; ","")&amp;IF('Verificação Peneiradores'!$J$69="NÃO OK","Travamento das peneiras; ","")&amp;IF('Verificação Peneiradores'!$J$70="NÃO OK","Calibração; ","")</f>
        <v/>
      </c>
      <c r="Q617" t="s">
        <v>988</v>
      </c>
    </row>
    <row r="618">
      <c r="A618" t="s">
        <v>816</v>
      </c>
      <c r="B618" t="s">
        <v>667</v>
      </c>
      <c r="C618" s="912" t="str">
        <f>IF(MAX('Verificação Peneiradores'!$AC$63:$AC$72)=0,"",MAX('Verificação Peneiradores'!$AC$63:$AC$72))</f>
        <v/>
      </c>
      <c r="D618" t="str">
        <f>IF('Verificação Peneiradores'!$K$64&amp;""="","Circulares",TRIM('Verificação Peneiradores'!$K$64&amp;""))</f>
        <v>PN0500</v>
      </c>
      <c r="E618" t="str">
        <f>"Malha "&amp;'Verificação Peneiradores'!$K$63&amp;" mm ("&amp;"Circulares"&amp;")"</f>
        <v>Malha 0,5 mm (Circulares)</v>
      </c>
      <c r="F618" t="s">
        <v>817</v>
      </c>
      <c r="G618" t="str">
        <f>IF(COUNTA('Verificação Peneiradores'!$K$66:$K$70)=0,"",COUNTIF('Verificação Peneiradores'!$K$66:$K$70,"OK"))</f>
        <v/>
      </c>
      <c r="H618" t="str">
        <f>IF(COUNTA('Verificação Peneiradores'!$K$66:$K$70)=0,"",COUNTA('Verificação Peneiradores'!$K$66:$K$70))</f>
        <v/>
      </c>
      <c r="M618" t="str">
        <f>IF(COUNTA('Verificação Peneiradores'!$K$66:$K$70)=0,"",IF(COUNTIF('Verificação Peneiradores'!$K$66:$K$70,"NÃO OK")&gt;0,"Não conforme","Conforme"))</f>
        <v/>
      </c>
      <c r="N618" t="str">
        <f>IFERROR(TRIM(INDEX('Verificação Peneiradores'!$AE$63:$AE$72,MATCH("*",'Verificação Peneiradores'!$AE$63:$AE$72,0))),"")</f>
        <v/>
      </c>
      <c r="O618" t="str">
        <f>IFERROR(TRIM(INDEX('Verificação Peneiradores'!$AD$63:$AD$72,MATCH("*",'Verificação Peneiradores'!$AD$63:$AD$72,0))),"")</f>
        <v/>
      </c>
      <c r="P618" t="str">
        <f>IF(COUNTIF('Verificação Peneiradores'!$K$66:$K$70,"SEM TAG")&gt;0,"Sem TAG de calibração; ","")&amp;IF('Verificação Peneiradores'!$K$66="NÃO OK","Condições das telas; ","")&amp;IF('Verificação Peneiradores'!$K$67="NÃO OK","Inclinação das telas; ","")&amp;IF('Verificação Peneiradores'!$K$68="NÃO OK","Vibração do peneirador; ","")&amp;IF('Verificação Peneiradores'!$K$69="NÃO OK","Travamento das peneiras; ","")&amp;IF('Verificação Peneiradores'!$K$70="NÃO OK","Calibração; ","")</f>
        <v/>
      </c>
      <c r="Q618" t="s">
        <v>989</v>
      </c>
    </row>
    <row r="619">
      <c r="A619" t="s">
        <v>816</v>
      </c>
      <c r="B619" t="s">
        <v>667</v>
      </c>
      <c r="C619" s="912" t="str">
        <f>IF(MAX('Verificação Peneiradores'!$AC$63:$AC$72)=0,"",MAX('Verificação Peneiradores'!$AC$63:$AC$72))</f>
        <v/>
      </c>
      <c r="D619" t="str">
        <f>IF('Verificação Peneiradores'!$L$64&amp;""="","Circulares",TRIM('Verificação Peneiradores'!$L$64&amp;""))</f>
        <v>PN0501</v>
      </c>
      <c r="E619" t="str">
        <f>"Malha "&amp;'Verificação Peneiradores'!$L$63&amp;" mm ("&amp;"Circulares"&amp;")"</f>
        <v>Malha 0,5 mm (Circulares)</v>
      </c>
      <c r="F619" t="s">
        <v>817</v>
      </c>
      <c r="G619" t="str">
        <f>IF(COUNTA('Verificação Peneiradores'!$L$66:$L$70)=0,"",COUNTIF('Verificação Peneiradores'!$L$66:$L$70,"OK"))</f>
        <v/>
      </c>
      <c r="H619" t="str">
        <f>IF(COUNTA('Verificação Peneiradores'!$L$66:$L$70)=0,"",COUNTA('Verificação Peneiradores'!$L$66:$L$70))</f>
        <v/>
      </c>
      <c r="M619" t="str">
        <f>IF(COUNTA('Verificação Peneiradores'!$L$66:$L$70)=0,"",IF(COUNTIF('Verificação Peneiradores'!$L$66:$L$70,"NÃO OK")&gt;0,"Não conforme","Conforme"))</f>
        <v/>
      </c>
      <c r="N619" t="str">
        <f>IFERROR(TRIM(INDEX('Verificação Peneiradores'!$AE$63:$AE$72,MATCH("*",'Verificação Peneiradores'!$AE$63:$AE$72,0))),"")</f>
        <v/>
      </c>
      <c r="O619" t="str">
        <f>IFERROR(TRIM(INDEX('Verificação Peneiradores'!$AD$63:$AD$72,MATCH("*",'Verificação Peneiradores'!$AD$63:$AD$72,0))),"")</f>
        <v/>
      </c>
      <c r="P619" t="str">
        <f>IF(COUNTIF('Verificação Peneiradores'!$L$66:$L$70,"SEM TAG")&gt;0,"Sem TAG de calibração; ","")&amp;IF('Verificação Peneiradores'!$L$66="NÃO OK","Condições das telas; ","")&amp;IF('Verificação Peneiradores'!$L$67="NÃO OK","Inclinação das telas; ","")&amp;IF('Verificação Peneiradores'!$L$68="NÃO OK","Vibração do peneirador; ","")&amp;IF('Verificação Peneiradores'!$L$69="NÃO OK","Travamento das peneiras; ","")&amp;IF('Verificação Peneiradores'!$L$70="NÃO OK","Calibração; ","")</f>
        <v/>
      </c>
      <c r="Q619" t="s">
        <v>990</v>
      </c>
    </row>
    <row r="620">
      <c r="A620" t="s">
        <v>816</v>
      </c>
      <c r="B620" t="s">
        <v>667</v>
      </c>
      <c r="C620" s="912" t="str">
        <f>IF(MAX('Verificação Peneiradores'!$AC$63:$AC$72)=0,"",MAX('Verificação Peneiradores'!$AC$63:$AC$72))</f>
        <v/>
      </c>
      <c r="D620" t="str">
        <f>IF('Verificação Peneiradores'!$M$64&amp;""="","Peneirador 09",TRIM('Verificação Peneiradores'!$M$64&amp;""))</f>
        <v>PN478</v>
      </c>
      <c r="E620" t="str">
        <f>"Malha "&amp;'Verificação Peneiradores'!$M$63&amp;" mm ("&amp;"Peneirador 09"&amp;")"</f>
        <v>Malha 19 mm (Peneirador 09)</v>
      </c>
      <c r="F620" t="s">
        <v>817</v>
      </c>
      <c r="G620" t="str">
        <f>IF(COUNTA('Verificação Peneiradores'!$M$66:$M$70)=0,"",COUNTIF('Verificação Peneiradores'!$M$66:$M$70,"OK"))</f>
        <v/>
      </c>
      <c r="H620" t="str">
        <f>IF(COUNTA('Verificação Peneiradores'!$M$66:$M$70)=0,"",COUNTA('Verificação Peneiradores'!$M$66:$M$70))</f>
        <v/>
      </c>
      <c r="M620" t="str">
        <f>IF(COUNTA('Verificação Peneiradores'!$M$66:$M$70)=0,"",IF(COUNTIF('Verificação Peneiradores'!$M$66:$M$70,"NÃO OK")&gt;0,"Não conforme","Conforme"))</f>
        <v/>
      </c>
      <c r="N620" t="str">
        <f>IFERROR(TRIM(INDEX('Verificação Peneiradores'!$AE$63:$AE$72,MATCH("*",'Verificação Peneiradores'!$AE$63:$AE$72,0))),"")</f>
        <v/>
      </c>
      <c r="O620" t="str">
        <f>IFERROR(TRIM(INDEX('Verificação Peneiradores'!$AD$63:$AD$72,MATCH("*",'Verificação Peneiradores'!$AD$63:$AD$72,0))),"")</f>
        <v/>
      </c>
      <c r="P620" t="str">
        <f>IF(COUNTIF('Verificação Peneiradores'!$M$66:$M$70,"SEM TAG")&gt;0,"Sem TAG de calibração; ","")&amp;IF('Verificação Peneiradores'!$M$66="NÃO OK","Condições das telas; ","")&amp;IF('Verificação Peneiradores'!$M$67="NÃO OK","Inclinação das telas; ","")&amp;IF('Verificação Peneiradores'!$M$68="NÃO OK","Vibração do peneirador; ","")&amp;IF('Verificação Peneiradores'!$M$69="NÃO OK","Travamento das peneiras; ","")&amp;IF('Verificação Peneiradores'!$M$70="NÃO OK","Calibração; ","")</f>
        <v/>
      </c>
      <c r="Q620" t="s">
        <v>991</v>
      </c>
    </row>
    <row r="621">
      <c r="A621" t="s">
        <v>816</v>
      </c>
      <c r="B621" t="s">
        <v>667</v>
      </c>
      <c r="C621" s="912" t="str">
        <f>IF(MAX('Verificação Peneiradores'!$AC$63:$AC$72)=0,"",MAX('Verificação Peneiradores'!$AC$63:$AC$72))</f>
        <v/>
      </c>
      <c r="D621" t="str">
        <f>IF('Verificação Peneiradores'!$N$64&amp;""="","Peneirador 09",TRIM('Verificação Peneiradores'!$N$64&amp;""))</f>
        <v>PN516</v>
      </c>
      <c r="E621" t="str">
        <f>"Malha "&amp;'Verificação Peneiradores'!$N$63&amp;" mm ("&amp;"Peneirador 09"&amp;")"</f>
        <v>Malha 16 mm (Peneirador 09)</v>
      </c>
      <c r="F621" t="s">
        <v>817</v>
      </c>
      <c r="G621" t="str">
        <f>IF(COUNTA('Verificação Peneiradores'!$N$66:$N$70)=0,"",COUNTIF('Verificação Peneiradores'!$N$66:$N$70,"OK"))</f>
        <v/>
      </c>
      <c r="H621" t="str">
        <f>IF(COUNTA('Verificação Peneiradores'!$N$66:$N$70)=0,"",COUNTA('Verificação Peneiradores'!$N$66:$N$70))</f>
        <v/>
      </c>
      <c r="M621" t="str">
        <f>IF(COUNTA('Verificação Peneiradores'!$N$66:$N$70)=0,"",IF(COUNTIF('Verificação Peneiradores'!$N$66:$N$70,"NÃO OK")&gt;0,"Não conforme","Conforme"))</f>
        <v/>
      </c>
      <c r="N621" t="str">
        <f>IFERROR(TRIM(INDEX('Verificação Peneiradores'!$AE$63:$AE$72,MATCH("*",'Verificação Peneiradores'!$AE$63:$AE$72,0))),"")</f>
        <v/>
      </c>
      <c r="O621" t="str">
        <f>IFERROR(TRIM(INDEX('Verificação Peneiradores'!$AD$63:$AD$72,MATCH("*",'Verificação Peneiradores'!$AD$63:$AD$72,0))),"")</f>
        <v/>
      </c>
      <c r="P621" t="str">
        <f>IF(COUNTIF('Verificação Peneiradores'!$N$66:$N$70,"SEM TAG")&gt;0,"Sem TAG de calibração; ","")&amp;IF('Verificação Peneiradores'!$N$66="NÃO OK","Condições das telas; ","")&amp;IF('Verificação Peneiradores'!$N$67="NÃO OK","Inclinação das telas; ","")&amp;IF('Verificação Peneiradores'!$N$68="NÃO OK","Vibração do peneirador; ","")&amp;IF('Verificação Peneiradores'!$N$69="NÃO OK","Travamento das peneiras; ","")&amp;IF('Verificação Peneiradores'!$N$70="NÃO OK","Calibração; ","")</f>
        <v/>
      </c>
      <c r="Q621" t="s">
        <v>992</v>
      </c>
    </row>
    <row r="622">
      <c r="A622" t="s">
        <v>816</v>
      </c>
      <c r="B622" t="s">
        <v>667</v>
      </c>
      <c r="C622" s="912" t="str">
        <f>IF(MAX('Verificação Peneiradores'!$AC$63:$AC$72)=0,"",MAX('Verificação Peneiradores'!$AC$63:$AC$72))</f>
        <v/>
      </c>
      <c r="D622" t="str">
        <f>IF('Verificação Peneiradores'!$O$64&amp;""="","Peneirador 09",TRIM('Verificação Peneiradores'!$O$64&amp;""))</f>
        <v>PN650</v>
      </c>
      <c r="E622" t="str">
        <f>"Malha "&amp;'Verificação Peneiradores'!$O$63&amp;" mm ("&amp;"Peneirador 09"&amp;")"</f>
        <v>Malha 14 mm (Peneirador 09)</v>
      </c>
      <c r="F622" t="s">
        <v>817</v>
      </c>
      <c r="G622" t="str">
        <f>IF(COUNTA('Verificação Peneiradores'!$O$66:$O$70)=0,"",COUNTIF('Verificação Peneiradores'!$O$66:$O$70,"OK"))</f>
        <v/>
      </c>
      <c r="H622" t="str">
        <f>IF(COUNTA('Verificação Peneiradores'!$O$66:$O$70)=0,"",COUNTA('Verificação Peneiradores'!$O$66:$O$70))</f>
        <v/>
      </c>
      <c r="M622" t="str">
        <f>IF(COUNTA('Verificação Peneiradores'!$O$66:$O$70)=0,"",IF(COUNTIF('Verificação Peneiradores'!$O$66:$O$70,"NÃO OK")&gt;0,"Não conforme","Conforme"))</f>
        <v/>
      </c>
      <c r="N622" t="str">
        <f>IFERROR(TRIM(INDEX('Verificação Peneiradores'!$AE$63:$AE$72,MATCH("*",'Verificação Peneiradores'!$AE$63:$AE$72,0))),"")</f>
        <v/>
      </c>
      <c r="O622" t="str">
        <f>IFERROR(TRIM(INDEX('Verificação Peneiradores'!$AD$63:$AD$72,MATCH("*",'Verificação Peneiradores'!$AD$63:$AD$72,0))),"")</f>
        <v/>
      </c>
      <c r="P622" t="str">
        <f>IF(COUNTIF('Verificação Peneiradores'!$O$66:$O$70,"SEM TAG")&gt;0,"Sem TAG de calibração; ","")&amp;IF('Verificação Peneiradores'!$O$66="NÃO OK","Condições das telas; ","")&amp;IF('Verificação Peneiradores'!$O$67="NÃO OK","Inclinação das telas; ","")&amp;IF('Verificação Peneiradores'!$O$68="NÃO OK","Vibração do peneirador; ","")&amp;IF('Verificação Peneiradores'!$O$69="NÃO OK","Travamento das peneiras; ","")&amp;IF('Verificação Peneiradores'!$O$70="NÃO OK","Calibração; ","")</f>
        <v/>
      </c>
      <c r="Q622" t="s">
        <v>993</v>
      </c>
    </row>
    <row r="623">
      <c r="A623" t="s">
        <v>816</v>
      </c>
      <c r="B623" t="s">
        <v>667</v>
      </c>
      <c r="C623" s="912" t="str">
        <f>IF(MAX('Verificação Peneiradores'!$AC$63:$AC$72)=0,"",MAX('Verificação Peneiradores'!$AC$63:$AC$72))</f>
        <v/>
      </c>
      <c r="D623" t="str">
        <f>IF('Verificação Peneiradores'!$P$64&amp;""="","Peneirador 09",TRIM('Verificação Peneiradores'!$P$64&amp;""))</f>
        <v>PN484</v>
      </c>
      <c r="E623" t="str">
        <f>"Malha "&amp;'Verificação Peneiradores'!$P$63&amp;" mm ("&amp;"Peneirador 09"&amp;")"</f>
        <v>Malha 12,5 mm (Peneirador 09)</v>
      </c>
      <c r="F623" t="s">
        <v>817</v>
      </c>
      <c r="G623" t="str">
        <f>IF(COUNTA('Verificação Peneiradores'!$P$66:$P$70)=0,"",COUNTIF('Verificação Peneiradores'!$P$66:$P$70,"OK"))</f>
        <v/>
      </c>
      <c r="H623" t="str">
        <f>IF(COUNTA('Verificação Peneiradores'!$P$66:$P$70)=0,"",COUNTA('Verificação Peneiradores'!$P$66:$P$70))</f>
        <v/>
      </c>
      <c r="M623" t="str">
        <f>IF(COUNTA('Verificação Peneiradores'!$P$66:$P$70)=0,"",IF(COUNTIF('Verificação Peneiradores'!$P$66:$P$70,"NÃO OK")&gt;0,"Não conforme","Conforme"))</f>
        <v/>
      </c>
      <c r="N623" t="str">
        <f>IFERROR(TRIM(INDEX('Verificação Peneiradores'!$AE$63:$AE$72,MATCH("*",'Verificação Peneiradores'!$AE$63:$AE$72,0))),"")</f>
        <v/>
      </c>
      <c r="O623" t="str">
        <f>IFERROR(TRIM(INDEX('Verificação Peneiradores'!$AD$63:$AD$72,MATCH("*",'Verificação Peneiradores'!$AD$63:$AD$72,0))),"")</f>
        <v/>
      </c>
      <c r="P623" t="str">
        <f>IF(COUNTIF('Verificação Peneiradores'!$P$66:$P$70,"SEM TAG")&gt;0,"Sem TAG de calibração; ","")&amp;IF('Verificação Peneiradores'!$P$66="NÃO OK","Condições das telas; ","")&amp;IF('Verificação Peneiradores'!$P$67="NÃO OK","Inclinação das telas; ","")&amp;IF('Verificação Peneiradores'!$P$68="NÃO OK","Vibração do peneirador; ","")&amp;IF('Verificação Peneiradores'!$P$69="NÃO OK","Travamento das peneiras; ","")&amp;IF('Verificação Peneiradores'!$P$70="NÃO OK","Calibração; ","")</f>
        <v/>
      </c>
      <c r="Q623" t="s">
        <v>994</v>
      </c>
    </row>
    <row r="624">
      <c r="A624" t="s">
        <v>816</v>
      </c>
      <c r="B624" t="s">
        <v>667</v>
      </c>
      <c r="C624" s="912" t="str">
        <f>IF(MAX('Verificação Peneiradores'!$AC$63:$AC$72)=0,"",MAX('Verificação Peneiradores'!$AC$63:$AC$72))</f>
        <v/>
      </c>
      <c r="D624" t="str">
        <f>IF('Verificação Peneiradores'!$Q$64&amp;""="","Peneirador 09",TRIM('Verificação Peneiradores'!$Q$64&amp;""))</f>
        <v>PN558</v>
      </c>
      <c r="E624" t="str">
        <f>"Malha "&amp;'Verificação Peneiradores'!$Q$63&amp;" mm ("&amp;"Peneirador 09"&amp;")"</f>
        <v>Malha 9 mm (Peneirador 09)</v>
      </c>
      <c r="F624" t="s">
        <v>817</v>
      </c>
      <c r="G624" t="str">
        <f>IF(COUNTA('Verificação Peneiradores'!$Q$66:$Q$70)=0,"",COUNTIF('Verificação Peneiradores'!$Q$66:$Q$70,"OK"))</f>
        <v/>
      </c>
      <c r="H624" t="str">
        <f>IF(COUNTA('Verificação Peneiradores'!$Q$66:$Q$70)=0,"",COUNTA('Verificação Peneiradores'!$Q$66:$Q$70))</f>
        <v/>
      </c>
      <c r="M624" t="str">
        <f>IF(COUNTA('Verificação Peneiradores'!$Q$66:$Q$70)=0,"",IF(COUNTIF('Verificação Peneiradores'!$Q$66:$Q$70,"NÃO OK")&gt;0,"Não conforme","Conforme"))</f>
        <v/>
      </c>
      <c r="N624" t="str">
        <f>IFERROR(TRIM(INDEX('Verificação Peneiradores'!$AE$63:$AE$72,MATCH("*",'Verificação Peneiradores'!$AE$63:$AE$72,0))),"")</f>
        <v/>
      </c>
      <c r="O624" t="str">
        <f>IFERROR(TRIM(INDEX('Verificação Peneiradores'!$AD$63:$AD$72,MATCH("*",'Verificação Peneiradores'!$AD$63:$AD$72,0))),"")</f>
        <v/>
      </c>
      <c r="P624" t="str">
        <f>IF(COUNTIF('Verificação Peneiradores'!$Q$66:$Q$70,"SEM TAG")&gt;0,"Sem TAG de calibração; ","")&amp;IF('Verificação Peneiradores'!$Q$66="NÃO OK","Condições das telas; ","")&amp;IF('Verificação Peneiradores'!$Q$67="NÃO OK","Inclinação das telas; ","")&amp;IF('Verificação Peneiradores'!$Q$68="NÃO OK","Vibração do peneirador; ","")&amp;IF('Verificação Peneiradores'!$Q$69="NÃO OK","Travamento das peneiras; ","")&amp;IF('Verificação Peneiradores'!$Q$70="NÃO OK","Calibração; ","")</f>
        <v/>
      </c>
      <c r="Q624" t="s">
        <v>995</v>
      </c>
    </row>
    <row r="625">
      <c r="A625" t="s">
        <v>816</v>
      </c>
      <c r="B625" t="s">
        <v>667</v>
      </c>
      <c r="C625" s="912" t="str">
        <f>IF(MAX('Verificação Peneiradores'!$AC$63:$AC$72)=0,"",MAX('Verificação Peneiradores'!$AC$63:$AC$72))</f>
        <v/>
      </c>
      <c r="D625" t="str">
        <f>IF('Verificação Peneiradores'!$R$64&amp;""="","Peneirador 09",TRIM('Verificação Peneiradores'!$R$64&amp;""))</f>
        <v>PN505</v>
      </c>
      <c r="E625" t="str">
        <f>"Malha "&amp;'Verificação Peneiradores'!$R$63&amp;" mm ("&amp;"Peneirador 09"&amp;")"</f>
        <v>Malha 8 mm (Peneirador 09)</v>
      </c>
      <c r="F625" t="s">
        <v>817</v>
      </c>
      <c r="G625" t="str">
        <f>IF(COUNTA('Verificação Peneiradores'!$R$66:$R$70)=0,"",COUNTIF('Verificação Peneiradores'!$R$66:$R$70,"OK"))</f>
        <v/>
      </c>
      <c r="H625" t="str">
        <f>IF(COUNTA('Verificação Peneiradores'!$R$66:$R$70)=0,"",COUNTA('Verificação Peneiradores'!$R$66:$R$70))</f>
        <v/>
      </c>
      <c r="M625" t="str">
        <f>IF(COUNTA('Verificação Peneiradores'!$R$66:$R$70)=0,"",IF(COUNTIF('Verificação Peneiradores'!$R$66:$R$70,"NÃO OK")&gt;0,"Não conforme","Conforme"))</f>
        <v/>
      </c>
      <c r="N625" t="str">
        <f>IFERROR(TRIM(INDEX('Verificação Peneiradores'!$AE$63:$AE$72,MATCH("*",'Verificação Peneiradores'!$AE$63:$AE$72,0))),"")</f>
        <v/>
      </c>
      <c r="O625" t="str">
        <f>IFERROR(TRIM(INDEX('Verificação Peneiradores'!$AD$63:$AD$72,MATCH("*",'Verificação Peneiradores'!$AD$63:$AD$72,0))),"")</f>
        <v/>
      </c>
      <c r="P625" t="str">
        <f>IF(COUNTIF('Verificação Peneiradores'!$R$66:$R$70,"SEM TAG")&gt;0,"Sem TAG de calibração; ","")&amp;IF('Verificação Peneiradores'!$R$66="NÃO OK","Condições das telas; ","")&amp;IF('Verificação Peneiradores'!$R$67="NÃO OK","Inclinação das telas; ","")&amp;IF('Verificação Peneiradores'!$R$68="NÃO OK","Vibração do peneirador; ","")&amp;IF('Verificação Peneiradores'!$R$69="NÃO OK","Travamento das peneiras; ","")&amp;IF('Verificação Peneiradores'!$R$70="NÃO OK","Calibração; ","")</f>
        <v/>
      </c>
      <c r="Q625" t="s">
        <v>996</v>
      </c>
    </row>
    <row r="626">
      <c r="A626" t="s">
        <v>816</v>
      </c>
      <c r="B626" t="s">
        <v>667</v>
      </c>
      <c r="C626" s="912" t="str">
        <f>IF(MAX('Verificação Peneiradores'!$AC$63:$AC$72)=0,"",MAX('Verificação Peneiradores'!$AC$63:$AC$72))</f>
        <v/>
      </c>
      <c r="D626" t="str">
        <f>IF('Verificação Peneiradores'!$S$64&amp;""="","Peneirador 09",TRIM('Verificação Peneiradores'!$S$64&amp;""))</f>
        <v>PN631</v>
      </c>
      <c r="E626" t="str">
        <f>"Malha "&amp;'Verificação Peneiradores'!$S$63&amp;" mm ("&amp;"Peneirador 09"&amp;")"</f>
        <v>Malha 6,3 mm (Peneirador 09)</v>
      </c>
      <c r="F626" t="s">
        <v>817</v>
      </c>
      <c r="G626" t="str">
        <f>IF(COUNTA('Verificação Peneiradores'!$S$66:$S$70)=0,"",COUNTIF('Verificação Peneiradores'!$S$66:$S$70,"OK"))</f>
        <v/>
      </c>
      <c r="H626" t="str">
        <f>IF(COUNTA('Verificação Peneiradores'!$S$66:$S$70)=0,"",COUNTA('Verificação Peneiradores'!$S$66:$S$70))</f>
        <v/>
      </c>
      <c r="M626" t="str">
        <f>IF(COUNTA('Verificação Peneiradores'!$S$66:$S$70)=0,"",IF(COUNTIF('Verificação Peneiradores'!$S$66:$S$70,"NÃO OK")&gt;0,"Não conforme","Conforme"))</f>
        <v/>
      </c>
      <c r="N626" t="str">
        <f>IFERROR(TRIM(INDEX('Verificação Peneiradores'!$AE$63:$AE$72,MATCH("*",'Verificação Peneiradores'!$AE$63:$AE$72,0))),"")</f>
        <v/>
      </c>
      <c r="O626" t="str">
        <f>IFERROR(TRIM(INDEX('Verificação Peneiradores'!$AD$63:$AD$72,MATCH("*",'Verificação Peneiradores'!$AD$63:$AD$72,0))),"")</f>
        <v/>
      </c>
      <c r="P626" t="str">
        <f>IF(COUNTIF('Verificação Peneiradores'!$S$66:$S$70,"SEM TAG")&gt;0,"Sem TAG de calibração; ","")&amp;IF('Verificação Peneiradores'!$S$66="NÃO OK","Condições das telas; ","")&amp;IF('Verificação Peneiradores'!$S$67="NÃO OK","Inclinação das telas; ","")&amp;IF('Verificação Peneiradores'!$S$68="NÃO OK","Vibração do peneirador; ","")&amp;IF('Verificação Peneiradores'!$S$69="NÃO OK","Travamento das peneiras; ","")&amp;IF('Verificação Peneiradores'!$S$70="NÃO OK","Calibração; ","")</f>
        <v/>
      </c>
      <c r="Q626" t="s">
        <v>997</v>
      </c>
    </row>
    <row r="627">
      <c r="A627" t="s">
        <v>816</v>
      </c>
      <c r="B627" t="s">
        <v>667</v>
      </c>
      <c r="C627" s="912" t="str">
        <f>IF(MAX('Verificação Peneiradores'!$AC$63:$AC$72)=0,"",MAX('Verificação Peneiradores'!$AC$63:$AC$72))</f>
        <v/>
      </c>
      <c r="D627" t="str">
        <f>IF('Verificação Peneiradores'!$T$64&amp;""="","Peneirador 05",TRIM('Verificação Peneiradores'!$T$64&amp;""))</f>
        <v>PN398</v>
      </c>
      <c r="E627" t="str">
        <f>"Malha "&amp;'Verificação Peneiradores'!$T$63&amp;" mm ("&amp;"Peneirador 05"&amp;")"</f>
        <v>Malha 19 mm (Peneirador 05)</v>
      </c>
      <c r="F627" t="s">
        <v>817</v>
      </c>
      <c r="G627" t="str">
        <f>IF(COUNTA('Verificação Peneiradores'!$T$66:$T$70)=0,"",COUNTIF('Verificação Peneiradores'!$T$66:$T$70,"OK"))</f>
        <v/>
      </c>
      <c r="H627" t="str">
        <f>IF(COUNTA('Verificação Peneiradores'!$T$66:$T$70)=0,"",COUNTA('Verificação Peneiradores'!$T$66:$T$70))</f>
        <v/>
      </c>
      <c r="M627" t="str">
        <f>IF(COUNTA('Verificação Peneiradores'!$T$66:$T$70)=0,"",IF(COUNTIF('Verificação Peneiradores'!$T$66:$T$70,"NÃO OK")&gt;0,"Não conforme","Conforme"))</f>
        <v/>
      </c>
      <c r="N627" t="str">
        <f>IFERROR(TRIM(INDEX('Verificação Peneiradores'!$AE$63:$AE$72,MATCH("*",'Verificação Peneiradores'!$AE$63:$AE$72,0))),"")</f>
        <v/>
      </c>
      <c r="O627" t="str">
        <f>IFERROR(TRIM(INDEX('Verificação Peneiradores'!$AD$63:$AD$72,MATCH("*",'Verificação Peneiradores'!$AD$63:$AD$72,0))),"")</f>
        <v/>
      </c>
      <c r="P627" t="str">
        <f>IF(COUNTIF('Verificação Peneiradores'!$T$66:$T$70,"SEM TAG")&gt;0,"Sem TAG de calibração; ","")&amp;IF('Verificação Peneiradores'!$T$66="NÃO OK","Condições das telas; ","")&amp;IF('Verificação Peneiradores'!$T$67="NÃO OK","Inclinação das telas; ","")&amp;IF('Verificação Peneiradores'!$T$68="NÃO OK","Vibração do peneirador; ","")&amp;IF('Verificação Peneiradores'!$T$69="NÃO OK","Travamento das peneiras; ","")&amp;IF('Verificação Peneiradores'!$T$70="NÃO OK","Calibração; ","")</f>
        <v/>
      </c>
      <c r="Q627" t="s">
        <v>998</v>
      </c>
    </row>
    <row r="628">
      <c r="A628" t="s">
        <v>816</v>
      </c>
      <c r="B628" t="s">
        <v>667</v>
      </c>
      <c r="C628" s="912" t="str">
        <f>IF(MAX('Verificação Peneiradores'!$AC$63:$AC$72)=0,"",MAX('Verificação Peneiradores'!$AC$63:$AC$72))</f>
        <v/>
      </c>
      <c r="D628" t="str">
        <f>IF('Verificação Peneiradores'!$U$64&amp;""="","Peneirador 05",TRIM('Verificação Peneiradores'!$U$64&amp;""))</f>
        <v>PN664</v>
      </c>
      <c r="E628" t="str">
        <f>"Malha "&amp;'Verificação Peneiradores'!$U$63&amp;" mm ("&amp;"Peneirador 05"&amp;")"</f>
        <v>Malha 16 mm (Peneirador 05)</v>
      </c>
      <c r="F628" t="s">
        <v>817</v>
      </c>
      <c r="G628" t="str">
        <f>IF(COUNTA('Verificação Peneiradores'!$U$66:$U$70)=0,"",COUNTIF('Verificação Peneiradores'!$U$66:$U$70,"OK"))</f>
        <v/>
      </c>
      <c r="H628" t="str">
        <f>IF(COUNTA('Verificação Peneiradores'!$U$66:$U$70)=0,"",COUNTA('Verificação Peneiradores'!$U$66:$U$70))</f>
        <v/>
      </c>
      <c r="M628" t="str">
        <f>IF(COUNTA('Verificação Peneiradores'!$U$66:$U$70)=0,"",IF(COUNTIF('Verificação Peneiradores'!$U$66:$U$70,"NÃO OK")&gt;0,"Não conforme","Conforme"))</f>
        <v/>
      </c>
      <c r="N628" t="str">
        <f>IFERROR(TRIM(INDEX('Verificação Peneiradores'!$AE$63:$AE$72,MATCH("*",'Verificação Peneiradores'!$AE$63:$AE$72,0))),"")</f>
        <v/>
      </c>
      <c r="O628" t="str">
        <f>IFERROR(TRIM(INDEX('Verificação Peneiradores'!$AD$63:$AD$72,MATCH("*",'Verificação Peneiradores'!$AD$63:$AD$72,0))),"")</f>
        <v/>
      </c>
      <c r="P628" t="str">
        <f>IF(COUNTIF('Verificação Peneiradores'!$U$66:$U$70,"SEM TAG")&gt;0,"Sem TAG de calibração; ","")&amp;IF('Verificação Peneiradores'!$U$66="NÃO OK","Condições das telas; ","")&amp;IF('Verificação Peneiradores'!$U$67="NÃO OK","Inclinação das telas; ","")&amp;IF('Verificação Peneiradores'!$U$68="NÃO OK","Vibração do peneirador; ","")&amp;IF('Verificação Peneiradores'!$U$69="NÃO OK","Travamento das peneiras; ","")&amp;IF('Verificação Peneiradores'!$U$70="NÃO OK","Calibração; ","")</f>
        <v/>
      </c>
      <c r="Q628" t="s">
        <v>999</v>
      </c>
    </row>
    <row r="629">
      <c r="A629" t="s">
        <v>816</v>
      </c>
      <c r="B629" t="s">
        <v>667</v>
      </c>
      <c r="C629" s="912" t="str">
        <f>IF(MAX('Verificação Peneiradores'!$AC$63:$AC$72)=0,"",MAX('Verificação Peneiradores'!$AC$63:$AC$72))</f>
        <v/>
      </c>
      <c r="D629" t="str">
        <f>IF('Verificação Peneiradores'!$V$64&amp;""="","Peneirador 05",TRIM('Verificação Peneiradores'!$V$64&amp;""))</f>
        <v>PN665</v>
      </c>
      <c r="E629" t="str">
        <f>"Malha "&amp;'Verificação Peneiradores'!$V$63&amp;" mm ("&amp;"Peneirador 05"&amp;")"</f>
        <v>Malha 14 mm (Peneirador 05)</v>
      </c>
      <c r="F629" t="s">
        <v>817</v>
      </c>
      <c r="G629" t="str">
        <f>IF(COUNTA('Verificação Peneiradores'!$V$66:$V$70)=0,"",COUNTIF('Verificação Peneiradores'!$V$66:$V$70,"OK"))</f>
        <v/>
      </c>
      <c r="H629" t="str">
        <f>IF(COUNTA('Verificação Peneiradores'!$V$66:$V$70)=0,"",COUNTA('Verificação Peneiradores'!$V$66:$V$70))</f>
        <v/>
      </c>
      <c r="M629" t="str">
        <f>IF(COUNTA('Verificação Peneiradores'!$V$66:$V$70)=0,"",IF(COUNTIF('Verificação Peneiradores'!$V$66:$V$70,"NÃO OK")&gt;0,"Não conforme","Conforme"))</f>
        <v/>
      </c>
      <c r="N629" t="str">
        <f>IFERROR(TRIM(INDEX('Verificação Peneiradores'!$AE$63:$AE$72,MATCH("*",'Verificação Peneiradores'!$AE$63:$AE$72,0))),"")</f>
        <v/>
      </c>
      <c r="O629" t="str">
        <f>IFERROR(TRIM(INDEX('Verificação Peneiradores'!$AD$63:$AD$72,MATCH("*",'Verificação Peneiradores'!$AD$63:$AD$72,0))),"")</f>
        <v/>
      </c>
      <c r="P629" t="str">
        <f>IF(COUNTIF('Verificação Peneiradores'!$V$66:$V$70,"SEM TAG")&gt;0,"Sem TAG de calibração; ","")&amp;IF('Verificação Peneiradores'!$V$66="NÃO OK","Condições das telas; ","")&amp;IF('Verificação Peneiradores'!$V$67="NÃO OK","Inclinação das telas; ","")&amp;IF('Verificação Peneiradores'!$V$68="NÃO OK","Vibração do peneirador; ","")&amp;IF('Verificação Peneiradores'!$V$69="NÃO OK","Travamento das peneiras; ","")&amp;IF('Verificação Peneiradores'!$V$70="NÃO OK","Calibração; ","")</f>
        <v/>
      </c>
      <c r="Q629" t="s">
        <v>1000</v>
      </c>
    </row>
    <row r="630">
      <c r="A630" t="s">
        <v>816</v>
      </c>
      <c r="B630" t="s">
        <v>667</v>
      </c>
      <c r="C630" s="912" t="str">
        <f>IF(MAX('Verificação Peneiradores'!$AC$63:$AC$72)=0,"",MAX('Verificação Peneiradores'!$AC$63:$AC$72))</f>
        <v/>
      </c>
      <c r="D630" t="str">
        <f>IF('Verificação Peneiradores'!$W$64&amp;""="","Peneirador 05",TRIM('Verificação Peneiradores'!$W$64&amp;""))</f>
        <v>PN666</v>
      </c>
      <c r="E630" t="str">
        <f>"Malha "&amp;'Verificação Peneiradores'!$W$63&amp;" mm ("&amp;"Peneirador 05"&amp;")"</f>
        <v>Malha 12,5 mm (Peneirador 05)</v>
      </c>
      <c r="F630" t="s">
        <v>817</v>
      </c>
      <c r="G630" t="str">
        <f>IF(COUNTA('Verificação Peneiradores'!$W$66:$W$70)=0,"",COUNTIF('Verificação Peneiradores'!$W$66:$W$70,"OK"))</f>
        <v/>
      </c>
      <c r="H630" t="str">
        <f>IF(COUNTA('Verificação Peneiradores'!$W$66:$W$70)=0,"",COUNTA('Verificação Peneiradores'!$W$66:$W$70))</f>
        <v/>
      </c>
      <c r="M630" t="str">
        <f>IF(COUNTA('Verificação Peneiradores'!$W$66:$W$70)=0,"",IF(COUNTIF('Verificação Peneiradores'!$W$66:$W$70,"NÃO OK")&gt;0,"Não conforme","Conforme"))</f>
        <v/>
      </c>
      <c r="N630" t="str">
        <f>IFERROR(TRIM(INDEX('Verificação Peneiradores'!$AE$63:$AE$72,MATCH("*",'Verificação Peneiradores'!$AE$63:$AE$72,0))),"")</f>
        <v/>
      </c>
      <c r="O630" t="str">
        <f>IFERROR(TRIM(INDEX('Verificação Peneiradores'!$AD$63:$AD$72,MATCH("*",'Verificação Peneiradores'!$AD$63:$AD$72,0))),"")</f>
        <v/>
      </c>
      <c r="P630" t="str">
        <f>IF(COUNTIF('Verificação Peneiradores'!$W$66:$W$70,"SEM TAG")&gt;0,"Sem TAG de calibração; ","")&amp;IF('Verificação Peneiradores'!$W$66="NÃO OK","Condições das telas; ","")&amp;IF('Verificação Peneiradores'!$W$67="NÃO OK","Inclinação das telas; ","")&amp;IF('Verificação Peneiradores'!$W$68="NÃO OK","Vibração do peneirador; ","")&amp;IF('Verificação Peneiradores'!$W$69="NÃO OK","Travamento das peneiras; ","")&amp;IF('Verificação Peneiradores'!$W$70="NÃO OK","Calibração; ","")</f>
        <v/>
      </c>
      <c r="Q630" t="s">
        <v>1001</v>
      </c>
    </row>
    <row r="631">
      <c r="A631" t="s">
        <v>816</v>
      </c>
      <c r="B631" t="s">
        <v>667</v>
      </c>
      <c r="C631" s="912" t="str">
        <f>IF(MAX('Verificação Peneiradores'!$AC$63:$AC$72)=0,"",MAX('Verificação Peneiradores'!$AC$63:$AC$72))</f>
        <v/>
      </c>
      <c r="D631" t="str">
        <f>IF('Verificação Peneiradores'!$X$64&amp;""="","Peneirador 05",TRIM('Verificação Peneiradores'!$X$64&amp;""))</f>
        <v>PN646</v>
      </c>
      <c r="E631" t="str">
        <f>"Malha "&amp;'Verificação Peneiradores'!$X$63&amp;" mm ("&amp;"Peneirador 05"&amp;")"</f>
        <v>Malha 9 mm (Peneirador 05)</v>
      </c>
      <c r="F631" t="s">
        <v>817</v>
      </c>
      <c r="G631" t="str">
        <f>IF(COUNTA('Verificação Peneiradores'!$X$66:$X$70)=0,"",COUNTIF('Verificação Peneiradores'!$X$66:$X$70,"OK"))</f>
        <v/>
      </c>
      <c r="H631" t="str">
        <f>IF(COUNTA('Verificação Peneiradores'!$X$66:$X$70)=0,"",COUNTA('Verificação Peneiradores'!$X$66:$X$70))</f>
        <v/>
      </c>
      <c r="M631" t="str">
        <f>IF(COUNTA('Verificação Peneiradores'!$X$66:$X$70)=0,"",IF(COUNTIF('Verificação Peneiradores'!$X$66:$X$70,"NÃO OK")&gt;0,"Não conforme","Conforme"))</f>
        <v/>
      </c>
      <c r="N631" t="str">
        <f>IFERROR(TRIM(INDEX('Verificação Peneiradores'!$AE$63:$AE$72,MATCH("*",'Verificação Peneiradores'!$AE$63:$AE$72,0))),"")</f>
        <v/>
      </c>
      <c r="O631" t="str">
        <f>IFERROR(TRIM(INDEX('Verificação Peneiradores'!$AD$63:$AD$72,MATCH("*",'Verificação Peneiradores'!$AD$63:$AD$72,0))),"")</f>
        <v/>
      </c>
      <c r="P631" t="str">
        <f>IF(COUNTIF('Verificação Peneiradores'!$X$66:$X$70,"SEM TAG")&gt;0,"Sem TAG de calibração; ","")&amp;IF('Verificação Peneiradores'!$X$66="NÃO OK","Condições das telas; ","")&amp;IF('Verificação Peneiradores'!$X$67="NÃO OK","Inclinação das telas; ","")&amp;IF('Verificação Peneiradores'!$X$68="NÃO OK","Vibração do peneirador; ","")&amp;IF('Verificação Peneiradores'!$X$69="NÃO OK","Travamento das peneiras; ","")&amp;IF('Verificação Peneiradores'!$X$70="NÃO OK","Calibração; ","")</f>
        <v/>
      </c>
      <c r="Q631" t="s">
        <v>1002</v>
      </c>
    </row>
    <row r="632">
      <c r="A632" t="s">
        <v>816</v>
      </c>
      <c r="B632" t="s">
        <v>667</v>
      </c>
      <c r="C632" s="912" t="str">
        <f>IF(MAX('Verificação Peneiradores'!$AC$63:$AC$72)=0,"",MAX('Verificação Peneiradores'!$AC$63:$AC$72))</f>
        <v/>
      </c>
      <c r="D632" t="str">
        <f>IF('Verificação Peneiradores'!$Y$64&amp;""="","Peneirador 05",TRIM('Verificação Peneiradores'!$Y$64&amp;""))</f>
        <v>PN647</v>
      </c>
      <c r="E632" t="str">
        <f>"Malha "&amp;'Verificação Peneiradores'!$Y$63&amp;" mm ("&amp;"Peneirador 05"&amp;")"</f>
        <v>Malha 8 mm (Peneirador 05)</v>
      </c>
      <c r="F632" t="s">
        <v>817</v>
      </c>
      <c r="G632" t="str">
        <f>IF(COUNTA('Verificação Peneiradores'!$Y$66:$Y$70)=0,"",COUNTIF('Verificação Peneiradores'!$Y$66:$Y$70,"OK"))</f>
        <v/>
      </c>
      <c r="H632" t="str">
        <f>IF(COUNTA('Verificação Peneiradores'!$Y$66:$Y$70)=0,"",COUNTA('Verificação Peneiradores'!$Y$66:$Y$70))</f>
        <v/>
      </c>
      <c r="M632" t="str">
        <f>IF(COUNTA('Verificação Peneiradores'!$Y$66:$Y$70)=0,"",IF(COUNTIF('Verificação Peneiradores'!$Y$66:$Y$70,"NÃO OK")&gt;0,"Não conforme","Conforme"))</f>
        <v/>
      </c>
      <c r="N632" t="str">
        <f>IFERROR(TRIM(INDEX('Verificação Peneiradores'!$AE$63:$AE$72,MATCH("*",'Verificação Peneiradores'!$AE$63:$AE$72,0))),"")</f>
        <v/>
      </c>
      <c r="O632" t="str">
        <f>IFERROR(TRIM(INDEX('Verificação Peneiradores'!$AD$63:$AD$72,MATCH("*",'Verificação Peneiradores'!$AD$63:$AD$72,0))),"")</f>
        <v/>
      </c>
      <c r="P632" t="str">
        <f>IF(COUNTIF('Verificação Peneiradores'!$Y$66:$Y$70,"SEM TAG")&gt;0,"Sem TAG de calibração; ","")&amp;IF('Verificação Peneiradores'!$Y$66="NÃO OK","Condições das telas; ","")&amp;IF('Verificação Peneiradores'!$Y$67="NÃO OK","Inclinação das telas; ","")&amp;IF('Verificação Peneiradores'!$Y$68="NÃO OK","Vibração do peneirador; ","")&amp;IF('Verificação Peneiradores'!$Y$69="NÃO OK","Travamento das peneiras; ","")&amp;IF('Verificação Peneiradores'!$Y$70="NÃO OK","Calibração; ","")</f>
        <v/>
      </c>
      <c r="Q632" t="s">
        <v>1003</v>
      </c>
    </row>
    <row r="633">
      <c r="A633" t="s">
        <v>816</v>
      </c>
      <c r="B633" t="s">
        <v>667</v>
      </c>
      <c r="C633" s="912" t="str">
        <f>IF(MAX('Verificação Peneiradores'!$AC$63:$AC$72)=0,"",MAX('Verificação Peneiradores'!$AC$63:$AC$72))</f>
        <v/>
      </c>
      <c r="D633" t="str">
        <f>IF('Verificação Peneiradores'!$Z$64&amp;""="","Peneirador 05",TRIM('Verificação Peneiradores'!$Z$64&amp;""))</f>
        <v>PN648</v>
      </c>
      <c r="E633" t="str">
        <f>"Malha "&amp;'Verificação Peneiradores'!$Z$63&amp;" mm ("&amp;"Peneirador 05"&amp;")"</f>
        <v>Malha 6,3 mm (Peneirador 05)</v>
      </c>
      <c r="F633" t="s">
        <v>817</v>
      </c>
      <c r="G633" t="str">
        <f>IF(COUNTA('Verificação Peneiradores'!$Z$66:$Z$70)=0,"",COUNTIF('Verificação Peneiradores'!$Z$66:$Z$70,"OK"))</f>
        <v/>
      </c>
      <c r="H633" t="str">
        <f>IF(COUNTA('Verificação Peneiradores'!$Z$66:$Z$70)=0,"",COUNTA('Verificação Peneiradores'!$Z$66:$Z$70))</f>
        <v/>
      </c>
      <c r="M633" t="str">
        <f>IF(COUNTA('Verificação Peneiradores'!$Z$66:$Z$70)=0,"",IF(COUNTIF('Verificação Peneiradores'!$Z$66:$Z$70,"NÃO OK")&gt;0,"Não conforme","Conforme"))</f>
        <v/>
      </c>
      <c r="N633" t="str">
        <f>IFERROR(TRIM(INDEX('Verificação Peneiradores'!$AE$63:$AE$72,MATCH("*",'Verificação Peneiradores'!$AE$63:$AE$72,0))),"")</f>
        <v/>
      </c>
      <c r="O633" t="str">
        <f>IFERROR(TRIM(INDEX('Verificação Peneiradores'!$AD$63:$AD$72,MATCH("*",'Verificação Peneiradores'!$AD$63:$AD$72,0))),"")</f>
        <v/>
      </c>
      <c r="P633" t="str">
        <f>IF(COUNTIF('Verificação Peneiradores'!$Z$66:$Z$70,"SEM TAG")&gt;0,"Sem TAG de calibração; ","")&amp;IF('Verificação Peneiradores'!$Z$66="NÃO OK","Condições das telas; ","")&amp;IF('Verificação Peneiradores'!$Z$67="NÃO OK","Inclinação das telas; ","")&amp;IF('Verificação Peneiradores'!$Z$68="NÃO OK","Vibração do peneirador; ","")&amp;IF('Verificação Peneiradores'!$Z$69="NÃO OK","Travamento das peneiras; ","")&amp;IF('Verificação Peneiradores'!$Z$70="NÃO OK","Calibração; ","")</f>
        <v/>
      </c>
      <c r="Q633" t="s">
        <v>1004</v>
      </c>
    </row>
    <row r="634">
      <c r="A634" t="s">
        <v>816</v>
      </c>
      <c r="B634" t="s">
        <v>667</v>
      </c>
      <c r="C634" s="912" t="str">
        <f>IF(MAX('Verificação Peneiradores'!$AC$63:$AC$72)=0,"",MAX('Verificação Peneiradores'!$AC$63:$AC$72))</f>
        <v/>
      </c>
      <c r="D634" t="str">
        <f>IF('Verificação Peneiradores'!$AA$64&amp;""="","Peneirador 06",TRIM('Verificação Peneiradores'!$AA$64&amp;""))</f>
        <v>PN649</v>
      </c>
      <c r="E634" t="str">
        <f>"Malha "&amp;'Verificação Peneiradores'!$AA$63&amp;" mm ("&amp;"Peneirador 06"&amp;")"</f>
        <v>Malha 6,3 mm (Peneirador 06)</v>
      </c>
      <c r="F634" t="s">
        <v>817</v>
      </c>
      <c r="G634" t="str">
        <f>IF(COUNTA('Verificação Peneiradores'!$AA$66:$AA$70)=0,"",COUNTIF('Verificação Peneiradores'!$AA$66:$AA$70,"OK"))</f>
        <v/>
      </c>
      <c r="H634" t="str">
        <f>IF(COUNTA('Verificação Peneiradores'!$AA$66:$AA$70)=0,"",COUNTA('Verificação Peneiradores'!$AA$66:$AA$70))</f>
        <v/>
      </c>
      <c r="M634" t="str">
        <f>IF(COUNTA('Verificação Peneiradores'!$AA$66:$AA$70)=0,"",IF(COUNTIF('Verificação Peneiradores'!$AA$66:$AA$70,"NÃO OK")&gt;0,"Não conforme","Conforme"))</f>
        <v/>
      </c>
      <c r="N634" t="str">
        <f>IFERROR(TRIM(INDEX('Verificação Peneiradores'!$AE$63:$AE$72,MATCH("*",'Verificação Peneiradores'!$AE$63:$AE$72,0))),"")</f>
        <v/>
      </c>
      <c r="O634" t="str">
        <f>IFERROR(TRIM(INDEX('Verificação Peneiradores'!$AD$63:$AD$72,MATCH("*",'Verificação Peneiradores'!$AD$63:$AD$72,0))),"")</f>
        <v/>
      </c>
      <c r="P634" t="str">
        <f>IF(COUNTIF('Verificação Peneiradores'!$AA$66:$AA$70,"SEM TAG")&gt;0,"Sem TAG de calibração; ","")&amp;IF('Verificação Peneiradores'!$AA$66="NÃO OK","Condições das telas; ","")&amp;IF('Verificação Peneiradores'!$AA$67="NÃO OK","Inclinação das telas; ","")&amp;IF('Verificação Peneiradores'!$AA$68="NÃO OK","Vibração do peneirador; ","")&amp;IF('Verificação Peneiradores'!$AA$69="NÃO OK","Travamento das peneiras; ","")&amp;IF('Verificação Peneiradores'!$AA$70="NÃO OK","Calibração; ","")</f>
        <v/>
      </c>
      <c r="Q634" t="s">
        <v>1005</v>
      </c>
    </row>
    <row r="635">
      <c r="A635" t="s">
        <v>816</v>
      </c>
      <c r="B635" t="s">
        <v>667</v>
      </c>
      <c r="C635" s="912" t="str">
        <f>IF(MAX('Verificação Peneiradores'!$AC$63:$AC$72)=0,"",MAX('Verificação Peneiradores'!$AC$63:$AC$72))</f>
        <v/>
      </c>
      <c r="D635" t="str">
        <f>IF('Verificação Peneiradores'!$AB$64&amp;""="","Peneirador 06",TRIM('Verificação Peneiradores'!$AB$64&amp;""))</f>
        <v>N/CONT</v>
      </c>
      <c r="E635" t="str">
        <f>"Malha "&amp;'Verificação Peneiradores'!$AB$63&amp;" mm ("&amp;"Peneirador 06"&amp;")"</f>
        <v>Malha 10 mm (Peneirador 06)</v>
      </c>
      <c r="F635" t="s">
        <v>817</v>
      </c>
      <c r="G635" t="str">
        <f>IF(COUNTA('Verificação Peneiradores'!$AB$66:$AB$70)=0,"",COUNTIF('Verificação Peneiradores'!$AB$66:$AB$70,"OK"))</f>
        <v/>
      </c>
      <c r="H635" t="str">
        <f>IF(COUNTA('Verificação Peneiradores'!$AB$66:$AB$70)=0,"",COUNTA('Verificação Peneiradores'!$AB$66:$AB$70))</f>
        <v/>
      </c>
      <c r="M635" t="str">
        <f>IF(COUNTA('Verificação Peneiradores'!$AB$66:$AB$70)=0,"",IF(COUNTIF('Verificação Peneiradores'!$AB$66:$AB$70,"NÃO OK")&gt;0,"Não conforme","Conforme"))</f>
        <v/>
      </c>
      <c r="N635" t="str">
        <f>IFERROR(TRIM(INDEX('Verificação Peneiradores'!$AE$63:$AE$72,MATCH("*",'Verificação Peneiradores'!$AE$63:$AE$72,0))),"")</f>
        <v/>
      </c>
      <c r="O635" t="str">
        <f>IFERROR(TRIM(INDEX('Verificação Peneiradores'!$AD$63:$AD$72,MATCH("*",'Verificação Peneiradores'!$AD$63:$AD$72,0))),"")</f>
        <v/>
      </c>
      <c r="P635" t="str">
        <f>IF(COUNTIF('Verificação Peneiradores'!$AB$66:$AB$70,"SEM TAG")&gt;0,"Sem TAG de calibração; ","")&amp;IF('Verificação Peneiradores'!$AB$66="NÃO OK","Condições das telas; ","")&amp;IF('Verificação Peneiradores'!$AB$67="NÃO OK","Inclinação das telas; ","")&amp;IF('Verificação Peneiradores'!$AB$68="NÃO OK","Vibração do peneirador; ","")&amp;IF('Verificação Peneiradores'!$AB$69="NÃO OK","Travamento das peneiras; ","")&amp;IF('Verificação Peneiradores'!$AB$70="NÃO OK","Calibração; ","")</f>
        <v/>
      </c>
      <c r="Q635" t="s">
        <v>1006</v>
      </c>
    </row>
    <row r="636">
      <c r="A636" t="s">
        <v>816</v>
      </c>
      <c r="B636" t="s">
        <v>667</v>
      </c>
      <c r="C636" s="912" t="str">
        <f>IF(MAX('Verificação Peneiradores'!$AC$73:$AC$82)=0,"",MAX('Verificação Peneiradores'!$AC$73:$AC$82))</f>
        <v/>
      </c>
      <c r="D636" t="str">
        <f>IF('Verificação Peneiradores'!$B$74&amp;""="","Circulares",TRIM('Verificação Peneiradores'!$B$74&amp;""))</f>
        <v>PN0423</v>
      </c>
      <c r="E636" t="str">
        <f>"Malha "&amp;'Verificação Peneiradores'!$B$73&amp;" mm ("&amp;"Circulares"&amp;")"</f>
        <v>Malha 19 mm (Circulares)</v>
      </c>
      <c r="F636" t="s">
        <v>817</v>
      </c>
      <c r="G636" t="str">
        <f>IF(COUNTA('Verificação Peneiradores'!$B$76:$B$80)=0,"",COUNTIF('Verificação Peneiradores'!$B$76:$B$80,"OK"))</f>
        <v/>
      </c>
      <c r="H636" t="str">
        <f>IF(COUNTA('Verificação Peneiradores'!$B$76:$B$80)=0,"",COUNTA('Verificação Peneiradores'!$B$76:$B$80))</f>
        <v/>
      </c>
      <c r="M636" t="str">
        <f>IF(COUNTA('Verificação Peneiradores'!$B$76:$B$80)=0,"",IF(COUNTIF('Verificação Peneiradores'!$B$76:$B$80,"NÃO OK")&gt;0,"Não conforme","Conforme"))</f>
        <v/>
      </c>
      <c r="N636" t="str">
        <f>IFERROR(TRIM(INDEX('Verificação Peneiradores'!$AE$73:$AE$82,MATCH("*",'Verificação Peneiradores'!$AE$73:$AE$82,0))),"")</f>
        <v/>
      </c>
      <c r="O636" t="str">
        <f>IFERROR(TRIM(INDEX('Verificação Peneiradores'!$AD$73:$AD$82,MATCH("*",'Verificação Peneiradores'!$AD$73:$AD$82,0))),"")</f>
        <v/>
      </c>
      <c r="P636" t="str">
        <f>IF(COUNTIF('Verificação Peneiradores'!$B$76:$B$80,"SEM TAG")&gt;0,"Sem TAG de calibração; ","")&amp;IF('Verificação Peneiradores'!$B$76="NÃO OK","Condições das telas; ","")&amp;IF('Verificação Peneiradores'!$B$77="NÃO OK","Inclinação das telas; ","")&amp;IF('Verificação Peneiradores'!$B$78="NÃO OK","Vibração do peneirador; ","")&amp;IF('Verificação Peneiradores'!$B$79="NÃO OK","Travamento das peneiras; ","")&amp;IF('Verificação Peneiradores'!$B$80="NÃO OK","Calibração; ","")</f>
        <v/>
      </c>
      <c r="Q636" t="s">
        <v>1007</v>
      </c>
    </row>
    <row r="637">
      <c r="A637" t="s">
        <v>816</v>
      </c>
      <c r="B637" t="s">
        <v>667</v>
      </c>
      <c r="C637" s="912" t="str">
        <f>IF(MAX('Verificação Peneiradores'!$AC$73:$AC$82)=0,"",MAX('Verificação Peneiradores'!$AC$73:$AC$82))</f>
        <v/>
      </c>
      <c r="D637" t="str">
        <f>IF('Verificação Peneiradores'!$C$74&amp;""="","Circulares",TRIM('Verificação Peneiradores'!$C$74&amp;""))</f>
        <v>PN0482</v>
      </c>
      <c r="E637" t="str">
        <f>"Malha "&amp;'Verificação Peneiradores'!$C$73&amp;" mm ("&amp;"Circulares"&amp;")"</f>
        <v>Malha 16 mm (Circulares)</v>
      </c>
      <c r="F637" t="s">
        <v>817</v>
      </c>
      <c r="G637" t="str">
        <f>IF(COUNTA('Verificação Peneiradores'!$C$76:$C$80)=0,"",COUNTIF('Verificação Peneiradores'!$C$76:$C$80,"OK"))</f>
        <v/>
      </c>
      <c r="H637" t="str">
        <f>IF(COUNTA('Verificação Peneiradores'!$C$76:$C$80)=0,"",COUNTA('Verificação Peneiradores'!$C$76:$C$80))</f>
        <v/>
      </c>
      <c r="M637" t="str">
        <f>IF(COUNTA('Verificação Peneiradores'!$C$76:$C$80)=0,"",IF(COUNTIF('Verificação Peneiradores'!$C$76:$C$80,"NÃO OK")&gt;0,"Não conforme","Conforme"))</f>
        <v/>
      </c>
      <c r="N637" t="str">
        <f>IFERROR(TRIM(INDEX('Verificação Peneiradores'!$AE$73:$AE$82,MATCH("*",'Verificação Peneiradores'!$AE$73:$AE$82,0))),"")</f>
        <v/>
      </c>
      <c r="O637" t="str">
        <f>IFERROR(TRIM(INDEX('Verificação Peneiradores'!$AD$73:$AD$82,MATCH("*",'Verificação Peneiradores'!$AD$73:$AD$82,0))),"")</f>
        <v/>
      </c>
      <c r="P637" t="str">
        <f>IF(COUNTIF('Verificação Peneiradores'!$C$76:$C$80,"SEM TAG")&gt;0,"Sem TAG de calibração; ","")&amp;IF('Verificação Peneiradores'!$C$76="NÃO OK","Condições das telas; ","")&amp;IF('Verificação Peneiradores'!$C$77="NÃO OK","Inclinação das telas; ","")&amp;IF('Verificação Peneiradores'!$C$78="NÃO OK","Vibração do peneirador; ","")&amp;IF('Verificação Peneiradores'!$C$79="NÃO OK","Travamento das peneiras; ","")&amp;IF('Verificação Peneiradores'!$C$80="NÃO OK","Calibração; ","")</f>
        <v/>
      </c>
      <c r="Q637" t="s">
        <v>1008</v>
      </c>
    </row>
    <row r="638">
      <c r="A638" t="s">
        <v>816</v>
      </c>
      <c r="B638" t="s">
        <v>667</v>
      </c>
      <c r="C638" s="912" t="str">
        <f>IF(MAX('Verificação Peneiradores'!$AC$73:$AC$82)=0,"",MAX('Verificação Peneiradores'!$AC$73:$AC$82))</f>
        <v/>
      </c>
      <c r="D638" t="str">
        <f>IF('Verificação Peneiradores'!$D$74&amp;""="","Circulares",TRIM('Verificação Peneiradores'!$D$74&amp;""))</f>
        <v>PN 614</v>
      </c>
      <c r="E638" t="str">
        <f>"Malha "&amp;'Verificação Peneiradores'!$D$73&amp;" mm ("&amp;"Circulares"&amp;")"</f>
        <v>Malha 12,5 mm (Circulares)</v>
      </c>
      <c r="F638" t="s">
        <v>817</v>
      </c>
      <c r="G638" t="str">
        <f>IF(COUNTA('Verificação Peneiradores'!$D$76:$D$80)=0,"",COUNTIF('Verificação Peneiradores'!$D$76:$D$80,"OK"))</f>
        <v/>
      </c>
      <c r="H638" t="str">
        <f>IF(COUNTA('Verificação Peneiradores'!$D$76:$D$80)=0,"",COUNTA('Verificação Peneiradores'!$D$76:$D$80))</f>
        <v/>
      </c>
      <c r="M638" t="str">
        <f>IF(COUNTA('Verificação Peneiradores'!$D$76:$D$80)=0,"",IF(COUNTIF('Verificação Peneiradores'!$D$76:$D$80,"NÃO OK")&gt;0,"Não conforme","Conforme"))</f>
        <v/>
      </c>
      <c r="N638" t="str">
        <f>IFERROR(TRIM(INDEX('Verificação Peneiradores'!$AE$73:$AE$82,MATCH("*",'Verificação Peneiradores'!$AE$73:$AE$82,0))),"")</f>
        <v/>
      </c>
      <c r="O638" t="str">
        <f>IFERROR(TRIM(INDEX('Verificação Peneiradores'!$AD$73:$AD$82,MATCH("*",'Verificação Peneiradores'!$AD$73:$AD$82,0))),"")</f>
        <v/>
      </c>
      <c r="P638" t="str">
        <f>IF(COUNTIF('Verificação Peneiradores'!$D$76:$D$80,"SEM TAG")&gt;0,"Sem TAG de calibração; ","")&amp;IF('Verificação Peneiradores'!$D$76="NÃO OK","Condições das telas; ","")&amp;IF('Verificação Peneiradores'!$D$77="NÃO OK","Inclinação das telas; ","")&amp;IF('Verificação Peneiradores'!$D$78="NÃO OK","Vibração do peneirador; ","")&amp;IF('Verificação Peneiradores'!$D$79="NÃO OK","Travamento das peneiras; ","")&amp;IF('Verificação Peneiradores'!$D$80="NÃO OK","Calibração; ","")</f>
        <v/>
      </c>
      <c r="Q638" t="s">
        <v>1009</v>
      </c>
    </row>
    <row r="639">
      <c r="A639" t="s">
        <v>816</v>
      </c>
      <c r="B639" t="s">
        <v>667</v>
      </c>
      <c r="C639" s="912" t="str">
        <f>IF(MAX('Verificação Peneiradores'!$AC$73:$AC$82)=0,"",MAX('Verificação Peneiradores'!$AC$73:$AC$82))</f>
        <v/>
      </c>
      <c r="D639" t="str">
        <f>IF('Verificação Peneiradores'!$E$74&amp;""="","Circulares",TRIM('Verificação Peneiradores'!$E$74&amp;""))</f>
        <v>PN 303</v>
      </c>
      <c r="E639" t="str">
        <f>"Malha "&amp;'Verificação Peneiradores'!$E$73&amp;" mm ("&amp;"Circulares"&amp;")"</f>
        <v>Malha 10 mm (Circulares)</v>
      </c>
      <c r="F639" t="s">
        <v>817</v>
      </c>
      <c r="G639" t="str">
        <f>IF(COUNTA('Verificação Peneiradores'!$E$76:$E$80)=0,"",COUNTIF('Verificação Peneiradores'!$E$76:$E$80,"OK"))</f>
        <v/>
      </c>
      <c r="H639" t="str">
        <f>IF(COUNTA('Verificação Peneiradores'!$E$76:$E$80)=0,"",COUNTA('Verificação Peneiradores'!$E$76:$E$80))</f>
        <v/>
      </c>
      <c r="M639" t="str">
        <f>IF(COUNTA('Verificação Peneiradores'!$E$76:$E$80)=0,"",IF(COUNTIF('Verificação Peneiradores'!$E$76:$E$80,"NÃO OK")&gt;0,"Não conforme","Conforme"))</f>
        <v/>
      </c>
      <c r="N639" t="str">
        <f>IFERROR(TRIM(INDEX('Verificação Peneiradores'!$AE$73:$AE$82,MATCH("*",'Verificação Peneiradores'!$AE$73:$AE$82,0))),"")</f>
        <v/>
      </c>
      <c r="O639" t="str">
        <f>IFERROR(TRIM(INDEX('Verificação Peneiradores'!$AD$73:$AD$82,MATCH("*",'Verificação Peneiradores'!$AD$73:$AD$82,0))),"")</f>
        <v/>
      </c>
      <c r="P639" t="str">
        <f>IF(COUNTIF('Verificação Peneiradores'!$E$76:$E$80,"SEM TAG")&gt;0,"Sem TAG de calibração; ","")&amp;IF('Verificação Peneiradores'!$E$76="NÃO OK","Condições das telas; ","")&amp;IF('Verificação Peneiradores'!$E$77="NÃO OK","Inclinação das telas; ","")&amp;IF('Verificação Peneiradores'!$E$78="NÃO OK","Vibração do peneirador; ","")&amp;IF('Verificação Peneiradores'!$E$79="NÃO OK","Travamento das peneiras; ","")&amp;IF('Verificação Peneiradores'!$E$80="NÃO OK","Calibração; ","")</f>
        <v/>
      </c>
      <c r="Q639" t="s">
        <v>1010</v>
      </c>
    </row>
    <row r="640">
      <c r="A640" t="s">
        <v>816</v>
      </c>
      <c r="B640" t="s">
        <v>667</v>
      </c>
      <c r="C640" s="912" t="str">
        <f>IF(MAX('Verificação Peneiradores'!$AC$73:$AC$82)=0,"",MAX('Verificação Peneiradores'!$AC$73:$AC$82))</f>
        <v/>
      </c>
      <c r="D640" t="str">
        <f>IF('Verificação Peneiradores'!$F$74&amp;""="","Circulares",TRIM('Verificação Peneiradores'!$F$74&amp;""))</f>
        <v>PN431</v>
      </c>
      <c r="E640" t="str">
        <f>"Malha "&amp;'Verificação Peneiradores'!$F$73&amp;" mm ("&amp;"Circulares"&amp;")"</f>
        <v>Malha 9 mm (Circulares)</v>
      </c>
      <c r="F640" t="s">
        <v>817</v>
      </c>
      <c r="G640" t="str">
        <f>IF(COUNTA('Verificação Peneiradores'!$F$76:$F$80)=0,"",COUNTIF('Verificação Peneiradores'!$F$76:$F$80,"OK"))</f>
        <v/>
      </c>
      <c r="H640" t="str">
        <f>IF(COUNTA('Verificação Peneiradores'!$F$76:$F$80)=0,"",COUNTA('Verificação Peneiradores'!$F$76:$F$80))</f>
        <v/>
      </c>
      <c r="M640" t="str">
        <f>IF(COUNTA('Verificação Peneiradores'!$F$76:$F$80)=0,"",IF(COUNTIF('Verificação Peneiradores'!$F$76:$F$80,"NÃO OK")&gt;0,"Não conforme","Conforme"))</f>
        <v/>
      </c>
      <c r="N640" t="str">
        <f>IFERROR(TRIM(INDEX('Verificação Peneiradores'!$AE$73:$AE$82,MATCH("*",'Verificação Peneiradores'!$AE$73:$AE$82,0))),"")</f>
        <v/>
      </c>
      <c r="O640" t="str">
        <f>IFERROR(TRIM(INDEX('Verificação Peneiradores'!$AD$73:$AD$82,MATCH("*",'Verificação Peneiradores'!$AD$73:$AD$82,0))),"")</f>
        <v/>
      </c>
      <c r="P640" t="str">
        <f>IF(COUNTIF('Verificação Peneiradores'!$F$76:$F$80,"SEM TAG")&gt;0,"Sem TAG de calibração; ","")&amp;IF('Verificação Peneiradores'!$F$76="NÃO OK","Condições das telas; ","")&amp;IF('Verificação Peneiradores'!$F$77="NÃO OK","Inclinação das telas; ","")&amp;IF('Verificação Peneiradores'!$F$78="NÃO OK","Vibração do peneirador; ","")&amp;IF('Verificação Peneiradores'!$F$79="NÃO OK","Travamento das peneiras; ","")&amp;IF('Verificação Peneiradores'!$F$80="NÃO OK","Calibração; ","")</f>
        <v/>
      </c>
      <c r="Q640" t="s">
        <v>1011</v>
      </c>
    </row>
    <row r="641">
      <c r="A641" t="s">
        <v>816</v>
      </c>
      <c r="B641" t="s">
        <v>667</v>
      </c>
      <c r="C641" s="912" t="str">
        <f>IF(MAX('Verificação Peneiradores'!$AC$73:$AC$82)=0,"",MAX('Verificação Peneiradores'!$AC$73:$AC$82))</f>
        <v/>
      </c>
      <c r="D641" t="str">
        <f>IF('Verificação Peneiradores'!$G$74&amp;""="","Circulares",TRIM('Verificação Peneiradores'!$G$74&amp;""))</f>
        <v>PN432</v>
      </c>
      <c r="E641" t="str">
        <f>"Malha "&amp;'Verificação Peneiradores'!$G$73&amp;" mm ("&amp;"Circulares"&amp;")"</f>
        <v>Malha 8 mm (Circulares)</v>
      </c>
      <c r="F641" t="s">
        <v>817</v>
      </c>
      <c r="G641" t="str">
        <f>IF(COUNTA('Verificação Peneiradores'!$G$76:$G$80)=0,"",COUNTIF('Verificação Peneiradores'!$G$76:$G$80,"OK"))</f>
        <v/>
      </c>
      <c r="H641" t="str">
        <f>IF(COUNTA('Verificação Peneiradores'!$G$76:$G$80)=0,"",COUNTA('Verificação Peneiradores'!$G$76:$G$80))</f>
        <v/>
      </c>
      <c r="M641" t="str">
        <f>IF(COUNTA('Verificação Peneiradores'!$G$76:$G$80)=0,"",IF(COUNTIF('Verificação Peneiradores'!$G$76:$G$80,"NÃO OK")&gt;0,"Não conforme","Conforme"))</f>
        <v/>
      </c>
      <c r="N641" t="str">
        <f>IFERROR(TRIM(INDEX('Verificação Peneiradores'!$AE$73:$AE$82,MATCH("*",'Verificação Peneiradores'!$AE$73:$AE$82,0))),"")</f>
        <v/>
      </c>
      <c r="O641" t="str">
        <f>IFERROR(TRIM(INDEX('Verificação Peneiradores'!$AD$73:$AD$82,MATCH("*",'Verificação Peneiradores'!$AD$73:$AD$82,0))),"")</f>
        <v/>
      </c>
      <c r="P641" t="str">
        <f>IF(COUNTIF('Verificação Peneiradores'!$G$76:$G$80,"SEM TAG")&gt;0,"Sem TAG de calibração; ","")&amp;IF('Verificação Peneiradores'!$G$76="NÃO OK","Condições das telas; ","")&amp;IF('Verificação Peneiradores'!$G$77="NÃO OK","Inclinação das telas; ","")&amp;IF('Verificação Peneiradores'!$G$78="NÃO OK","Vibração do peneirador; ","")&amp;IF('Verificação Peneiradores'!$G$79="NÃO OK","Travamento das peneiras; ","")&amp;IF('Verificação Peneiradores'!$G$80="NÃO OK","Calibração; ","")</f>
        <v/>
      </c>
      <c r="Q641" t="s">
        <v>1012</v>
      </c>
    </row>
    <row r="642">
      <c r="A642" t="s">
        <v>816</v>
      </c>
      <c r="B642" t="s">
        <v>667</v>
      </c>
      <c r="C642" s="912" t="str">
        <f>IF(MAX('Verificação Peneiradores'!$AC$73:$AC$82)=0,"",MAX('Verificação Peneiradores'!$AC$73:$AC$82))</f>
        <v/>
      </c>
      <c r="D642" t="str">
        <f>IF('Verificação Peneiradores'!$H$74&amp;""="","Circulares",TRIM('Verificação Peneiradores'!$H$74&amp;""))</f>
        <v>PN0430</v>
      </c>
      <c r="E642" t="str">
        <f>"Malha "&amp;'Verificação Peneiradores'!$H$73&amp;" mm ("&amp;"Circulares"&amp;")"</f>
        <v>Malha 6,3 mm (Circulares)</v>
      </c>
      <c r="F642" t="s">
        <v>817</v>
      </c>
      <c r="G642" t="str">
        <f>IF(COUNTA('Verificação Peneiradores'!$H$76:$H$80)=0,"",COUNTIF('Verificação Peneiradores'!$H$76:$H$80,"OK"))</f>
        <v/>
      </c>
      <c r="H642" t="str">
        <f>IF(COUNTA('Verificação Peneiradores'!$H$76:$H$80)=0,"",COUNTA('Verificação Peneiradores'!$H$76:$H$80))</f>
        <v/>
      </c>
      <c r="M642" t="str">
        <f>IF(COUNTA('Verificação Peneiradores'!$H$76:$H$80)=0,"",IF(COUNTIF('Verificação Peneiradores'!$H$76:$H$80,"NÃO OK")&gt;0,"Não conforme","Conforme"))</f>
        <v/>
      </c>
      <c r="N642" t="str">
        <f>IFERROR(TRIM(INDEX('Verificação Peneiradores'!$AE$73:$AE$82,MATCH("*",'Verificação Peneiradores'!$AE$73:$AE$82,0))),"")</f>
        <v/>
      </c>
      <c r="O642" t="str">
        <f>IFERROR(TRIM(INDEX('Verificação Peneiradores'!$AD$73:$AD$82,MATCH("*",'Verificação Peneiradores'!$AD$73:$AD$82,0))),"")</f>
        <v/>
      </c>
      <c r="P642" t="str">
        <f>IF(COUNTIF('Verificação Peneiradores'!$H$76:$H$80,"SEM TAG")&gt;0,"Sem TAG de calibração; ","")&amp;IF('Verificação Peneiradores'!$H$76="NÃO OK","Condições das telas; ","")&amp;IF('Verificação Peneiradores'!$H$77="NÃO OK","Inclinação das telas; ","")&amp;IF('Verificação Peneiradores'!$H$78="NÃO OK","Vibração do peneirador; ","")&amp;IF('Verificação Peneiradores'!$H$79="NÃO OK","Travamento das peneiras; ","")&amp;IF('Verificação Peneiradores'!$H$80="NÃO OK","Calibração; ","")</f>
        <v/>
      </c>
      <c r="Q642" t="s">
        <v>1013</v>
      </c>
    </row>
    <row r="643">
      <c r="A643" t="s">
        <v>816</v>
      </c>
      <c r="B643" t="s">
        <v>667</v>
      </c>
      <c r="C643" s="912" t="str">
        <f>IF(MAX('Verificação Peneiradores'!$AC$73:$AC$82)=0,"",MAX('Verificação Peneiradores'!$AC$73:$AC$82))</f>
        <v/>
      </c>
      <c r="D643" t="str">
        <f>IF('Verificação Peneiradores'!$I$74&amp;""="","Circulares",TRIM('Verificação Peneiradores'!$I$74&amp;""))</f>
        <v>PN0425</v>
      </c>
      <c r="E643" t="str">
        <f>"Malha "&amp;'Verificação Peneiradores'!$I$73&amp;" mm ("&amp;"Circulares"&amp;")"</f>
        <v>Malha 5 mm (Circulares)</v>
      </c>
      <c r="F643" t="s">
        <v>817</v>
      </c>
      <c r="G643" t="str">
        <f>IF(COUNTA('Verificação Peneiradores'!$I$76:$I$80)=0,"",COUNTIF('Verificação Peneiradores'!$I$76:$I$80,"OK"))</f>
        <v/>
      </c>
      <c r="H643" t="str">
        <f>IF(COUNTA('Verificação Peneiradores'!$I$76:$I$80)=0,"",COUNTA('Verificação Peneiradores'!$I$76:$I$80))</f>
        <v/>
      </c>
      <c r="M643" t="str">
        <f>IF(COUNTA('Verificação Peneiradores'!$I$76:$I$80)=0,"",IF(COUNTIF('Verificação Peneiradores'!$I$76:$I$80,"NÃO OK")&gt;0,"Não conforme","Conforme"))</f>
        <v/>
      </c>
      <c r="N643" t="str">
        <f>IFERROR(TRIM(INDEX('Verificação Peneiradores'!$AE$73:$AE$82,MATCH("*",'Verificação Peneiradores'!$AE$73:$AE$82,0))),"")</f>
        <v/>
      </c>
      <c r="O643" t="str">
        <f>IFERROR(TRIM(INDEX('Verificação Peneiradores'!$AD$73:$AD$82,MATCH("*",'Verificação Peneiradores'!$AD$73:$AD$82,0))),"")</f>
        <v/>
      </c>
      <c r="P643" t="str">
        <f>IF(COUNTIF('Verificação Peneiradores'!$I$76:$I$80,"SEM TAG")&gt;0,"Sem TAG de calibração; ","")&amp;IF('Verificação Peneiradores'!$I$76="NÃO OK","Condições das telas; ","")&amp;IF('Verificação Peneiradores'!$I$77="NÃO OK","Inclinação das telas; ","")&amp;IF('Verificação Peneiradores'!$I$78="NÃO OK","Vibração do peneirador; ","")&amp;IF('Verificação Peneiradores'!$I$79="NÃO OK","Travamento das peneiras; ","")&amp;IF('Verificação Peneiradores'!$I$80="NÃO OK","Calibração; ","")</f>
        <v/>
      </c>
      <c r="Q643" t="s">
        <v>1014</v>
      </c>
    </row>
    <row r="644">
      <c r="A644" t="s">
        <v>816</v>
      </c>
      <c r="B644" t="s">
        <v>667</v>
      </c>
      <c r="C644" s="912" t="str">
        <f>IF(MAX('Verificação Peneiradores'!$AC$73:$AC$82)=0,"",MAX('Verificação Peneiradores'!$AC$73:$AC$82))</f>
        <v/>
      </c>
      <c r="D644" t="str">
        <f>IF('Verificação Peneiradores'!$J$74&amp;""="","Circulares",TRIM('Verificação Peneiradores'!$J$74&amp;""))</f>
        <v>PN0,46</v>
      </c>
      <c r="E644" t="str">
        <f>"Malha "&amp;'Verificação Peneiradores'!$J$73&amp;" mm ("&amp;"Circulares"&amp;")"</f>
        <v>Malha 3,15 mm (Circulares)</v>
      </c>
      <c r="F644" t="s">
        <v>817</v>
      </c>
      <c r="G644" t="str">
        <f>IF(COUNTA('Verificação Peneiradores'!$J$76:$J$80)=0,"",COUNTIF('Verificação Peneiradores'!$J$76:$J$80,"OK"))</f>
        <v/>
      </c>
      <c r="H644" t="str">
        <f>IF(COUNTA('Verificação Peneiradores'!$J$76:$J$80)=0,"",COUNTA('Verificação Peneiradores'!$J$76:$J$80))</f>
        <v/>
      </c>
      <c r="M644" t="str">
        <f>IF(COUNTA('Verificação Peneiradores'!$J$76:$J$80)=0,"",IF(COUNTIF('Verificação Peneiradores'!$J$76:$J$80,"NÃO OK")&gt;0,"Não conforme","Conforme"))</f>
        <v/>
      </c>
      <c r="N644" t="str">
        <f>IFERROR(TRIM(INDEX('Verificação Peneiradores'!$AE$73:$AE$82,MATCH("*",'Verificação Peneiradores'!$AE$73:$AE$82,0))),"")</f>
        <v/>
      </c>
      <c r="O644" t="str">
        <f>IFERROR(TRIM(INDEX('Verificação Peneiradores'!$AD$73:$AD$82,MATCH("*",'Verificação Peneiradores'!$AD$73:$AD$82,0))),"")</f>
        <v/>
      </c>
      <c r="P644" t="str">
        <f>IF(COUNTIF('Verificação Peneiradores'!$J$76:$J$80,"SEM TAG")&gt;0,"Sem TAG de calibração; ","")&amp;IF('Verificação Peneiradores'!$J$76="NÃO OK","Condições das telas; ","")&amp;IF('Verificação Peneiradores'!$J$77="NÃO OK","Inclinação das telas; ","")&amp;IF('Verificação Peneiradores'!$J$78="NÃO OK","Vibração do peneirador; ","")&amp;IF('Verificação Peneiradores'!$J$79="NÃO OK","Travamento das peneiras; ","")&amp;IF('Verificação Peneiradores'!$J$80="NÃO OK","Calibração; ","")</f>
        <v/>
      </c>
      <c r="Q644" t="s">
        <v>1015</v>
      </c>
    </row>
    <row r="645">
      <c r="A645" t="s">
        <v>816</v>
      </c>
      <c r="B645" t="s">
        <v>667</v>
      </c>
      <c r="C645" s="912" t="str">
        <f>IF(MAX('Verificação Peneiradores'!$AC$73:$AC$82)=0,"",MAX('Verificação Peneiradores'!$AC$73:$AC$82))</f>
        <v/>
      </c>
      <c r="D645" t="str">
        <f>IF('Verificação Peneiradores'!$K$74&amp;""="","Circulares",TRIM('Verificação Peneiradores'!$K$74&amp;""))</f>
        <v>PN0500</v>
      </c>
      <c r="E645" t="str">
        <f>"Malha "&amp;'Verificação Peneiradores'!$K$73&amp;" mm ("&amp;"Circulares"&amp;")"</f>
        <v>Malha 0,5 mm (Circulares)</v>
      </c>
      <c r="F645" t="s">
        <v>817</v>
      </c>
      <c r="G645" t="str">
        <f>IF(COUNTA('Verificação Peneiradores'!$K$76:$K$80)=0,"",COUNTIF('Verificação Peneiradores'!$K$76:$K$80,"OK"))</f>
        <v/>
      </c>
      <c r="H645" t="str">
        <f>IF(COUNTA('Verificação Peneiradores'!$K$76:$K$80)=0,"",COUNTA('Verificação Peneiradores'!$K$76:$K$80))</f>
        <v/>
      </c>
      <c r="M645" t="str">
        <f>IF(COUNTA('Verificação Peneiradores'!$K$76:$K$80)=0,"",IF(COUNTIF('Verificação Peneiradores'!$K$76:$K$80,"NÃO OK")&gt;0,"Não conforme","Conforme"))</f>
        <v/>
      </c>
      <c r="N645" t="str">
        <f>IFERROR(TRIM(INDEX('Verificação Peneiradores'!$AE$73:$AE$82,MATCH("*",'Verificação Peneiradores'!$AE$73:$AE$82,0))),"")</f>
        <v/>
      </c>
      <c r="O645" t="str">
        <f>IFERROR(TRIM(INDEX('Verificação Peneiradores'!$AD$73:$AD$82,MATCH("*",'Verificação Peneiradores'!$AD$73:$AD$82,0))),"")</f>
        <v/>
      </c>
      <c r="P645" t="str">
        <f>IF(COUNTIF('Verificação Peneiradores'!$K$76:$K$80,"SEM TAG")&gt;0,"Sem TAG de calibração; ","")&amp;IF('Verificação Peneiradores'!$K$76="NÃO OK","Condições das telas; ","")&amp;IF('Verificação Peneiradores'!$K$77="NÃO OK","Inclinação das telas; ","")&amp;IF('Verificação Peneiradores'!$K$78="NÃO OK","Vibração do peneirador; ","")&amp;IF('Verificação Peneiradores'!$K$79="NÃO OK","Travamento das peneiras; ","")&amp;IF('Verificação Peneiradores'!$K$80="NÃO OK","Calibração; ","")</f>
        <v/>
      </c>
      <c r="Q645" t="s">
        <v>1016</v>
      </c>
    </row>
    <row r="646">
      <c r="A646" t="s">
        <v>816</v>
      </c>
      <c r="B646" t="s">
        <v>667</v>
      </c>
      <c r="C646" s="912" t="str">
        <f>IF(MAX('Verificação Peneiradores'!$AC$73:$AC$82)=0,"",MAX('Verificação Peneiradores'!$AC$73:$AC$82))</f>
        <v/>
      </c>
      <c r="D646" t="str">
        <f>IF('Verificação Peneiradores'!$L$74&amp;""="","Circulares",TRIM('Verificação Peneiradores'!$L$74&amp;""))</f>
        <v>PN0501</v>
      </c>
      <c r="E646" t="str">
        <f>"Malha "&amp;'Verificação Peneiradores'!$L$73&amp;" mm ("&amp;"Circulares"&amp;")"</f>
        <v>Malha 0,5 mm (Circulares)</v>
      </c>
      <c r="F646" t="s">
        <v>817</v>
      </c>
      <c r="G646" t="str">
        <f>IF(COUNTA('Verificação Peneiradores'!$L$76:$L$80)=0,"",COUNTIF('Verificação Peneiradores'!$L$76:$L$80,"OK"))</f>
        <v/>
      </c>
      <c r="H646" t="str">
        <f>IF(COUNTA('Verificação Peneiradores'!$L$76:$L$80)=0,"",COUNTA('Verificação Peneiradores'!$L$76:$L$80))</f>
        <v/>
      </c>
      <c r="M646" t="str">
        <f>IF(COUNTA('Verificação Peneiradores'!$L$76:$L$80)=0,"",IF(COUNTIF('Verificação Peneiradores'!$L$76:$L$80,"NÃO OK")&gt;0,"Não conforme","Conforme"))</f>
        <v/>
      </c>
      <c r="N646" t="str">
        <f>IFERROR(TRIM(INDEX('Verificação Peneiradores'!$AE$73:$AE$82,MATCH("*",'Verificação Peneiradores'!$AE$73:$AE$82,0))),"")</f>
        <v/>
      </c>
      <c r="O646" t="str">
        <f>IFERROR(TRIM(INDEX('Verificação Peneiradores'!$AD$73:$AD$82,MATCH("*",'Verificação Peneiradores'!$AD$73:$AD$82,0))),"")</f>
        <v/>
      </c>
      <c r="P646" t="str">
        <f>IF(COUNTIF('Verificação Peneiradores'!$L$76:$L$80,"SEM TAG")&gt;0,"Sem TAG de calibração; ","")&amp;IF('Verificação Peneiradores'!$L$76="NÃO OK","Condições das telas; ","")&amp;IF('Verificação Peneiradores'!$L$77="NÃO OK","Inclinação das telas; ","")&amp;IF('Verificação Peneiradores'!$L$78="NÃO OK","Vibração do peneirador; ","")&amp;IF('Verificação Peneiradores'!$L$79="NÃO OK","Travamento das peneiras; ","")&amp;IF('Verificação Peneiradores'!$L$80="NÃO OK","Calibração; ","")</f>
        <v/>
      </c>
      <c r="Q646" t="s">
        <v>1017</v>
      </c>
    </row>
    <row r="647">
      <c r="A647" t="s">
        <v>816</v>
      </c>
      <c r="B647" t="s">
        <v>667</v>
      </c>
      <c r="C647" s="912" t="str">
        <f>IF(MAX('Verificação Peneiradores'!$AC$73:$AC$82)=0,"",MAX('Verificação Peneiradores'!$AC$73:$AC$82))</f>
        <v/>
      </c>
      <c r="D647" t="str">
        <f>IF('Verificação Peneiradores'!$M$74&amp;""="","Peneirador 09",TRIM('Verificação Peneiradores'!$M$74&amp;""))</f>
        <v>PN478</v>
      </c>
      <c r="E647" t="str">
        <f>"Malha "&amp;'Verificação Peneiradores'!$M$73&amp;" mm ("&amp;"Peneirador 09"&amp;")"</f>
        <v>Malha 19 mm (Peneirador 09)</v>
      </c>
      <c r="F647" t="s">
        <v>817</v>
      </c>
      <c r="G647" t="str">
        <f>IF(COUNTA('Verificação Peneiradores'!$M$76:$M$80)=0,"",COUNTIF('Verificação Peneiradores'!$M$76:$M$80,"OK"))</f>
        <v/>
      </c>
      <c r="H647" t="str">
        <f>IF(COUNTA('Verificação Peneiradores'!$M$76:$M$80)=0,"",COUNTA('Verificação Peneiradores'!$M$76:$M$80))</f>
        <v/>
      </c>
      <c r="M647" t="str">
        <f>IF(COUNTA('Verificação Peneiradores'!$M$76:$M$80)=0,"",IF(COUNTIF('Verificação Peneiradores'!$M$76:$M$80,"NÃO OK")&gt;0,"Não conforme","Conforme"))</f>
        <v/>
      </c>
      <c r="N647" t="str">
        <f>IFERROR(TRIM(INDEX('Verificação Peneiradores'!$AE$73:$AE$82,MATCH("*",'Verificação Peneiradores'!$AE$73:$AE$82,0))),"")</f>
        <v/>
      </c>
      <c r="O647" t="str">
        <f>IFERROR(TRIM(INDEX('Verificação Peneiradores'!$AD$73:$AD$82,MATCH("*",'Verificação Peneiradores'!$AD$73:$AD$82,0))),"")</f>
        <v/>
      </c>
      <c r="P647" t="str">
        <f>IF(COUNTIF('Verificação Peneiradores'!$M$76:$M$80,"SEM TAG")&gt;0,"Sem TAG de calibração; ","")&amp;IF('Verificação Peneiradores'!$M$76="NÃO OK","Condições das telas; ","")&amp;IF('Verificação Peneiradores'!$M$77="NÃO OK","Inclinação das telas; ","")&amp;IF('Verificação Peneiradores'!$M$78="NÃO OK","Vibração do peneirador; ","")&amp;IF('Verificação Peneiradores'!$M$79="NÃO OK","Travamento das peneiras; ","")&amp;IF('Verificação Peneiradores'!$M$80="NÃO OK","Calibração; ","")</f>
        <v/>
      </c>
      <c r="Q647" t="s">
        <v>1018</v>
      </c>
    </row>
    <row r="648">
      <c r="A648" t="s">
        <v>816</v>
      </c>
      <c r="B648" t="s">
        <v>667</v>
      </c>
      <c r="C648" s="912" t="str">
        <f>IF(MAX('Verificação Peneiradores'!$AC$73:$AC$82)=0,"",MAX('Verificação Peneiradores'!$AC$73:$AC$82))</f>
        <v/>
      </c>
      <c r="D648" t="str">
        <f>IF('Verificação Peneiradores'!$N$74&amp;""="","Peneirador 09",TRIM('Verificação Peneiradores'!$N$74&amp;""))</f>
        <v>PN516</v>
      </c>
      <c r="E648" t="str">
        <f>"Malha "&amp;'Verificação Peneiradores'!$N$73&amp;" mm ("&amp;"Peneirador 09"&amp;")"</f>
        <v>Malha 16 mm (Peneirador 09)</v>
      </c>
      <c r="F648" t="s">
        <v>817</v>
      </c>
      <c r="G648" t="str">
        <f>IF(COUNTA('Verificação Peneiradores'!$N$76:$N$80)=0,"",COUNTIF('Verificação Peneiradores'!$N$76:$N$80,"OK"))</f>
        <v/>
      </c>
      <c r="H648" t="str">
        <f>IF(COUNTA('Verificação Peneiradores'!$N$76:$N$80)=0,"",COUNTA('Verificação Peneiradores'!$N$76:$N$80))</f>
        <v/>
      </c>
      <c r="M648" t="str">
        <f>IF(COUNTA('Verificação Peneiradores'!$N$76:$N$80)=0,"",IF(COUNTIF('Verificação Peneiradores'!$N$76:$N$80,"NÃO OK")&gt;0,"Não conforme","Conforme"))</f>
        <v/>
      </c>
      <c r="N648" t="str">
        <f>IFERROR(TRIM(INDEX('Verificação Peneiradores'!$AE$73:$AE$82,MATCH("*",'Verificação Peneiradores'!$AE$73:$AE$82,0))),"")</f>
        <v/>
      </c>
      <c r="O648" t="str">
        <f>IFERROR(TRIM(INDEX('Verificação Peneiradores'!$AD$73:$AD$82,MATCH("*",'Verificação Peneiradores'!$AD$73:$AD$82,0))),"")</f>
        <v/>
      </c>
      <c r="P648" t="str">
        <f>IF(COUNTIF('Verificação Peneiradores'!$N$76:$N$80,"SEM TAG")&gt;0,"Sem TAG de calibração; ","")&amp;IF('Verificação Peneiradores'!$N$76="NÃO OK","Condições das telas; ","")&amp;IF('Verificação Peneiradores'!$N$77="NÃO OK","Inclinação das telas; ","")&amp;IF('Verificação Peneiradores'!$N$78="NÃO OK","Vibração do peneirador; ","")&amp;IF('Verificação Peneiradores'!$N$79="NÃO OK","Travamento das peneiras; ","")&amp;IF('Verificação Peneiradores'!$N$80="NÃO OK","Calibração; ","")</f>
        <v/>
      </c>
      <c r="Q648" t="s">
        <v>1019</v>
      </c>
    </row>
    <row r="649">
      <c r="A649" t="s">
        <v>816</v>
      </c>
      <c r="B649" t="s">
        <v>667</v>
      </c>
      <c r="C649" s="912" t="str">
        <f>IF(MAX('Verificação Peneiradores'!$AC$73:$AC$82)=0,"",MAX('Verificação Peneiradores'!$AC$73:$AC$82))</f>
        <v/>
      </c>
      <c r="D649" t="str">
        <f>IF('Verificação Peneiradores'!$O$74&amp;""="","Peneirador 09",TRIM('Verificação Peneiradores'!$O$74&amp;""))</f>
        <v>PN650</v>
      </c>
      <c r="E649" t="str">
        <f>"Malha "&amp;'Verificação Peneiradores'!$O$73&amp;" mm ("&amp;"Peneirador 09"&amp;")"</f>
        <v>Malha 14 mm (Peneirador 09)</v>
      </c>
      <c r="F649" t="s">
        <v>817</v>
      </c>
      <c r="G649" t="str">
        <f>IF(COUNTA('Verificação Peneiradores'!$O$76:$O$80)=0,"",COUNTIF('Verificação Peneiradores'!$O$76:$O$80,"OK"))</f>
        <v/>
      </c>
      <c r="H649" t="str">
        <f>IF(COUNTA('Verificação Peneiradores'!$O$76:$O$80)=0,"",COUNTA('Verificação Peneiradores'!$O$76:$O$80))</f>
        <v/>
      </c>
      <c r="M649" t="str">
        <f>IF(COUNTA('Verificação Peneiradores'!$O$76:$O$80)=0,"",IF(COUNTIF('Verificação Peneiradores'!$O$76:$O$80,"NÃO OK")&gt;0,"Não conforme","Conforme"))</f>
        <v/>
      </c>
      <c r="N649" t="str">
        <f>IFERROR(TRIM(INDEX('Verificação Peneiradores'!$AE$73:$AE$82,MATCH("*",'Verificação Peneiradores'!$AE$73:$AE$82,0))),"")</f>
        <v/>
      </c>
      <c r="O649" t="str">
        <f>IFERROR(TRIM(INDEX('Verificação Peneiradores'!$AD$73:$AD$82,MATCH("*",'Verificação Peneiradores'!$AD$73:$AD$82,0))),"")</f>
        <v/>
      </c>
      <c r="P649" t="str">
        <f>IF(COUNTIF('Verificação Peneiradores'!$O$76:$O$80,"SEM TAG")&gt;0,"Sem TAG de calibração; ","")&amp;IF('Verificação Peneiradores'!$O$76="NÃO OK","Condições das telas; ","")&amp;IF('Verificação Peneiradores'!$O$77="NÃO OK","Inclinação das telas; ","")&amp;IF('Verificação Peneiradores'!$O$78="NÃO OK","Vibração do peneirador; ","")&amp;IF('Verificação Peneiradores'!$O$79="NÃO OK","Travamento das peneiras; ","")&amp;IF('Verificação Peneiradores'!$O$80="NÃO OK","Calibração; ","")</f>
        <v/>
      </c>
      <c r="Q649" t="s">
        <v>1020</v>
      </c>
    </row>
    <row r="650">
      <c r="A650" t="s">
        <v>816</v>
      </c>
      <c r="B650" t="s">
        <v>667</v>
      </c>
      <c r="C650" s="912" t="str">
        <f>IF(MAX('Verificação Peneiradores'!$AC$73:$AC$82)=0,"",MAX('Verificação Peneiradores'!$AC$73:$AC$82))</f>
        <v/>
      </c>
      <c r="D650" t="str">
        <f>IF('Verificação Peneiradores'!$P$74&amp;""="","Peneirador 09",TRIM('Verificação Peneiradores'!$P$74&amp;""))</f>
        <v>PN484</v>
      </c>
      <c r="E650" t="str">
        <f>"Malha "&amp;'Verificação Peneiradores'!$P$73&amp;" mm ("&amp;"Peneirador 09"&amp;")"</f>
        <v>Malha 12,5 mm (Peneirador 09)</v>
      </c>
      <c r="F650" t="s">
        <v>817</v>
      </c>
      <c r="G650" t="str">
        <f>IF(COUNTA('Verificação Peneiradores'!$P$76:$P$80)=0,"",COUNTIF('Verificação Peneiradores'!$P$76:$P$80,"OK"))</f>
        <v/>
      </c>
      <c r="H650" t="str">
        <f>IF(COUNTA('Verificação Peneiradores'!$P$76:$P$80)=0,"",COUNTA('Verificação Peneiradores'!$P$76:$P$80))</f>
        <v/>
      </c>
      <c r="M650" t="str">
        <f>IF(COUNTA('Verificação Peneiradores'!$P$76:$P$80)=0,"",IF(COUNTIF('Verificação Peneiradores'!$P$76:$P$80,"NÃO OK")&gt;0,"Não conforme","Conforme"))</f>
        <v/>
      </c>
      <c r="N650" t="str">
        <f>IFERROR(TRIM(INDEX('Verificação Peneiradores'!$AE$73:$AE$82,MATCH("*",'Verificação Peneiradores'!$AE$73:$AE$82,0))),"")</f>
        <v/>
      </c>
      <c r="O650" t="str">
        <f>IFERROR(TRIM(INDEX('Verificação Peneiradores'!$AD$73:$AD$82,MATCH("*",'Verificação Peneiradores'!$AD$73:$AD$82,0))),"")</f>
        <v/>
      </c>
      <c r="P650" t="str">
        <f>IF(COUNTIF('Verificação Peneiradores'!$P$76:$P$80,"SEM TAG")&gt;0,"Sem TAG de calibração; ","")&amp;IF('Verificação Peneiradores'!$P$76="NÃO OK","Condições das telas; ","")&amp;IF('Verificação Peneiradores'!$P$77="NÃO OK","Inclinação das telas; ","")&amp;IF('Verificação Peneiradores'!$P$78="NÃO OK","Vibração do peneirador; ","")&amp;IF('Verificação Peneiradores'!$P$79="NÃO OK","Travamento das peneiras; ","")&amp;IF('Verificação Peneiradores'!$P$80="NÃO OK","Calibração; ","")</f>
        <v/>
      </c>
      <c r="Q650" t="s">
        <v>1021</v>
      </c>
    </row>
    <row r="651">
      <c r="A651" t="s">
        <v>816</v>
      </c>
      <c r="B651" t="s">
        <v>667</v>
      </c>
      <c r="C651" s="912" t="str">
        <f>IF(MAX('Verificação Peneiradores'!$AC$73:$AC$82)=0,"",MAX('Verificação Peneiradores'!$AC$73:$AC$82))</f>
        <v/>
      </c>
      <c r="D651" t="str">
        <f>IF('Verificação Peneiradores'!$Q$74&amp;""="","Peneirador 09",TRIM('Verificação Peneiradores'!$Q$74&amp;""))</f>
        <v>PN558</v>
      </c>
      <c r="E651" t="str">
        <f>"Malha "&amp;'Verificação Peneiradores'!$Q$73&amp;" mm ("&amp;"Peneirador 09"&amp;")"</f>
        <v>Malha 9 mm (Peneirador 09)</v>
      </c>
      <c r="F651" t="s">
        <v>817</v>
      </c>
      <c r="G651" t="str">
        <f>IF(COUNTA('Verificação Peneiradores'!$Q$76:$Q$80)=0,"",COUNTIF('Verificação Peneiradores'!$Q$76:$Q$80,"OK"))</f>
        <v/>
      </c>
      <c r="H651" t="str">
        <f>IF(COUNTA('Verificação Peneiradores'!$Q$76:$Q$80)=0,"",COUNTA('Verificação Peneiradores'!$Q$76:$Q$80))</f>
        <v/>
      </c>
      <c r="M651" t="str">
        <f>IF(COUNTA('Verificação Peneiradores'!$Q$76:$Q$80)=0,"",IF(COUNTIF('Verificação Peneiradores'!$Q$76:$Q$80,"NÃO OK")&gt;0,"Não conforme","Conforme"))</f>
        <v/>
      </c>
      <c r="N651" t="str">
        <f>IFERROR(TRIM(INDEX('Verificação Peneiradores'!$AE$73:$AE$82,MATCH("*",'Verificação Peneiradores'!$AE$73:$AE$82,0))),"")</f>
        <v/>
      </c>
      <c r="O651" t="str">
        <f>IFERROR(TRIM(INDEX('Verificação Peneiradores'!$AD$73:$AD$82,MATCH("*",'Verificação Peneiradores'!$AD$73:$AD$82,0))),"")</f>
        <v/>
      </c>
      <c r="P651" t="str">
        <f>IF(COUNTIF('Verificação Peneiradores'!$Q$76:$Q$80,"SEM TAG")&gt;0,"Sem TAG de calibração; ","")&amp;IF('Verificação Peneiradores'!$Q$76="NÃO OK","Condições das telas; ","")&amp;IF('Verificação Peneiradores'!$Q$77="NÃO OK","Inclinação das telas; ","")&amp;IF('Verificação Peneiradores'!$Q$78="NÃO OK","Vibração do peneirador; ","")&amp;IF('Verificação Peneiradores'!$Q$79="NÃO OK","Travamento das peneiras; ","")&amp;IF('Verificação Peneiradores'!$Q$80="NÃO OK","Calibração; ","")</f>
        <v/>
      </c>
      <c r="Q651" t="s">
        <v>1022</v>
      </c>
    </row>
    <row r="652">
      <c r="A652" t="s">
        <v>816</v>
      </c>
      <c r="B652" t="s">
        <v>667</v>
      </c>
      <c r="C652" s="912" t="str">
        <f>IF(MAX('Verificação Peneiradores'!$AC$73:$AC$82)=0,"",MAX('Verificação Peneiradores'!$AC$73:$AC$82))</f>
        <v/>
      </c>
      <c r="D652" t="str">
        <f>IF('Verificação Peneiradores'!$R$74&amp;""="","Peneirador 09",TRIM('Verificação Peneiradores'!$R$74&amp;""))</f>
        <v>PN505</v>
      </c>
      <c r="E652" t="str">
        <f>"Malha "&amp;'Verificação Peneiradores'!$R$73&amp;" mm ("&amp;"Peneirador 09"&amp;")"</f>
        <v>Malha 8 mm (Peneirador 09)</v>
      </c>
      <c r="F652" t="s">
        <v>817</v>
      </c>
      <c r="G652" t="str">
        <f>IF(COUNTA('Verificação Peneiradores'!$R$76:$R$80)=0,"",COUNTIF('Verificação Peneiradores'!$R$76:$R$80,"OK"))</f>
        <v/>
      </c>
      <c r="H652" t="str">
        <f>IF(COUNTA('Verificação Peneiradores'!$R$76:$R$80)=0,"",COUNTA('Verificação Peneiradores'!$R$76:$R$80))</f>
        <v/>
      </c>
      <c r="M652" t="str">
        <f>IF(COUNTA('Verificação Peneiradores'!$R$76:$R$80)=0,"",IF(COUNTIF('Verificação Peneiradores'!$R$76:$R$80,"NÃO OK")&gt;0,"Não conforme","Conforme"))</f>
        <v/>
      </c>
      <c r="N652" t="str">
        <f>IFERROR(TRIM(INDEX('Verificação Peneiradores'!$AE$73:$AE$82,MATCH("*",'Verificação Peneiradores'!$AE$73:$AE$82,0))),"")</f>
        <v/>
      </c>
      <c r="O652" t="str">
        <f>IFERROR(TRIM(INDEX('Verificação Peneiradores'!$AD$73:$AD$82,MATCH("*",'Verificação Peneiradores'!$AD$73:$AD$82,0))),"")</f>
        <v/>
      </c>
      <c r="P652" t="str">
        <f>IF(COUNTIF('Verificação Peneiradores'!$R$76:$R$80,"SEM TAG")&gt;0,"Sem TAG de calibração; ","")&amp;IF('Verificação Peneiradores'!$R$76="NÃO OK","Condições das telas; ","")&amp;IF('Verificação Peneiradores'!$R$77="NÃO OK","Inclinação das telas; ","")&amp;IF('Verificação Peneiradores'!$R$78="NÃO OK","Vibração do peneirador; ","")&amp;IF('Verificação Peneiradores'!$R$79="NÃO OK","Travamento das peneiras; ","")&amp;IF('Verificação Peneiradores'!$R$80="NÃO OK","Calibração; ","")</f>
        <v/>
      </c>
      <c r="Q652" t="s">
        <v>1023</v>
      </c>
    </row>
    <row r="653">
      <c r="A653" t="s">
        <v>816</v>
      </c>
      <c r="B653" t="s">
        <v>667</v>
      </c>
      <c r="C653" s="912" t="str">
        <f>IF(MAX('Verificação Peneiradores'!$AC$73:$AC$82)=0,"",MAX('Verificação Peneiradores'!$AC$73:$AC$82))</f>
        <v/>
      </c>
      <c r="D653" t="str">
        <f>IF('Verificação Peneiradores'!$S$74&amp;""="","Peneirador 09",TRIM('Verificação Peneiradores'!$S$74&amp;""))</f>
        <v>PN631</v>
      </c>
      <c r="E653" t="str">
        <f>"Malha "&amp;'Verificação Peneiradores'!$S$73&amp;" mm ("&amp;"Peneirador 09"&amp;")"</f>
        <v>Malha 6,3 mm (Peneirador 09)</v>
      </c>
      <c r="F653" t="s">
        <v>817</v>
      </c>
      <c r="G653" t="str">
        <f>IF(COUNTA('Verificação Peneiradores'!$S$76:$S$80)=0,"",COUNTIF('Verificação Peneiradores'!$S$76:$S$80,"OK"))</f>
        <v/>
      </c>
      <c r="H653" t="str">
        <f>IF(COUNTA('Verificação Peneiradores'!$S$76:$S$80)=0,"",COUNTA('Verificação Peneiradores'!$S$76:$S$80))</f>
        <v/>
      </c>
      <c r="M653" t="str">
        <f>IF(COUNTA('Verificação Peneiradores'!$S$76:$S$80)=0,"",IF(COUNTIF('Verificação Peneiradores'!$S$76:$S$80,"NÃO OK")&gt;0,"Não conforme","Conforme"))</f>
        <v/>
      </c>
      <c r="N653" t="str">
        <f>IFERROR(TRIM(INDEX('Verificação Peneiradores'!$AE$73:$AE$82,MATCH("*",'Verificação Peneiradores'!$AE$73:$AE$82,0))),"")</f>
        <v/>
      </c>
      <c r="O653" t="str">
        <f>IFERROR(TRIM(INDEX('Verificação Peneiradores'!$AD$73:$AD$82,MATCH("*",'Verificação Peneiradores'!$AD$73:$AD$82,0))),"")</f>
        <v/>
      </c>
      <c r="P653" t="str">
        <f>IF(COUNTIF('Verificação Peneiradores'!$S$76:$S$80,"SEM TAG")&gt;0,"Sem TAG de calibração; ","")&amp;IF('Verificação Peneiradores'!$S$76="NÃO OK","Condições das telas; ","")&amp;IF('Verificação Peneiradores'!$S$77="NÃO OK","Inclinação das telas; ","")&amp;IF('Verificação Peneiradores'!$S$78="NÃO OK","Vibração do peneirador; ","")&amp;IF('Verificação Peneiradores'!$S$79="NÃO OK","Travamento das peneiras; ","")&amp;IF('Verificação Peneiradores'!$S$80="NÃO OK","Calibração; ","")</f>
        <v/>
      </c>
      <c r="Q653" t="s">
        <v>1024</v>
      </c>
    </row>
    <row r="654">
      <c r="A654" t="s">
        <v>816</v>
      </c>
      <c r="B654" t="s">
        <v>667</v>
      </c>
      <c r="C654" s="912" t="str">
        <f>IF(MAX('Verificação Peneiradores'!$AC$73:$AC$82)=0,"",MAX('Verificação Peneiradores'!$AC$73:$AC$82))</f>
        <v/>
      </c>
      <c r="D654" t="str">
        <f>IF('Verificação Peneiradores'!$T$74&amp;""="","Peneirador 05",TRIM('Verificação Peneiradores'!$T$74&amp;""))</f>
        <v>PN398</v>
      </c>
      <c r="E654" t="str">
        <f>"Malha "&amp;'Verificação Peneiradores'!$T$73&amp;" mm ("&amp;"Peneirador 05"&amp;")"</f>
        <v>Malha 19 mm (Peneirador 05)</v>
      </c>
      <c r="F654" t="s">
        <v>817</v>
      </c>
      <c r="G654" t="str">
        <f>IF(COUNTA('Verificação Peneiradores'!$T$76:$T$80)=0,"",COUNTIF('Verificação Peneiradores'!$T$76:$T$80,"OK"))</f>
        <v/>
      </c>
      <c r="H654" t="str">
        <f>IF(COUNTA('Verificação Peneiradores'!$T$76:$T$80)=0,"",COUNTA('Verificação Peneiradores'!$T$76:$T$80))</f>
        <v/>
      </c>
      <c r="M654" t="str">
        <f>IF(COUNTA('Verificação Peneiradores'!$T$76:$T$80)=0,"",IF(COUNTIF('Verificação Peneiradores'!$T$76:$T$80,"NÃO OK")&gt;0,"Não conforme","Conforme"))</f>
        <v/>
      </c>
      <c r="N654" t="str">
        <f>IFERROR(TRIM(INDEX('Verificação Peneiradores'!$AE$73:$AE$82,MATCH("*",'Verificação Peneiradores'!$AE$73:$AE$82,0))),"")</f>
        <v/>
      </c>
      <c r="O654" t="str">
        <f>IFERROR(TRIM(INDEX('Verificação Peneiradores'!$AD$73:$AD$82,MATCH("*",'Verificação Peneiradores'!$AD$73:$AD$82,0))),"")</f>
        <v/>
      </c>
      <c r="P654" t="str">
        <f>IF(COUNTIF('Verificação Peneiradores'!$T$76:$T$80,"SEM TAG")&gt;0,"Sem TAG de calibração; ","")&amp;IF('Verificação Peneiradores'!$T$76="NÃO OK","Condições das telas; ","")&amp;IF('Verificação Peneiradores'!$T$77="NÃO OK","Inclinação das telas; ","")&amp;IF('Verificação Peneiradores'!$T$78="NÃO OK","Vibração do peneirador; ","")&amp;IF('Verificação Peneiradores'!$T$79="NÃO OK","Travamento das peneiras; ","")&amp;IF('Verificação Peneiradores'!$T$80="NÃO OK","Calibração; ","")</f>
        <v/>
      </c>
      <c r="Q654" t="s">
        <v>1025</v>
      </c>
    </row>
    <row r="655">
      <c r="A655" t="s">
        <v>816</v>
      </c>
      <c r="B655" t="s">
        <v>667</v>
      </c>
      <c r="C655" s="912" t="str">
        <f>IF(MAX('Verificação Peneiradores'!$AC$73:$AC$82)=0,"",MAX('Verificação Peneiradores'!$AC$73:$AC$82))</f>
        <v/>
      </c>
      <c r="D655" t="str">
        <f>IF('Verificação Peneiradores'!$U$74&amp;""="","Peneirador 05",TRIM('Verificação Peneiradores'!$U$74&amp;""))</f>
        <v>PN664</v>
      </c>
      <c r="E655" t="str">
        <f>"Malha "&amp;'Verificação Peneiradores'!$U$73&amp;" mm ("&amp;"Peneirador 05"&amp;")"</f>
        <v>Malha 16 mm (Peneirador 05)</v>
      </c>
      <c r="F655" t="s">
        <v>817</v>
      </c>
      <c r="G655" t="str">
        <f>IF(COUNTA('Verificação Peneiradores'!$U$76:$U$80)=0,"",COUNTIF('Verificação Peneiradores'!$U$76:$U$80,"OK"))</f>
        <v/>
      </c>
      <c r="H655" t="str">
        <f>IF(COUNTA('Verificação Peneiradores'!$U$76:$U$80)=0,"",COUNTA('Verificação Peneiradores'!$U$76:$U$80))</f>
        <v/>
      </c>
      <c r="M655" t="str">
        <f>IF(COUNTA('Verificação Peneiradores'!$U$76:$U$80)=0,"",IF(COUNTIF('Verificação Peneiradores'!$U$76:$U$80,"NÃO OK")&gt;0,"Não conforme","Conforme"))</f>
        <v/>
      </c>
      <c r="N655" t="str">
        <f>IFERROR(TRIM(INDEX('Verificação Peneiradores'!$AE$73:$AE$82,MATCH("*",'Verificação Peneiradores'!$AE$73:$AE$82,0))),"")</f>
        <v/>
      </c>
      <c r="O655" t="str">
        <f>IFERROR(TRIM(INDEX('Verificação Peneiradores'!$AD$73:$AD$82,MATCH("*",'Verificação Peneiradores'!$AD$73:$AD$82,0))),"")</f>
        <v/>
      </c>
      <c r="P655" t="str">
        <f>IF(COUNTIF('Verificação Peneiradores'!$U$76:$U$80,"SEM TAG")&gt;0,"Sem TAG de calibração; ","")&amp;IF('Verificação Peneiradores'!$U$76="NÃO OK","Condições das telas; ","")&amp;IF('Verificação Peneiradores'!$U$77="NÃO OK","Inclinação das telas; ","")&amp;IF('Verificação Peneiradores'!$U$78="NÃO OK","Vibração do peneirador; ","")&amp;IF('Verificação Peneiradores'!$U$79="NÃO OK","Travamento das peneiras; ","")&amp;IF('Verificação Peneiradores'!$U$80="NÃO OK","Calibração; ","")</f>
        <v/>
      </c>
      <c r="Q655" t="s">
        <v>1026</v>
      </c>
    </row>
    <row r="656">
      <c r="A656" t="s">
        <v>816</v>
      </c>
      <c r="B656" t="s">
        <v>667</v>
      </c>
      <c r="C656" s="912" t="str">
        <f>IF(MAX('Verificação Peneiradores'!$AC$73:$AC$82)=0,"",MAX('Verificação Peneiradores'!$AC$73:$AC$82))</f>
        <v/>
      </c>
      <c r="D656" t="str">
        <f>IF('Verificação Peneiradores'!$V$74&amp;""="","Peneirador 05",TRIM('Verificação Peneiradores'!$V$74&amp;""))</f>
        <v>PN665</v>
      </c>
      <c r="E656" t="str">
        <f>"Malha "&amp;'Verificação Peneiradores'!$V$73&amp;" mm ("&amp;"Peneirador 05"&amp;")"</f>
        <v>Malha 14 mm (Peneirador 05)</v>
      </c>
      <c r="F656" t="s">
        <v>817</v>
      </c>
      <c r="G656" t="str">
        <f>IF(COUNTA('Verificação Peneiradores'!$V$76:$V$80)=0,"",COUNTIF('Verificação Peneiradores'!$V$76:$V$80,"OK"))</f>
        <v/>
      </c>
      <c r="H656" t="str">
        <f>IF(COUNTA('Verificação Peneiradores'!$V$76:$V$80)=0,"",COUNTA('Verificação Peneiradores'!$V$76:$V$80))</f>
        <v/>
      </c>
      <c r="M656" t="str">
        <f>IF(COUNTA('Verificação Peneiradores'!$V$76:$V$80)=0,"",IF(COUNTIF('Verificação Peneiradores'!$V$76:$V$80,"NÃO OK")&gt;0,"Não conforme","Conforme"))</f>
        <v/>
      </c>
      <c r="N656" t="str">
        <f>IFERROR(TRIM(INDEX('Verificação Peneiradores'!$AE$73:$AE$82,MATCH("*",'Verificação Peneiradores'!$AE$73:$AE$82,0))),"")</f>
        <v/>
      </c>
      <c r="O656" t="str">
        <f>IFERROR(TRIM(INDEX('Verificação Peneiradores'!$AD$73:$AD$82,MATCH("*",'Verificação Peneiradores'!$AD$73:$AD$82,0))),"")</f>
        <v/>
      </c>
      <c r="P656" t="str">
        <f>IF(COUNTIF('Verificação Peneiradores'!$V$76:$V$80,"SEM TAG")&gt;0,"Sem TAG de calibração; ","")&amp;IF('Verificação Peneiradores'!$V$76="NÃO OK","Condições das telas; ","")&amp;IF('Verificação Peneiradores'!$V$77="NÃO OK","Inclinação das telas; ","")&amp;IF('Verificação Peneiradores'!$V$78="NÃO OK","Vibração do peneirador; ","")&amp;IF('Verificação Peneiradores'!$V$79="NÃO OK","Travamento das peneiras; ","")&amp;IF('Verificação Peneiradores'!$V$80="NÃO OK","Calibração; ","")</f>
        <v/>
      </c>
      <c r="Q656" t="s">
        <v>1027</v>
      </c>
    </row>
    <row r="657">
      <c r="A657" t="s">
        <v>816</v>
      </c>
      <c r="B657" t="s">
        <v>667</v>
      </c>
      <c r="C657" s="912" t="str">
        <f>IF(MAX('Verificação Peneiradores'!$AC$73:$AC$82)=0,"",MAX('Verificação Peneiradores'!$AC$73:$AC$82))</f>
        <v/>
      </c>
      <c r="D657" t="str">
        <f>IF('Verificação Peneiradores'!$W$74&amp;""="","Peneirador 05",TRIM('Verificação Peneiradores'!$W$74&amp;""))</f>
        <v>PN666</v>
      </c>
      <c r="E657" t="str">
        <f>"Malha "&amp;'Verificação Peneiradores'!$W$73&amp;" mm ("&amp;"Peneirador 05"&amp;")"</f>
        <v>Malha 12,5 mm (Peneirador 05)</v>
      </c>
      <c r="F657" t="s">
        <v>817</v>
      </c>
      <c r="G657" t="str">
        <f>IF(COUNTA('Verificação Peneiradores'!$W$76:$W$80)=0,"",COUNTIF('Verificação Peneiradores'!$W$76:$W$80,"OK"))</f>
        <v/>
      </c>
      <c r="H657" t="str">
        <f>IF(COUNTA('Verificação Peneiradores'!$W$76:$W$80)=0,"",COUNTA('Verificação Peneiradores'!$W$76:$W$80))</f>
        <v/>
      </c>
      <c r="M657" t="str">
        <f>IF(COUNTA('Verificação Peneiradores'!$W$76:$W$80)=0,"",IF(COUNTIF('Verificação Peneiradores'!$W$76:$W$80,"NÃO OK")&gt;0,"Não conforme","Conforme"))</f>
        <v/>
      </c>
      <c r="N657" t="str">
        <f>IFERROR(TRIM(INDEX('Verificação Peneiradores'!$AE$73:$AE$82,MATCH("*",'Verificação Peneiradores'!$AE$73:$AE$82,0))),"")</f>
        <v/>
      </c>
      <c r="O657" t="str">
        <f>IFERROR(TRIM(INDEX('Verificação Peneiradores'!$AD$73:$AD$82,MATCH("*",'Verificação Peneiradores'!$AD$73:$AD$82,0))),"")</f>
        <v/>
      </c>
      <c r="P657" t="str">
        <f>IF(COUNTIF('Verificação Peneiradores'!$W$76:$W$80,"SEM TAG")&gt;0,"Sem TAG de calibração; ","")&amp;IF('Verificação Peneiradores'!$W$76="NÃO OK","Condições das telas; ","")&amp;IF('Verificação Peneiradores'!$W$77="NÃO OK","Inclinação das telas; ","")&amp;IF('Verificação Peneiradores'!$W$78="NÃO OK","Vibração do peneirador; ","")&amp;IF('Verificação Peneiradores'!$W$79="NÃO OK","Travamento das peneiras; ","")&amp;IF('Verificação Peneiradores'!$W$80="NÃO OK","Calibração; ","")</f>
        <v/>
      </c>
      <c r="Q657" t="s">
        <v>1028</v>
      </c>
    </row>
    <row r="658">
      <c r="A658" t="s">
        <v>816</v>
      </c>
      <c r="B658" t="s">
        <v>667</v>
      </c>
      <c r="C658" s="912" t="str">
        <f>IF(MAX('Verificação Peneiradores'!$AC$73:$AC$82)=0,"",MAX('Verificação Peneiradores'!$AC$73:$AC$82))</f>
        <v/>
      </c>
      <c r="D658" t="str">
        <f>IF('Verificação Peneiradores'!$X$74&amp;""="","Peneirador 05",TRIM('Verificação Peneiradores'!$X$74&amp;""))</f>
        <v>PN646</v>
      </c>
      <c r="E658" t="str">
        <f>"Malha "&amp;'Verificação Peneiradores'!$X$73&amp;" mm ("&amp;"Peneirador 05"&amp;")"</f>
        <v>Malha 9 mm (Peneirador 05)</v>
      </c>
      <c r="F658" t="s">
        <v>817</v>
      </c>
      <c r="G658" t="str">
        <f>IF(COUNTA('Verificação Peneiradores'!$X$76:$X$80)=0,"",COUNTIF('Verificação Peneiradores'!$X$76:$X$80,"OK"))</f>
        <v/>
      </c>
      <c r="H658" t="str">
        <f>IF(COUNTA('Verificação Peneiradores'!$X$76:$X$80)=0,"",COUNTA('Verificação Peneiradores'!$X$76:$X$80))</f>
        <v/>
      </c>
      <c r="M658" t="str">
        <f>IF(COUNTA('Verificação Peneiradores'!$X$76:$X$80)=0,"",IF(COUNTIF('Verificação Peneiradores'!$X$76:$X$80,"NÃO OK")&gt;0,"Não conforme","Conforme"))</f>
        <v/>
      </c>
      <c r="N658" t="str">
        <f>IFERROR(TRIM(INDEX('Verificação Peneiradores'!$AE$73:$AE$82,MATCH("*",'Verificação Peneiradores'!$AE$73:$AE$82,0))),"")</f>
        <v/>
      </c>
      <c r="O658" t="str">
        <f>IFERROR(TRIM(INDEX('Verificação Peneiradores'!$AD$73:$AD$82,MATCH("*",'Verificação Peneiradores'!$AD$73:$AD$82,0))),"")</f>
        <v/>
      </c>
      <c r="P658" t="str">
        <f>IF(COUNTIF('Verificação Peneiradores'!$X$76:$X$80,"SEM TAG")&gt;0,"Sem TAG de calibração; ","")&amp;IF('Verificação Peneiradores'!$X$76="NÃO OK","Condições das telas; ","")&amp;IF('Verificação Peneiradores'!$X$77="NÃO OK","Inclinação das telas; ","")&amp;IF('Verificação Peneiradores'!$X$78="NÃO OK","Vibração do peneirador; ","")&amp;IF('Verificação Peneiradores'!$X$79="NÃO OK","Travamento das peneiras; ","")&amp;IF('Verificação Peneiradores'!$X$80="NÃO OK","Calibração; ","")</f>
        <v/>
      </c>
      <c r="Q658" t="s">
        <v>1029</v>
      </c>
    </row>
    <row r="659">
      <c r="A659" t="s">
        <v>816</v>
      </c>
      <c r="B659" t="s">
        <v>667</v>
      </c>
      <c r="C659" s="912" t="str">
        <f>IF(MAX('Verificação Peneiradores'!$AC$73:$AC$82)=0,"",MAX('Verificação Peneiradores'!$AC$73:$AC$82))</f>
        <v/>
      </c>
      <c r="D659" t="str">
        <f>IF('Verificação Peneiradores'!$Y$74&amp;""="","Peneirador 05",TRIM('Verificação Peneiradores'!$Y$74&amp;""))</f>
        <v>PN647</v>
      </c>
      <c r="E659" t="str">
        <f>"Malha "&amp;'Verificação Peneiradores'!$Y$73&amp;" mm ("&amp;"Peneirador 05"&amp;")"</f>
        <v>Malha 8 mm (Peneirador 05)</v>
      </c>
      <c r="F659" t="s">
        <v>817</v>
      </c>
      <c r="G659" t="str">
        <f>IF(COUNTA('Verificação Peneiradores'!$Y$76:$Y$80)=0,"",COUNTIF('Verificação Peneiradores'!$Y$76:$Y$80,"OK"))</f>
        <v/>
      </c>
      <c r="H659" t="str">
        <f>IF(COUNTA('Verificação Peneiradores'!$Y$76:$Y$80)=0,"",COUNTA('Verificação Peneiradores'!$Y$76:$Y$80))</f>
        <v/>
      </c>
      <c r="M659" t="str">
        <f>IF(COUNTA('Verificação Peneiradores'!$Y$76:$Y$80)=0,"",IF(COUNTIF('Verificação Peneiradores'!$Y$76:$Y$80,"NÃO OK")&gt;0,"Não conforme","Conforme"))</f>
        <v/>
      </c>
      <c r="N659" t="str">
        <f>IFERROR(TRIM(INDEX('Verificação Peneiradores'!$AE$73:$AE$82,MATCH("*",'Verificação Peneiradores'!$AE$73:$AE$82,0))),"")</f>
        <v/>
      </c>
      <c r="O659" t="str">
        <f>IFERROR(TRIM(INDEX('Verificação Peneiradores'!$AD$73:$AD$82,MATCH("*",'Verificação Peneiradores'!$AD$73:$AD$82,0))),"")</f>
        <v/>
      </c>
      <c r="P659" t="str">
        <f>IF(COUNTIF('Verificação Peneiradores'!$Y$76:$Y$80,"SEM TAG")&gt;0,"Sem TAG de calibração; ","")&amp;IF('Verificação Peneiradores'!$Y$76="NÃO OK","Condições das telas; ","")&amp;IF('Verificação Peneiradores'!$Y$77="NÃO OK","Inclinação das telas; ","")&amp;IF('Verificação Peneiradores'!$Y$78="NÃO OK","Vibração do peneirador; ","")&amp;IF('Verificação Peneiradores'!$Y$79="NÃO OK","Travamento das peneiras; ","")&amp;IF('Verificação Peneiradores'!$Y$80="NÃO OK","Calibração; ","")</f>
        <v/>
      </c>
      <c r="Q659" t="s">
        <v>1030</v>
      </c>
    </row>
    <row r="660">
      <c r="A660" t="s">
        <v>816</v>
      </c>
      <c r="B660" t="s">
        <v>667</v>
      </c>
      <c r="C660" s="912" t="str">
        <f>IF(MAX('Verificação Peneiradores'!$AC$73:$AC$82)=0,"",MAX('Verificação Peneiradores'!$AC$73:$AC$82))</f>
        <v/>
      </c>
      <c r="D660" t="str">
        <f>IF('Verificação Peneiradores'!$Z$74&amp;""="","Peneirador 05",TRIM('Verificação Peneiradores'!$Z$74&amp;""))</f>
        <v>PN648</v>
      </c>
      <c r="E660" t="str">
        <f>"Malha "&amp;'Verificação Peneiradores'!$Z$73&amp;" mm ("&amp;"Peneirador 05"&amp;")"</f>
        <v>Malha 6,3 mm (Peneirador 05)</v>
      </c>
      <c r="F660" t="s">
        <v>817</v>
      </c>
      <c r="G660" t="str">
        <f>IF(COUNTA('Verificação Peneiradores'!$Z$76:$Z$80)=0,"",COUNTIF('Verificação Peneiradores'!$Z$76:$Z$80,"OK"))</f>
        <v/>
      </c>
      <c r="H660" t="str">
        <f>IF(COUNTA('Verificação Peneiradores'!$Z$76:$Z$80)=0,"",COUNTA('Verificação Peneiradores'!$Z$76:$Z$80))</f>
        <v/>
      </c>
      <c r="M660" t="str">
        <f>IF(COUNTA('Verificação Peneiradores'!$Z$76:$Z$80)=0,"",IF(COUNTIF('Verificação Peneiradores'!$Z$76:$Z$80,"NÃO OK")&gt;0,"Não conforme","Conforme"))</f>
        <v/>
      </c>
      <c r="N660" t="str">
        <f>IFERROR(TRIM(INDEX('Verificação Peneiradores'!$AE$73:$AE$82,MATCH("*",'Verificação Peneiradores'!$AE$73:$AE$82,0))),"")</f>
        <v/>
      </c>
      <c r="O660" t="str">
        <f>IFERROR(TRIM(INDEX('Verificação Peneiradores'!$AD$73:$AD$82,MATCH("*",'Verificação Peneiradores'!$AD$73:$AD$82,0))),"")</f>
        <v/>
      </c>
      <c r="P660" t="str">
        <f>IF(COUNTIF('Verificação Peneiradores'!$Z$76:$Z$80,"SEM TAG")&gt;0,"Sem TAG de calibração; ","")&amp;IF('Verificação Peneiradores'!$Z$76="NÃO OK","Condições das telas; ","")&amp;IF('Verificação Peneiradores'!$Z$77="NÃO OK","Inclinação das telas; ","")&amp;IF('Verificação Peneiradores'!$Z$78="NÃO OK","Vibração do peneirador; ","")&amp;IF('Verificação Peneiradores'!$Z$79="NÃO OK","Travamento das peneiras; ","")&amp;IF('Verificação Peneiradores'!$Z$80="NÃO OK","Calibração; ","")</f>
        <v/>
      </c>
      <c r="Q660" t="s">
        <v>1031</v>
      </c>
    </row>
    <row r="661">
      <c r="A661" t="s">
        <v>816</v>
      </c>
      <c r="B661" t="s">
        <v>667</v>
      </c>
      <c r="C661" s="912" t="str">
        <f>IF(MAX('Verificação Peneiradores'!$AC$73:$AC$82)=0,"",MAX('Verificação Peneiradores'!$AC$73:$AC$82))</f>
        <v/>
      </c>
      <c r="D661" t="str">
        <f>IF('Verificação Peneiradores'!$AA$74&amp;""="","Peneirador 06",TRIM('Verificação Peneiradores'!$AA$74&amp;""))</f>
        <v>PN649</v>
      </c>
      <c r="E661" t="str">
        <f>"Malha "&amp;'Verificação Peneiradores'!$AA$73&amp;" mm ("&amp;"Peneirador 06"&amp;")"</f>
        <v>Malha 6,3 mm (Peneirador 06)</v>
      </c>
      <c r="F661" t="s">
        <v>817</v>
      </c>
      <c r="G661" t="str">
        <f>IF(COUNTA('Verificação Peneiradores'!$AA$76:$AA$80)=0,"",COUNTIF('Verificação Peneiradores'!$AA$76:$AA$80,"OK"))</f>
        <v/>
      </c>
      <c r="H661" t="str">
        <f>IF(COUNTA('Verificação Peneiradores'!$AA$76:$AA$80)=0,"",COUNTA('Verificação Peneiradores'!$AA$76:$AA$80))</f>
        <v/>
      </c>
      <c r="M661" t="str">
        <f>IF(COUNTA('Verificação Peneiradores'!$AA$76:$AA$80)=0,"",IF(COUNTIF('Verificação Peneiradores'!$AA$76:$AA$80,"NÃO OK")&gt;0,"Não conforme","Conforme"))</f>
        <v/>
      </c>
      <c r="N661" t="str">
        <f>IFERROR(TRIM(INDEX('Verificação Peneiradores'!$AE$73:$AE$82,MATCH("*",'Verificação Peneiradores'!$AE$73:$AE$82,0))),"")</f>
        <v/>
      </c>
      <c r="O661" t="str">
        <f>IFERROR(TRIM(INDEX('Verificação Peneiradores'!$AD$73:$AD$82,MATCH("*",'Verificação Peneiradores'!$AD$73:$AD$82,0))),"")</f>
        <v/>
      </c>
      <c r="P661" t="str">
        <f>IF(COUNTIF('Verificação Peneiradores'!$AA$76:$AA$80,"SEM TAG")&gt;0,"Sem TAG de calibração; ","")&amp;IF('Verificação Peneiradores'!$AA$76="NÃO OK","Condições das telas; ","")&amp;IF('Verificação Peneiradores'!$AA$77="NÃO OK","Inclinação das telas; ","")&amp;IF('Verificação Peneiradores'!$AA$78="NÃO OK","Vibração do peneirador; ","")&amp;IF('Verificação Peneiradores'!$AA$79="NÃO OK","Travamento das peneiras; ","")&amp;IF('Verificação Peneiradores'!$AA$80="NÃO OK","Calibração; ","")</f>
        <v/>
      </c>
      <c r="Q661" t="s">
        <v>1032</v>
      </c>
    </row>
    <row r="662">
      <c r="A662" t="s">
        <v>816</v>
      </c>
      <c r="B662" t="s">
        <v>667</v>
      </c>
      <c r="C662" s="912" t="str">
        <f>IF(MAX('Verificação Peneiradores'!$AC$73:$AC$82)=0,"",MAX('Verificação Peneiradores'!$AC$73:$AC$82))</f>
        <v/>
      </c>
      <c r="D662" t="str">
        <f>IF('Verificação Peneiradores'!$AB$74&amp;""="","Peneirador 06",TRIM('Verificação Peneiradores'!$AB$74&amp;""))</f>
        <v>N/CONT</v>
      </c>
      <c r="E662" t="str">
        <f>"Malha "&amp;'Verificação Peneiradores'!$AB$73&amp;" mm ("&amp;"Peneirador 06"&amp;")"</f>
        <v>Malha 10 mm (Peneirador 06)</v>
      </c>
      <c r="F662" t="s">
        <v>817</v>
      </c>
      <c r="G662" t="str">
        <f>IF(COUNTA('Verificação Peneiradores'!$AB$76:$AB$80)=0,"",COUNTIF('Verificação Peneiradores'!$AB$76:$AB$80,"OK"))</f>
        <v/>
      </c>
      <c r="H662" t="str">
        <f>IF(COUNTA('Verificação Peneiradores'!$AB$76:$AB$80)=0,"",COUNTA('Verificação Peneiradores'!$AB$76:$AB$80))</f>
        <v/>
      </c>
      <c r="M662" t="str">
        <f>IF(COUNTA('Verificação Peneiradores'!$AB$76:$AB$80)=0,"",IF(COUNTIF('Verificação Peneiradores'!$AB$76:$AB$80,"NÃO OK")&gt;0,"Não conforme","Conforme"))</f>
        <v/>
      </c>
      <c r="N662" t="str">
        <f>IFERROR(TRIM(INDEX('Verificação Peneiradores'!$AE$73:$AE$82,MATCH("*",'Verificação Peneiradores'!$AE$73:$AE$82,0))),"")</f>
        <v/>
      </c>
      <c r="O662" t="str">
        <f>IFERROR(TRIM(INDEX('Verificação Peneiradores'!$AD$73:$AD$82,MATCH("*",'Verificação Peneiradores'!$AD$73:$AD$82,0))),"")</f>
        <v/>
      </c>
      <c r="P662" t="str">
        <f>IF(COUNTIF('Verificação Peneiradores'!$AB$76:$AB$80,"SEM TAG")&gt;0,"Sem TAG de calibração; ","")&amp;IF('Verificação Peneiradores'!$AB$76="NÃO OK","Condições das telas; ","")&amp;IF('Verificação Peneiradores'!$AB$77="NÃO OK","Inclinação das telas; ","")&amp;IF('Verificação Peneiradores'!$AB$78="NÃO OK","Vibração do peneirador; ","")&amp;IF('Verificação Peneiradores'!$AB$79="NÃO OK","Travamento das peneiras; ","")&amp;IF('Verificação Peneiradores'!$AB$80="NÃO OK","Calibração; ","")</f>
        <v/>
      </c>
      <c r="Q662" t="s">
        <v>1033</v>
      </c>
    </row>
    <row r="663">
      <c r="A663" t="s">
        <v>816</v>
      </c>
      <c r="B663" t="s">
        <v>667</v>
      </c>
      <c r="C663" s="912" t="str">
        <f>IF(MAX('Verificação Peneiradores'!$AC$83:$AC$92)=0,"",MAX('Verificação Peneiradores'!$AC$83:$AC$92))</f>
        <v/>
      </c>
      <c r="D663" t="str">
        <f>IF('Verificação Peneiradores'!$B$84&amp;""="","Circulares",TRIM('Verificação Peneiradores'!$B$84&amp;""))</f>
        <v>PN0423</v>
      </c>
      <c r="E663" t="str">
        <f>"Malha "&amp;'Verificação Peneiradores'!$B$83&amp;" mm ("&amp;"Circulares"&amp;")"</f>
        <v>Malha 19 mm (Circulares)</v>
      </c>
      <c r="F663" t="s">
        <v>817</v>
      </c>
      <c r="G663" t="str">
        <f>IF(COUNTA('Verificação Peneiradores'!$B$86:$B$90)=0,"",COUNTIF('Verificação Peneiradores'!$B$86:$B$90,"OK"))</f>
        <v/>
      </c>
      <c r="H663" t="str">
        <f>IF(COUNTA('Verificação Peneiradores'!$B$86:$B$90)=0,"",COUNTA('Verificação Peneiradores'!$B$86:$B$90))</f>
        <v/>
      </c>
      <c r="M663" t="str">
        <f>IF(COUNTA('Verificação Peneiradores'!$B$86:$B$90)=0,"",IF(COUNTIF('Verificação Peneiradores'!$B$86:$B$90,"NÃO OK")&gt;0,"Não conforme","Conforme"))</f>
        <v/>
      </c>
      <c r="N663" t="str">
        <f>IFERROR(TRIM(INDEX('Verificação Peneiradores'!$AE$83:$AE$92,MATCH("*",'Verificação Peneiradores'!$AE$83:$AE$92,0))),"")</f>
        <v/>
      </c>
      <c r="O663" t="str">
        <f>IFERROR(TRIM(INDEX('Verificação Peneiradores'!$AD$83:$AD$92,MATCH("*",'Verificação Peneiradores'!$AD$83:$AD$92,0))),"")</f>
        <v/>
      </c>
      <c r="P663" t="str">
        <f>IF(COUNTIF('Verificação Peneiradores'!$B$86:$B$90,"SEM TAG")&gt;0,"Sem TAG de calibração; ","")&amp;IF('Verificação Peneiradores'!$B$86="NÃO OK","Condições das telas; ","")&amp;IF('Verificação Peneiradores'!$B$87="NÃO OK","Inclinação das telas; ","")&amp;IF('Verificação Peneiradores'!$B$88="NÃO OK","Vibração do peneirador; ","")&amp;IF('Verificação Peneiradores'!$B$89="NÃO OK","Travamento das peneiras; ","")&amp;IF('Verificação Peneiradores'!$B$90="NÃO OK","Calibração; ","")</f>
        <v/>
      </c>
      <c r="Q663" t="s">
        <v>1034</v>
      </c>
    </row>
    <row r="664">
      <c r="A664" t="s">
        <v>816</v>
      </c>
      <c r="B664" t="s">
        <v>667</v>
      </c>
      <c r="C664" s="912" t="str">
        <f>IF(MAX('Verificação Peneiradores'!$AC$83:$AC$92)=0,"",MAX('Verificação Peneiradores'!$AC$83:$AC$92))</f>
        <v/>
      </c>
      <c r="D664" t="str">
        <f>IF('Verificação Peneiradores'!$C$84&amp;""="","Circulares",TRIM('Verificação Peneiradores'!$C$84&amp;""))</f>
        <v>PN0482</v>
      </c>
      <c r="E664" t="str">
        <f>"Malha "&amp;'Verificação Peneiradores'!$C$83&amp;" mm ("&amp;"Circulares"&amp;")"</f>
        <v>Malha 16 mm (Circulares)</v>
      </c>
      <c r="F664" t="s">
        <v>817</v>
      </c>
      <c r="G664" t="str">
        <f>IF(COUNTA('Verificação Peneiradores'!$C$86:$C$90)=0,"",COUNTIF('Verificação Peneiradores'!$C$86:$C$90,"OK"))</f>
        <v/>
      </c>
      <c r="H664" t="str">
        <f>IF(COUNTA('Verificação Peneiradores'!$C$86:$C$90)=0,"",COUNTA('Verificação Peneiradores'!$C$86:$C$90))</f>
        <v/>
      </c>
      <c r="M664" t="str">
        <f>IF(COUNTA('Verificação Peneiradores'!$C$86:$C$90)=0,"",IF(COUNTIF('Verificação Peneiradores'!$C$86:$C$90,"NÃO OK")&gt;0,"Não conforme","Conforme"))</f>
        <v/>
      </c>
      <c r="N664" t="str">
        <f>IFERROR(TRIM(INDEX('Verificação Peneiradores'!$AE$83:$AE$92,MATCH("*",'Verificação Peneiradores'!$AE$83:$AE$92,0))),"")</f>
        <v/>
      </c>
      <c r="O664" t="str">
        <f>IFERROR(TRIM(INDEX('Verificação Peneiradores'!$AD$83:$AD$92,MATCH("*",'Verificação Peneiradores'!$AD$83:$AD$92,0))),"")</f>
        <v/>
      </c>
      <c r="P664" t="str">
        <f>IF(COUNTIF('Verificação Peneiradores'!$C$86:$C$90,"SEM TAG")&gt;0,"Sem TAG de calibração; ","")&amp;IF('Verificação Peneiradores'!$C$86="NÃO OK","Condições das telas; ","")&amp;IF('Verificação Peneiradores'!$C$87="NÃO OK","Inclinação das telas; ","")&amp;IF('Verificação Peneiradores'!$C$88="NÃO OK","Vibração do peneirador; ","")&amp;IF('Verificação Peneiradores'!$C$89="NÃO OK","Travamento das peneiras; ","")&amp;IF('Verificação Peneiradores'!$C$90="NÃO OK","Calibração; ","")</f>
        <v/>
      </c>
      <c r="Q664" t="s">
        <v>1035</v>
      </c>
    </row>
    <row r="665">
      <c r="A665" t="s">
        <v>816</v>
      </c>
      <c r="B665" t="s">
        <v>667</v>
      </c>
      <c r="C665" s="912" t="str">
        <f>IF(MAX('Verificação Peneiradores'!$AC$83:$AC$92)=0,"",MAX('Verificação Peneiradores'!$AC$83:$AC$92))</f>
        <v/>
      </c>
      <c r="D665" t="str">
        <f>IF('Verificação Peneiradores'!$D$84&amp;""="","Circulares",TRIM('Verificação Peneiradores'!$D$84&amp;""))</f>
        <v>PN 614</v>
      </c>
      <c r="E665" t="str">
        <f>"Malha "&amp;'Verificação Peneiradores'!$D$83&amp;" mm ("&amp;"Circulares"&amp;")"</f>
        <v>Malha 12,5 mm (Circulares)</v>
      </c>
      <c r="F665" t="s">
        <v>817</v>
      </c>
      <c r="G665" t="str">
        <f>IF(COUNTA('Verificação Peneiradores'!$D$86:$D$90)=0,"",COUNTIF('Verificação Peneiradores'!$D$86:$D$90,"OK"))</f>
        <v/>
      </c>
      <c r="H665" t="str">
        <f>IF(COUNTA('Verificação Peneiradores'!$D$86:$D$90)=0,"",COUNTA('Verificação Peneiradores'!$D$86:$D$90))</f>
        <v/>
      </c>
      <c r="M665" t="str">
        <f>IF(COUNTA('Verificação Peneiradores'!$D$86:$D$90)=0,"",IF(COUNTIF('Verificação Peneiradores'!$D$86:$D$90,"NÃO OK")&gt;0,"Não conforme","Conforme"))</f>
        <v/>
      </c>
      <c r="N665" t="str">
        <f>IFERROR(TRIM(INDEX('Verificação Peneiradores'!$AE$83:$AE$92,MATCH("*",'Verificação Peneiradores'!$AE$83:$AE$92,0))),"")</f>
        <v/>
      </c>
      <c r="O665" t="str">
        <f>IFERROR(TRIM(INDEX('Verificação Peneiradores'!$AD$83:$AD$92,MATCH("*",'Verificação Peneiradores'!$AD$83:$AD$92,0))),"")</f>
        <v/>
      </c>
      <c r="P665" t="str">
        <f>IF(COUNTIF('Verificação Peneiradores'!$D$86:$D$90,"SEM TAG")&gt;0,"Sem TAG de calibração; ","")&amp;IF('Verificação Peneiradores'!$D$86="NÃO OK","Condições das telas; ","")&amp;IF('Verificação Peneiradores'!$D$87="NÃO OK","Inclinação das telas; ","")&amp;IF('Verificação Peneiradores'!$D$88="NÃO OK","Vibração do peneirador; ","")&amp;IF('Verificação Peneiradores'!$D$89="NÃO OK","Travamento das peneiras; ","")&amp;IF('Verificação Peneiradores'!$D$90="NÃO OK","Calibração; ","")</f>
        <v/>
      </c>
      <c r="Q665" t="s">
        <v>1036</v>
      </c>
    </row>
    <row r="666">
      <c r="A666" t="s">
        <v>816</v>
      </c>
      <c r="B666" t="s">
        <v>667</v>
      </c>
      <c r="C666" s="912" t="str">
        <f>IF(MAX('Verificação Peneiradores'!$AC$83:$AC$92)=0,"",MAX('Verificação Peneiradores'!$AC$83:$AC$92))</f>
        <v/>
      </c>
      <c r="D666" t="str">
        <f>IF('Verificação Peneiradores'!$E$84&amp;""="","Circulares",TRIM('Verificação Peneiradores'!$E$84&amp;""))</f>
        <v>PN 303</v>
      </c>
      <c r="E666" t="str">
        <f>"Malha "&amp;'Verificação Peneiradores'!$E$83&amp;" mm ("&amp;"Circulares"&amp;")"</f>
        <v>Malha 10 mm (Circulares)</v>
      </c>
      <c r="F666" t="s">
        <v>817</v>
      </c>
      <c r="G666" t="str">
        <f>IF(COUNTA('Verificação Peneiradores'!$E$86:$E$90)=0,"",COUNTIF('Verificação Peneiradores'!$E$86:$E$90,"OK"))</f>
        <v/>
      </c>
      <c r="H666" t="str">
        <f>IF(COUNTA('Verificação Peneiradores'!$E$86:$E$90)=0,"",COUNTA('Verificação Peneiradores'!$E$86:$E$90))</f>
        <v/>
      </c>
      <c r="M666" t="str">
        <f>IF(COUNTA('Verificação Peneiradores'!$E$86:$E$90)=0,"",IF(COUNTIF('Verificação Peneiradores'!$E$86:$E$90,"NÃO OK")&gt;0,"Não conforme","Conforme"))</f>
        <v/>
      </c>
      <c r="N666" t="str">
        <f>IFERROR(TRIM(INDEX('Verificação Peneiradores'!$AE$83:$AE$92,MATCH("*",'Verificação Peneiradores'!$AE$83:$AE$92,0))),"")</f>
        <v/>
      </c>
      <c r="O666" t="str">
        <f>IFERROR(TRIM(INDEX('Verificação Peneiradores'!$AD$83:$AD$92,MATCH("*",'Verificação Peneiradores'!$AD$83:$AD$92,0))),"")</f>
        <v/>
      </c>
      <c r="P666" t="str">
        <f>IF(COUNTIF('Verificação Peneiradores'!$E$86:$E$90,"SEM TAG")&gt;0,"Sem TAG de calibração; ","")&amp;IF('Verificação Peneiradores'!$E$86="NÃO OK","Condições das telas; ","")&amp;IF('Verificação Peneiradores'!$E$87="NÃO OK","Inclinação das telas; ","")&amp;IF('Verificação Peneiradores'!$E$88="NÃO OK","Vibração do peneirador; ","")&amp;IF('Verificação Peneiradores'!$E$89="NÃO OK","Travamento das peneiras; ","")&amp;IF('Verificação Peneiradores'!$E$90="NÃO OK","Calibração; ","")</f>
        <v/>
      </c>
      <c r="Q666" t="s">
        <v>1037</v>
      </c>
    </row>
    <row r="667">
      <c r="A667" t="s">
        <v>816</v>
      </c>
      <c r="B667" t="s">
        <v>667</v>
      </c>
      <c r="C667" s="912" t="str">
        <f>IF(MAX('Verificação Peneiradores'!$AC$83:$AC$92)=0,"",MAX('Verificação Peneiradores'!$AC$83:$AC$92))</f>
        <v/>
      </c>
      <c r="D667" t="str">
        <f>IF('Verificação Peneiradores'!$F$84&amp;""="","Circulares",TRIM('Verificação Peneiradores'!$F$84&amp;""))</f>
        <v>PN431</v>
      </c>
      <c r="E667" t="str">
        <f>"Malha "&amp;'Verificação Peneiradores'!$F$83&amp;" mm ("&amp;"Circulares"&amp;")"</f>
        <v>Malha 9 mm (Circulares)</v>
      </c>
      <c r="F667" t="s">
        <v>817</v>
      </c>
      <c r="G667" t="str">
        <f>IF(COUNTA('Verificação Peneiradores'!$F$86:$F$90)=0,"",COUNTIF('Verificação Peneiradores'!$F$86:$F$90,"OK"))</f>
        <v/>
      </c>
      <c r="H667" t="str">
        <f>IF(COUNTA('Verificação Peneiradores'!$F$86:$F$90)=0,"",COUNTA('Verificação Peneiradores'!$F$86:$F$90))</f>
        <v/>
      </c>
      <c r="M667" t="str">
        <f>IF(COUNTA('Verificação Peneiradores'!$F$86:$F$90)=0,"",IF(COUNTIF('Verificação Peneiradores'!$F$86:$F$90,"NÃO OK")&gt;0,"Não conforme","Conforme"))</f>
        <v/>
      </c>
      <c r="N667" t="str">
        <f>IFERROR(TRIM(INDEX('Verificação Peneiradores'!$AE$83:$AE$92,MATCH("*",'Verificação Peneiradores'!$AE$83:$AE$92,0))),"")</f>
        <v/>
      </c>
      <c r="O667" t="str">
        <f>IFERROR(TRIM(INDEX('Verificação Peneiradores'!$AD$83:$AD$92,MATCH("*",'Verificação Peneiradores'!$AD$83:$AD$92,0))),"")</f>
        <v/>
      </c>
      <c r="P667" t="str">
        <f>IF(COUNTIF('Verificação Peneiradores'!$F$86:$F$90,"SEM TAG")&gt;0,"Sem TAG de calibração; ","")&amp;IF('Verificação Peneiradores'!$F$86="NÃO OK","Condições das telas; ","")&amp;IF('Verificação Peneiradores'!$F$87="NÃO OK","Inclinação das telas; ","")&amp;IF('Verificação Peneiradores'!$F$88="NÃO OK","Vibração do peneirador; ","")&amp;IF('Verificação Peneiradores'!$F$89="NÃO OK","Travamento das peneiras; ","")&amp;IF('Verificação Peneiradores'!$F$90="NÃO OK","Calibração; ","")</f>
        <v/>
      </c>
      <c r="Q667" t="s">
        <v>1038</v>
      </c>
    </row>
    <row r="668">
      <c r="A668" t="s">
        <v>816</v>
      </c>
      <c r="B668" t="s">
        <v>667</v>
      </c>
      <c r="C668" s="912" t="str">
        <f>IF(MAX('Verificação Peneiradores'!$AC$83:$AC$92)=0,"",MAX('Verificação Peneiradores'!$AC$83:$AC$92))</f>
        <v/>
      </c>
      <c r="D668" t="str">
        <f>IF('Verificação Peneiradores'!$G$84&amp;""="","Circulares",TRIM('Verificação Peneiradores'!$G$84&amp;""))</f>
        <v>PN432</v>
      </c>
      <c r="E668" t="str">
        <f>"Malha "&amp;'Verificação Peneiradores'!$G$83&amp;" mm ("&amp;"Circulares"&amp;")"</f>
        <v>Malha 8 mm (Circulares)</v>
      </c>
      <c r="F668" t="s">
        <v>817</v>
      </c>
      <c r="G668" t="str">
        <f>IF(COUNTA('Verificação Peneiradores'!$G$86:$G$90)=0,"",COUNTIF('Verificação Peneiradores'!$G$86:$G$90,"OK"))</f>
        <v/>
      </c>
      <c r="H668" t="str">
        <f>IF(COUNTA('Verificação Peneiradores'!$G$86:$G$90)=0,"",COUNTA('Verificação Peneiradores'!$G$86:$G$90))</f>
        <v/>
      </c>
      <c r="M668" t="str">
        <f>IF(COUNTA('Verificação Peneiradores'!$G$86:$G$90)=0,"",IF(COUNTIF('Verificação Peneiradores'!$G$86:$G$90,"NÃO OK")&gt;0,"Não conforme","Conforme"))</f>
        <v/>
      </c>
      <c r="N668" t="str">
        <f>IFERROR(TRIM(INDEX('Verificação Peneiradores'!$AE$83:$AE$92,MATCH("*",'Verificação Peneiradores'!$AE$83:$AE$92,0))),"")</f>
        <v/>
      </c>
      <c r="O668" t="str">
        <f>IFERROR(TRIM(INDEX('Verificação Peneiradores'!$AD$83:$AD$92,MATCH("*",'Verificação Peneiradores'!$AD$83:$AD$92,0))),"")</f>
        <v/>
      </c>
      <c r="P668" t="str">
        <f>IF(COUNTIF('Verificação Peneiradores'!$G$86:$G$90,"SEM TAG")&gt;0,"Sem TAG de calibração; ","")&amp;IF('Verificação Peneiradores'!$G$86="NÃO OK","Condições das telas; ","")&amp;IF('Verificação Peneiradores'!$G$87="NÃO OK","Inclinação das telas; ","")&amp;IF('Verificação Peneiradores'!$G$88="NÃO OK","Vibração do peneirador; ","")&amp;IF('Verificação Peneiradores'!$G$89="NÃO OK","Travamento das peneiras; ","")&amp;IF('Verificação Peneiradores'!$G$90="NÃO OK","Calibração; ","")</f>
        <v/>
      </c>
      <c r="Q668" t="s">
        <v>1039</v>
      </c>
    </row>
    <row r="669">
      <c r="A669" t="s">
        <v>816</v>
      </c>
      <c r="B669" t="s">
        <v>667</v>
      </c>
      <c r="C669" s="912" t="str">
        <f>IF(MAX('Verificação Peneiradores'!$AC$83:$AC$92)=0,"",MAX('Verificação Peneiradores'!$AC$83:$AC$92))</f>
        <v/>
      </c>
      <c r="D669" t="str">
        <f>IF('Verificação Peneiradores'!$H$84&amp;""="","Circulares",TRIM('Verificação Peneiradores'!$H$84&amp;""))</f>
        <v>PN0430</v>
      </c>
      <c r="E669" t="str">
        <f>"Malha "&amp;'Verificação Peneiradores'!$H$83&amp;" mm ("&amp;"Circulares"&amp;")"</f>
        <v>Malha 6,3 mm (Circulares)</v>
      </c>
      <c r="F669" t="s">
        <v>817</v>
      </c>
      <c r="G669" t="str">
        <f>IF(COUNTA('Verificação Peneiradores'!$H$86:$H$90)=0,"",COUNTIF('Verificação Peneiradores'!$H$86:$H$90,"OK"))</f>
        <v/>
      </c>
      <c r="H669" t="str">
        <f>IF(COUNTA('Verificação Peneiradores'!$H$86:$H$90)=0,"",COUNTA('Verificação Peneiradores'!$H$86:$H$90))</f>
        <v/>
      </c>
      <c r="M669" t="str">
        <f>IF(COUNTA('Verificação Peneiradores'!$H$86:$H$90)=0,"",IF(COUNTIF('Verificação Peneiradores'!$H$86:$H$90,"NÃO OK")&gt;0,"Não conforme","Conforme"))</f>
        <v/>
      </c>
      <c r="N669" t="str">
        <f>IFERROR(TRIM(INDEX('Verificação Peneiradores'!$AE$83:$AE$92,MATCH("*",'Verificação Peneiradores'!$AE$83:$AE$92,0))),"")</f>
        <v/>
      </c>
      <c r="O669" t="str">
        <f>IFERROR(TRIM(INDEX('Verificação Peneiradores'!$AD$83:$AD$92,MATCH("*",'Verificação Peneiradores'!$AD$83:$AD$92,0))),"")</f>
        <v/>
      </c>
      <c r="P669" t="str">
        <f>IF(COUNTIF('Verificação Peneiradores'!$H$86:$H$90,"SEM TAG")&gt;0,"Sem TAG de calibração; ","")&amp;IF('Verificação Peneiradores'!$H$86="NÃO OK","Condições das telas; ","")&amp;IF('Verificação Peneiradores'!$H$87="NÃO OK","Inclinação das telas; ","")&amp;IF('Verificação Peneiradores'!$H$88="NÃO OK","Vibração do peneirador; ","")&amp;IF('Verificação Peneiradores'!$H$89="NÃO OK","Travamento das peneiras; ","")&amp;IF('Verificação Peneiradores'!$H$90="NÃO OK","Calibração; ","")</f>
        <v/>
      </c>
      <c r="Q669" t="s">
        <v>1040</v>
      </c>
    </row>
    <row r="670">
      <c r="A670" t="s">
        <v>816</v>
      </c>
      <c r="B670" t="s">
        <v>667</v>
      </c>
      <c r="C670" s="912" t="str">
        <f>IF(MAX('Verificação Peneiradores'!$AC$83:$AC$92)=0,"",MAX('Verificação Peneiradores'!$AC$83:$AC$92))</f>
        <v/>
      </c>
      <c r="D670" t="str">
        <f>IF('Verificação Peneiradores'!$I$84&amp;""="","Circulares",TRIM('Verificação Peneiradores'!$I$84&amp;""))</f>
        <v>PN0425</v>
      </c>
      <c r="E670" t="str">
        <f>"Malha "&amp;'Verificação Peneiradores'!$I$83&amp;" mm ("&amp;"Circulares"&amp;")"</f>
        <v>Malha 5 mm (Circulares)</v>
      </c>
      <c r="F670" t="s">
        <v>817</v>
      </c>
      <c r="G670" t="str">
        <f>IF(COUNTA('Verificação Peneiradores'!$I$86:$I$90)=0,"",COUNTIF('Verificação Peneiradores'!$I$86:$I$90,"OK"))</f>
        <v/>
      </c>
      <c r="H670" t="str">
        <f>IF(COUNTA('Verificação Peneiradores'!$I$86:$I$90)=0,"",COUNTA('Verificação Peneiradores'!$I$86:$I$90))</f>
        <v/>
      </c>
      <c r="M670" t="str">
        <f>IF(COUNTA('Verificação Peneiradores'!$I$86:$I$90)=0,"",IF(COUNTIF('Verificação Peneiradores'!$I$86:$I$90,"NÃO OK")&gt;0,"Não conforme","Conforme"))</f>
        <v/>
      </c>
      <c r="N670" t="str">
        <f>IFERROR(TRIM(INDEX('Verificação Peneiradores'!$AE$83:$AE$92,MATCH("*",'Verificação Peneiradores'!$AE$83:$AE$92,0))),"")</f>
        <v/>
      </c>
      <c r="O670" t="str">
        <f>IFERROR(TRIM(INDEX('Verificação Peneiradores'!$AD$83:$AD$92,MATCH("*",'Verificação Peneiradores'!$AD$83:$AD$92,0))),"")</f>
        <v/>
      </c>
      <c r="P670" t="str">
        <f>IF(COUNTIF('Verificação Peneiradores'!$I$86:$I$90,"SEM TAG")&gt;0,"Sem TAG de calibração; ","")&amp;IF('Verificação Peneiradores'!$I$86="NÃO OK","Condições das telas; ","")&amp;IF('Verificação Peneiradores'!$I$87="NÃO OK","Inclinação das telas; ","")&amp;IF('Verificação Peneiradores'!$I$88="NÃO OK","Vibração do peneirador; ","")&amp;IF('Verificação Peneiradores'!$I$89="NÃO OK","Travamento das peneiras; ","")&amp;IF('Verificação Peneiradores'!$I$90="NÃO OK","Calibração; ","")</f>
        <v/>
      </c>
      <c r="Q670" t="s">
        <v>1041</v>
      </c>
    </row>
    <row r="671">
      <c r="A671" t="s">
        <v>816</v>
      </c>
      <c r="B671" t="s">
        <v>667</v>
      </c>
      <c r="C671" s="912" t="str">
        <f>IF(MAX('Verificação Peneiradores'!$AC$83:$AC$92)=0,"",MAX('Verificação Peneiradores'!$AC$83:$AC$92))</f>
        <v/>
      </c>
      <c r="D671" t="str">
        <f>IF('Verificação Peneiradores'!$J$84&amp;""="","Circulares",TRIM('Verificação Peneiradores'!$J$84&amp;""))</f>
        <v>PN0,46</v>
      </c>
      <c r="E671" t="str">
        <f>"Malha "&amp;'Verificação Peneiradores'!$J$83&amp;" mm ("&amp;"Circulares"&amp;")"</f>
        <v>Malha 3,15 mm (Circulares)</v>
      </c>
      <c r="F671" t="s">
        <v>817</v>
      </c>
      <c r="G671" t="str">
        <f>IF(COUNTA('Verificação Peneiradores'!$J$86:$J$90)=0,"",COUNTIF('Verificação Peneiradores'!$J$86:$J$90,"OK"))</f>
        <v/>
      </c>
      <c r="H671" t="str">
        <f>IF(COUNTA('Verificação Peneiradores'!$J$86:$J$90)=0,"",COUNTA('Verificação Peneiradores'!$J$86:$J$90))</f>
        <v/>
      </c>
      <c r="M671" t="str">
        <f>IF(COUNTA('Verificação Peneiradores'!$J$86:$J$90)=0,"",IF(COUNTIF('Verificação Peneiradores'!$J$86:$J$90,"NÃO OK")&gt;0,"Não conforme","Conforme"))</f>
        <v/>
      </c>
      <c r="N671" t="str">
        <f>IFERROR(TRIM(INDEX('Verificação Peneiradores'!$AE$83:$AE$92,MATCH("*",'Verificação Peneiradores'!$AE$83:$AE$92,0))),"")</f>
        <v/>
      </c>
      <c r="O671" t="str">
        <f>IFERROR(TRIM(INDEX('Verificação Peneiradores'!$AD$83:$AD$92,MATCH("*",'Verificação Peneiradores'!$AD$83:$AD$92,0))),"")</f>
        <v/>
      </c>
      <c r="P671" t="str">
        <f>IF(COUNTIF('Verificação Peneiradores'!$J$86:$J$90,"SEM TAG")&gt;0,"Sem TAG de calibração; ","")&amp;IF('Verificação Peneiradores'!$J$86="NÃO OK","Condições das telas; ","")&amp;IF('Verificação Peneiradores'!$J$87="NÃO OK","Inclinação das telas; ","")&amp;IF('Verificação Peneiradores'!$J$88="NÃO OK","Vibração do peneirador; ","")&amp;IF('Verificação Peneiradores'!$J$89="NÃO OK","Travamento das peneiras; ","")&amp;IF('Verificação Peneiradores'!$J$90="NÃO OK","Calibração; ","")</f>
        <v/>
      </c>
      <c r="Q671" t="s">
        <v>1042</v>
      </c>
    </row>
    <row r="672">
      <c r="A672" t="s">
        <v>816</v>
      </c>
      <c r="B672" t="s">
        <v>667</v>
      </c>
      <c r="C672" s="912" t="str">
        <f>IF(MAX('Verificação Peneiradores'!$AC$83:$AC$92)=0,"",MAX('Verificação Peneiradores'!$AC$83:$AC$92))</f>
        <v/>
      </c>
      <c r="D672" t="str">
        <f>IF('Verificação Peneiradores'!$K$84&amp;""="","Circulares",TRIM('Verificação Peneiradores'!$K$84&amp;""))</f>
        <v>PN0500</v>
      </c>
      <c r="E672" t="str">
        <f>"Malha "&amp;'Verificação Peneiradores'!$K$83&amp;" mm ("&amp;"Circulares"&amp;")"</f>
        <v>Malha 0,5 mm (Circulares)</v>
      </c>
      <c r="F672" t="s">
        <v>817</v>
      </c>
      <c r="G672" t="str">
        <f>IF(COUNTA('Verificação Peneiradores'!$K$86:$K$90)=0,"",COUNTIF('Verificação Peneiradores'!$K$86:$K$90,"OK"))</f>
        <v/>
      </c>
      <c r="H672" t="str">
        <f>IF(COUNTA('Verificação Peneiradores'!$K$86:$K$90)=0,"",COUNTA('Verificação Peneiradores'!$K$86:$K$90))</f>
        <v/>
      </c>
      <c r="M672" t="str">
        <f>IF(COUNTA('Verificação Peneiradores'!$K$86:$K$90)=0,"",IF(COUNTIF('Verificação Peneiradores'!$K$86:$K$90,"NÃO OK")&gt;0,"Não conforme","Conforme"))</f>
        <v/>
      </c>
      <c r="N672" t="str">
        <f>IFERROR(TRIM(INDEX('Verificação Peneiradores'!$AE$83:$AE$92,MATCH("*",'Verificação Peneiradores'!$AE$83:$AE$92,0))),"")</f>
        <v/>
      </c>
      <c r="O672" t="str">
        <f>IFERROR(TRIM(INDEX('Verificação Peneiradores'!$AD$83:$AD$92,MATCH("*",'Verificação Peneiradores'!$AD$83:$AD$92,0))),"")</f>
        <v/>
      </c>
      <c r="P672" t="str">
        <f>IF(COUNTIF('Verificação Peneiradores'!$K$86:$K$90,"SEM TAG")&gt;0,"Sem TAG de calibração; ","")&amp;IF('Verificação Peneiradores'!$K$86="NÃO OK","Condições das telas; ","")&amp;IF('Verificação Peneiradores'!$K$87="NÃO OK","Inclinação das telas; ","")&amp;IF('Verificação Peneiradores'!$K$88="NÃO OK","Vibração do peneirador; ","")&amp;IF('Verificação Peneiradores'!$K$89="NÃO OK","Travamento das peneiras; ","")&amp;IF('Verificação Peneiradores'!$K$90="NÃO OK","Calibração; ","")</f>
        <v/>
      </c>
      <c r="Q672" t="s">
        <v>1043</v>
      </c>
    </row>
    <row r="673">
      <c r="A673" t="s">
        <v>816</v>
      </c>
      <c r="B673" t="s">
        <v>667</v>
      </c>
      <c r="C673" s="912" t="str">
        <f>IF(MAX('Verificação Peneiradores'!$AC$83:$AC$92)=0,"",MAX('Verificação Peneiradores'!$AC$83:$AC$92))</f>
        <v/>
      </c>
      <c r="D673" t="str">
        <f>IF('Verificação Peneiradores'!$L$84&amp;""="","Circulares",TRIM('Verificação Peneiradores'!$L$84&amp;""))</f>
        <v>PN0501</v>
      </c>
      <c r="E673" t="str">
        <f>"Malha "&amp;'Verificação Peneiradores'!$L$83&amp;" mm ("&amp;"Circulares"&amp;")"</f>
        <v>Malha 0,5 mm (Circulares)</v>
      </c>
      <c r="F673" t="s">
        <v>817</v>
      </c>
      <c r="G673" t="str">
        <f>IF(COUNTA('Verificação Peneiradores'!$L$86:$L$90)=0,"",COUNTIF('Verificação Peneiradores'!$L$86:$L$90,"OK"))</f>
        <v/>
      </c>
      <c r="H673" t="str">
        <f>IF(COUNTA('Verificação Peneiradores'!$L$86:$L$90)=0,"",COUNTA('Verificação Peneiradores'!$L$86:$L$90))</f>
        <v/>
      </c>
      <c r="M673" t="str">
        <f>IF(COUNTA('Verificação Peneiradores'!$L$86:$L$90)=0,"",IF(COUNTIF('Verificação Peneiradores'!$L$86:$L$90,"NÃO OK")&gt;0,"Não conforme","Conforme"))</f>
        <v/>
      </c>
      <c r="N673" t="str">
        <f>IFERROR(TRIM(INDEX('Verificação Peneiradores'!$AE$83:$AE$92,MATCH("*",'Verificação Peneiradores'!$AE$83:$AE$92,0))),"")</f>
        <v/>
      </c>
      <c r="O673" t="str">
        <f>IFERROR(TRIM(INDEX('Verificação Peneiradores'!$AD$83:$AD$92,MATCH("*",'Verificação Peneiradores'!$AD$83:$AD$92,0))),"")</f>
        <v/>
      </c>
      <c r="P673" t="str">
        <f>IF(COUNTIF('Verificação Peneiradores'!$L$86:$L$90,"SEM TAG")&gt;0,"Sem TAG de calibração; ","")&amp;IF('Verificação Peneiradores'!$L$86="NÃO OK","Condições das telas; ","")&amp;IF('Verificação Peneiradores'!$L$87="NÃO OK","Inclinação das telas; ","")&amp;IF('Verificação Peneiradores'!$L$88="NÃO OK","Vibração do peneirador; ","")&amp;IF('Verificação Peneiradores'!$L$89="NÃO OK","Travamento das peneiras; ","")&amp;IF('Verificação Peneiradores'!$L$90="NÃO OK","Calibração; ","")</f>
        <v/>
      </c>
      <c r="Q673" t="s">
        <v>1044</v>
      </c>
    </row>
    <row r="674">
      <c r="A674" t="s">
        <v>816</v>
      </c>
      <c r="B674" t="s">
        <v>667</v>
      </c>
      <c r="C674" s="912" t="str">
        <f>IF(MAX('Verificação Peneiradores'!$AC$83:$AC$92)=0,"",MAX('Verificação Peneiradores'!$AC$83:$AC$92))</f>
        <v/>
      </c>
      <c r="D674" t="str">
        <f>IF('Verificação Peneiradores'!$M$84&amp;""="","Peneirador 09",TRIM('Verificação Peneiradores'!$M$84&amp;""))</f>
        <v>PN478</v>
      </c>
      <c r="E674" t="str">
        <f>"Malha "&amp;'Verificação Peneiradores'!$M$83&amp;" mm ("&amp;"Peneirador 09"&amp;")"</f>
        <v>Malha 19 mm (Peneirador 09)</v>
      </c>
      <c r="F674" t="s">
        <v>817</v>
      </c>
      <c r="G674" t="str">
        <f>IF(COUNTA('Verificação Peneiradores'!$M$86:$M$90)=0,"",COUNTIF('Verificação Peneiradores'!$M$86:$M$90,"OK"))</f>
        <v/>
      </c>
      <c r="H674" t="str">
        <f>IF(COUNTA('Verificação Peneiradores'!$M$86:$M$90)=0,"",COUNTA('Verificação Peneiradores'!$M$86:$M$90))</f>
        <v/>
      </c>
      <c r="M674" t="str">
        <f>IF(COUNTA('Verificação Peneiradores'!$M$86:$M$90)=0,"",IF(COUNTIF('Verificação Peneiradores'!$M$86:$M$90,"NÃO OK")&gt;0,"Não conforme","Conforme"))</f>
        <v/>
      </c>
      <c r="N674" t="str">
        <f>IFERROR(TRIM(INDEX('Verificação Peneiradores'!$AE$83:$AE$92,MATCH("*",'Verificação Peneiradores'!$AE$83:$AE$92,0))),"")</f>
        <v/>
      </c>
      <c r="O674" t="str">
        <f>IFERROR(TRIM(INDEX('Verificação Peneiradores'!$AD$83:$AD$92,MATCH("*",'Verificação Peneiradores'!$AD$83:$AD$92,0))),"")</f>
        <v/>
      </c>
      <c r="P674" t="str">
        <f>IF(COUNTIF('Verificação Peneiradores'!$M$86:$M$90,"SEM TAG")&gt;0,"Sem TAG de calibração; ","")&amp;IF('Verificação Peneiradores'!$M$86="NÃO OK","Condições das telas; ","")&amp;IF('Verificação Peneiradores'!$M$87="NÃO OK","Inclinação das telas; ","")&amp;IF('Verificação Peneiradores'!$M$88="NÃO OK","Vibração do peneirador; ","")&amp;IF('Verificação Peneiradores'!$M$89="NÃO OK","Travamento das peneiras; ","")&amp;IF('Verificação Peneiradores'!$M$90="NÃO OK","Calibração; ","")</f>
        <v/>
      </c>
      <c r="Q674" t="s">
        <v>1045</v>
      </c>
    </row>
    <row r="675">
      <c r="A675" t="s">
        <v>816</v>
      </c>
      <c r="B675" t="s">
        <v>667</v>
      </c>
      <c r="C675" s="912" t="str">
        <f>IF(MAX('Verificação Peneiradores'!$AC$83:$AC$92)=0,"",MAX('Verificação Peneiradores'!$AC$83:$AC$92))</f>
        <v/>
      </c>
      <c r="D675" t="str">
        <f>IF('Verificação Peneiradores'!$N$84&amp;""="","Peneirador 09",TRIM('Verificação Peneiradores'!$N$84&amp;""))</f>
        <v>PN516</v>
      </c>
      <c r="E675" t="str">
        <f>"Malha "&amp;'Verificação Peneiradores'!$N$83&amp;" mm ("&amp;"Peneirador 09"&amp;")"</f>
        <v>Malha 16 mm (Peneirador 09)</v>
      </c>
      <c r="F675" t="s">
        <v>817</v>
      </c>
      <c r="G675" t="str">
        <f>IF(COUNTA('Verificação Peneiradores'!$N$86:$N$90)=0,"",COUNTIF('Verificação Peneiradores'!$N$86:$N$90,"OK"))</f>
        <v/>
      </c>
      <c r="H675" t="str">
        <f>IF(COUNTA('Verificação Peneiradores'!$N$86:$N$90)=0,"",COUNTA('Verificação Peneiradores'!$N$86:$N$90))</f>
        <v/>
      </c>
      <c r="M675" t="str">
        <f>IF(COUNTA('Verificação Peneiradores'!$N$86:$N$90)=0,"",IF(COUNTIF('Verificação Peneiradores'!$N$86:$N$90,"NÃO OK")&gt;0,"Não conforme","Conforme"))</f>
        <v/>
      </c>
      <c r="N675" t="str">
        <f>IFERROR(TRIM(INDEX('Verificação Peneiradores'!$AE$83:$AE$92,MATCH("*",'Verificação Peneiradores'!$AE$83:$AE$92,0))),"")</f>
        <v/>
      </c>
      <c r="O675" t="str">
        <f>IFERROR(TRIM(INDEX('Verificação Peneiradores'!$AD$83:$AD$92,MATCH("*",'Verificação Peneiradores'!$AD$83:$AD$92,0))),"")</f>
        <v/>
      </c>
      <c r="P675" t="str">
        <f>IF(COUNTIF('Verificação Peneiradores'!$N$86:$N$90,"SEM TAG")&gt;0,"Sem TAG de calibração; ","")&amp;IF('Verificação Peneiradores'!$N$86="NÃO OK","Condições das telas; ","")&amp;IF('Verificação Peneiradores'!$N$87="NÃO OK","Inclinação das telas; ","")&amp;IF('Verificação Peneiradores'!$N$88="NÃO OK","Vibração do peneirador; ","")&amp;IF('Verificação Peneiradores'!$N$89="NÃO OK","Travamento das peneiras; ","")&amp;IF('Verificação Peneiradores'!$N$90="NÃO OK","Calibração; ","")</f>
        <v/>
      </c>
      <c r="Q675" t="s">
        <v>1046</v>
      </c>
    </row>
    <row r="676">
      <c r="A676" t="s">
        <v>816</v>
      </c>
      <c r="B676" t="s">
        <v>667</v>
      </c>
      <c r="C676" s="912" t="str">
        <f>IF(MAX('Verificação Peneiradores'!$AC$83:$AC$92)=0,"",MAX('Verificação Peneiradores'!$AC$83:$AC$92))</f>
        <v/>
      </c>
      <c r="D676" t="str">
        <f>IF('Verificação Peneiradores'!$O$84&amp;""="","Peneirador 09",TRIM('Verificação Peneiradores'!$O$84&amp;""))</f>
        <v>PN650</v>
      </c>
      <c r="E676" t="str">
        <f>"Malha "&amp;'Verificação Peneiradores'!$O$83&amp;" mm ("&amp;"Peneirador 09"&amp;")"</f>
        <v>Malha 14 mm (Peneirador 09)</v>
      </c>
      <c r="F676" t="s">
        <v>817</v>
      </c>
      <c r="G676" t="str">
        <f>IF(COUNTA('Verificação Peneiradores'!$O$86:$O$90)=0,"",COUNTIF('Verificação Peneiradores'!$O$86:$O$90,"OK"))</f>
        <v/>
      </c>
      <c r="H676" t="str">
        <f>IF(COUNTA('Verificação Peneiradores'!$O$86:$O$90)=0,"",COUNTA('Verificação Peneiradores'!$O$86:$O$90))</f>
        <v/>
      </c>
      <c r="M676" t="str">
        <f>IF(COUNTA('Verificação Peneiradores'!$O$86:$O$90)=0,"",IF(COUNTIF('Verificação Peneiradores'!$O$86:$O$90,"NÃO OK")&gt;0,"Não conforme","Conforme"))</f>
        <v/>
      </c>
      <c r="N676" t="str">
        <f>IFERROR(TRIM(INDEX('Verificação Peneiradores'!$AE$83:$AE$92,MATCH("*",'Verificação Peneiradores'!$AE$83:$AE$92,0))),"")</f>
        <v/>
      </c>
      <c r="O676" t="str">
        <f>IFERROR(TRIM(INDEX('Verificação Peneiradores'!$AD$83:$AD$92,MATCH("*",'Verificação Peneiradores'!$AD$83:$AD$92,0))),"")</f>
        <v/>
      </c>
      <c r="P676" t="str">
        <f>IF(COUNTIF('Verificação Peneiradores'!$O$86:$O$90,"SEM TAG")&gt;0,"Sem TAG de calibração; ","")&amp;IF('Verificação Peneiradores'!$O$86="NÃO OK","Condições das telas; ","")&amp;IF('Verificação Peneiradores'!$O$87="NÃO OK","Inclinação das telas; ","")&amp;IF('Verificação Peneiradores'!$O$88="NÃO OK","Vibração do peneirador; ","")&amp;IF('Verificação Peneiradores'!$O$89="NÃO OK","Travamento das peneiras; ","")&amp;IF('Verificação Peneiradores'!$O$90="NÃO OK","Calibração; ","")</f>
        <v/>
      </c>
      <c r="Q676" t="s">
        <v>1047</v>
      </c>
    </row>
    <row r="677">
      <c r="A677" t="s">
        <v>816</v>
      </c>
      <c r="B677" t="s">
        <v>667</v>
      </c>
      <c r="C677" s="912" t="str">
        <f>IF(MAX('Verificação Peneiradores'!$AC$83:$AC$92)=0,"",MAX('Verificação Peneiradores'!$AC$83:$AC$92))</f>
        <v/>
      </c>
      <c r="D677" t="str">
        <f>IF('Verificação Peneiradores'!$P$84&amp;""="","Peneirador 09",TRIM('Verificação Peneiradores'!$P$84&amp;""))</f>
        <v>PN484</v>
      </c>
      <c r="E677" t="str">
        <f>"Malha "&amp;'Verificação Peneiradores'!$P$83&amp;" mm ("&amp;"Peneirador 09"&amp;")"</f>
        <v>Malha 12,5 mm (Peneirador 09)</v>
      </c>
      <c r="F677" t="s">
        <v>817</v>
      </c>
      <c r="G677" t="str">
        <f>IF(COUNTA('Verificação Peneiradores'!$P$86:$P$90)=0,"",COUNTIF('Verificação Peneiradores'!$P$86:$P$90,"OK"))</f>
        <v/>
      </c>
      <c r="H677" t="str">
        <f>IF(COUNTA('Verificação Peneiradores'!$P$86:$P$90)=0,"",COUNTA('Verificação Peneiradores'!$P$86:$P$90))</f>
        <v/>
      </c>
      <c r="M677" t="str">
        <f>IF(COUNTA('Verificação Peneiradores'!$P$86:$P$90)=0,"",IF(COUNTIF('Verificação Peneiradores'!$P$86:$P$90,"NÃO OK")&gt;0,"Não conforme","Conforme"))</f>
        <v/>
      </c>
      <c r="N677" t="str">
        <f>IFERROR(TRIM(INDEX('Verificação Peneiradores'!$AE$83:$AE$92,MATCH("*",'Verificação Peneiradores'!$AE$83:$AE$92,0))),"")</f>
        <v/>
      </c>
      <c r="O677" t="str">
        <f>IFERROR(TRIM(INDEX('Verificação Peneiradores'!$AD$83:$AD$92,MATCH("*",'Verificação Peneiradores'!$AD$83:$AD$92,0))),"")</f>
        <v/>
      </c>
      <c r="P677" t="str">
        <f>IF(COUNTIF('Verificação Peneiradores'!$P$86:$P$90,"SEM TAG")&gt;0,"Sem TAG de calibração; ","")&amp;IF('Verificação Peneiradores'!$P$86="NÃO OK","Condições das telas; ","")&amp;IF('Verificação Peneiradores'!$P$87="NÃO OK","Inclinação das telas; ","")&amp;IF('Verificação Peneiradores'!$P$88="NÃO OK","Vibração do peneirador; ","")&amp;IF('Verificação Peneiradores'!$P$89="NÃO OK","Travamento das peneiras; ","")&amp;IF('Verificação Peneiradores'!$P$90="NÃO OK","Calibração; ","")</f>
        <v/>
      </c>
      <c r="Q677" t="s">
        <v>1048</v>
      </c>
    </row>
    <row r="678">
      <c r="A678" t="s">
        <v>816</v>
      </c>
      <c r="B678" t="s">
        <v>667</v>
      </c>
      <c r="C678" s="912" t="str">
        <f>IF(MAX('Verificação Peneiradores'!$AC$83:$AC$92)=0,"",MAX('Verificação Peneiradores'!$AC$83:$AC$92))</f>
        <v/>
      </c>
      <c r="D678" t="str">
        <f>IF('Verificação Peneiradores'!$Q$84&amp;""="","Peneirador 09",TRIM('Verificação Peneiradores'!$Q$84&amp;""))</f>
        <v>PN558</v>
      </c>
      <c r="E678" t="str">
        <f>"Malha "&amp;'Verificação Peneiradores'!$Q$83&amp;" mm ("&amp;"Peneirador 09"&amp;")"</f>
        <v>Malha 9 mm (Peneirador 09)</v>
      </c>
      <c r="F678" t="s">
        <v>817</v>
      </c>
      <c r="G678" t="str">
        <f>IF(COUNTA('Verificação Peneiradores'!$Q$86:$Q$90)=0,"",COUNTIF('Verificação Peneiradores'!$Q$86:$Q$90,"OK"))</f>
        <v/>
      </c>
      <c r="H678" t="str">
        <f>IF(COUNTA('Verificação Peneiradores'!$Q$86:$Q$90)=0,"",COUNTA('Verificação Peneiradores'!$Q$86:$Q$90))</f>
        <v/>
      </c>
      <c r="M678" t="str">
        <f>IF(COUNTA('Verificação Peneiradores'!$Q$86:$Q$90)=0,"",IF(COUNTIF('Verificação Peneiradores'!$Q$86:$Q$90,"NÃO OK")&gt;0,"Não conforme","Conforme"))</f>
        <v/>
      </c>
      <c r="N678" t="str">
        <f>IFERROR(TRIM(INDEX('Verificação Peneiradores'!$AE$83:$AE$92,MATCH("*",'Verificação Peneiradores'!$AE$83:$AE$92,0))),"")</f>
        <v/>
      </c>
      <c r="O678" t="str">
        <f>IFERROR(TRIM(INDEX('Verificação Peneiradores'!$AD$83:$AD$92,MATCH("*",'Verificação Peneiradores'!$AD$83:$AD$92,0))),"")</f>
        <v/>
      </c>
      <c r="P678" t="str">
        <f>IF(COUNTIF('Verificação Peneiradores'!$Q$86:$Q$90,"SEM TAG")&gt;0,"Sem TAG de calibração; ","")&amp;IF('Verificação Peneiradores'!$Q$86="NÃO OK","Condições das telas; ","")&amp;IF('Verificação Peneiradores'!$Q$87="NÃO OK","Inclinação das telas; ","")&amp;IF('Verificação Peneiradores'!$Q$88="NÃO OK","Vibração do peneirador; ","")&amp;IF('Verificação Peneiradores'!$Q$89="NÃO OK","Travamento das peneiras; ","")&amp;IF('Verificação Peneiradores'!$Q$90="NÃO OK","Calibração; ","")</f>
        <v/>
      </c>
      <c r="Q678" t="s">
        <v>1049</v>
      </c>
    </row>
    <row r="679">
      <c r="A679" t="s">
        <v>816</v>
      </c>
      <c r="B679" t="s">
        <v>667</v>
      </c>
      <c r="C679" s="912" t="str">
        <f>IF(MAX('Verificação Peneiradores'!$AC$83:$AC$92)=0,"",MAX('Verificação Peneiradores'!$AC$83:$AC$92))</f>
        <v/>
      </c>
      <c r="D679" t="str">
        <f>IF('Verificação Peneiradores'!$R$84&amp;""="","Peneirador 09",TRIM('Verificação Peneiradores'!$R$84&amp;""))</f>
        <v>PN505</v>
      </c>
      <c r="E679" t="str">
        <f>"Malha "&amp;'Verificação Peneiradores'!$R$83&amp;" mm ("&amp;"Peneirador 09"&amp;")"</f>
        <v>Malha 8 mm (Peneirador 09)</v>
      </c>
      <c r="F679" t="s">
        <v>817</v>
      </c>
      <c r="G679" t="str">
        <f>IF(COUNTA('Verificação Peneiradores'!$R$86:$R$90)=0,"",COUNTIF('Verificação Peneiradores'!$R$86:$R$90,"OK"))</f>
        <v/>
      </c>
      <c r="H679" t="str">
        <f>IF(COUNTA('Verificação Peneiradores'!$R$86:$R$90)=0,"",COUNTA('Verificação Peneiradores'!$R$86:$R$90))</f>
        <v/>
      </c>
      <c r="M679" t="str">
        <f>IF(COUNTA('Verificação Peneiradores'!$R$86:$R$90)=0,"",IF(COUNTIF('Verificação Peneiradores'!$R$86:$R$90,"NÃO OK")&gt;0,"Não conforme","Conforme"))</f>
        <v/>
      </c>
      <c r="N679" t="str">
        <f>IFERROR(TRIM(INDEX('Verificação Peneiradores'!$AE$83:$AE$92,MATCH("*",'Verificação Peneiradores'!$AE$83:$AE$92,0))),"")</f>
        <v/>
      </c>
      <c r="O679" t="str">
        <f>IFERROR(TRIM(INDEX('Verificação Peneiradores'!$AD$83:$AD$92,MATCH("*",'Verificação Peneiradores'!$AD$83:$AD$92,0))),"")</f>
        <v/>
      </c>
      <c r="P679" t="str">
        <f>IF(COUNTIF('Verificação Peneiradores'!$R$86:$R$90,"SEM TAG")&gt;0,"Sem TAG de calibração; ","")&amp;IF('Verificação Peneiradores'!$R$86="NÃO OK","Condições das telas; ","")&amp;IF('Verificação Peneiradores'!$R$87="NÃO OK","Inclinação das telas; ","")&amp;IF('Verificação Peneiradores'!$R$88="NÃO OK","Vibração do peneirador; ","")&amp;IF('Verificação Peneiradores'!$R$89="NÃO OK","Travamento das peneiras; ","")&amp;IF('Verificação Peneiradores'!$R$90="NÃO OK","Calibração; ","")</f>
        <v/>
      </c>
      <c r="Q679" t="s">
        <v>1050</v>
      </c>
    </row>
    <row r="680">
      <c r="A680" t="s">
        <v>816</v>
      </c>
      <c r="B680" t="s">
        <v>667</v>
      </c>
      <c r="C680" s="912" t="str">
        <f>IF(MAX('Verificação Peneiradores'!$AC$83:$AC$92)=0,"",MAX('Verificação Peneiradores'!$AC$83:$AC$92))</f>
        <v/>
      </c>
      <c r="D680" t="str">
        <f>IF('Verificação Peneiradores'!$S$84&amp;""="","Peneirador 09",TRIM('Verificação Peneiradores'!$S$84&amp;""))</f>
        <v>PN631</v>
      </c>
      <c r="E680" t="str">
        <f>"Malha "&amp;'Verificação Peneiradores'!$S$83&amp;" mm ("&amp;"Peneirador 09"&amp;")"</f>
        <v>Malha 6,3 mm (Peneirador 09)</v>
      </c>
      <c r="F680" t="s">
        <v>817</v>
      </c>
      <c r="G680" t="str">
        <f>IF(COUNTA('Verificação Peneiradores'!$S$86:$S$90)=0,"",COUNTIF('Verificação Peneiradores'!$S$86:$S$90,"OK"))</f>
        <v/>
      </c>
      <c r="H680" t="str">
        <f>IF(COUNTA('Verificação Peneiradores'!$S$86:$S$90)=0,"",COUNTA('Verificação Peneiradores'!$S$86:$S$90))</f>
        <v/>
      </c>
      <c r="M680" t="str">
        <f>IF(COUNTA('Verificação Peneiradores'!$S$86:$S$90)=0,"",IF(COUNTIF('Verificação Peneiradores'!$S$86:$S$90,"NÃO OK")&gt;0,"Não conforme","Conforme"))</f>
        <v/>
      </c>
      <c r="N680" t="str">
        <f>IFERROR(TRIM(INDEX('Verificação Peneiradores'!$AE$83:$AE$92,MATCH("*",'Verificação Peneiradores'!$AE$83:$AE$92,0))),"")</f>
        <v/>
      </c>
      <c r="O680" t="str">
        <f>IFERROR(TRIM(INDEX('Verificação Peneiradores'!$AD$83:$AD$92,MATCH("*",'Verificação Peneiradores'!$AD$83:$AD$92,0))),"")</f>
        <v/>
      </c>
      <c r="P680" t="str">
        <f>IF(COUNTIF('Verificação Peneiradores'!$S$86:$S$90,"SEM TAG")&gt;0,"Sem TAG de calibração; ","")&amp;IF('Verificação Peneiradores'!$S$86="NÃO OK","Condições das telas; ","")&amp;IF('Verificação Peneiradores'!$S$87="NÃO OK","Inclinação das telas; ","")&amp;IF('Verificação Peneiradores'!$S$88="NÃO OK","Vibração do peneirador; ","")&amp;IF('Verificação Peneiradores'!$S$89="NÃO OK","Travamento das peneiras; ","")&amp;IF('Verificação Peneiradores'!$S$90="NÃO OK","Calibração; ","")</f>
        <v/>
      </c>
      <c r="Q680" t="s">
        <v>1051</v>
      </c>
    </row>
    <row r="681">
      <c r="A681" t="s">
        <v>816</v>
      </c>
      <c r="B681" t="s">
        <v>667</v>
      </c>
      <c r="C681" s="912" t="str">
        <f>IF(MAX('Verificação Peneiradores'!$AC$83:$AC$92)=0,"",MAX('Verificação Peneiradores'!$AC$83:$AC$92))</f>
        <v/>
      </c>
      <c r="D681" t="str">
        <f>IF('Verificação Peneiradores'!$T$84&amp;""="","Peneirador 05",TRIM('Verificação Peneiradores'!$T$84&amp;""))</f>
        <v>PN398</v>
      </c>
      <c r="E681" t="str">
        <f>"Malha "&amp;'Verificação Peneiradores'!$T$83&amp;" mm ("&amp;"Peneirador 05"&amp;")"</f>
        <v>Malha 19 mm (Peneirador 05)</v>
      </c>
      <c r="F681" t="s">
        <v>817</v>
      </c>
      <c r="G681" t="str">
        <f>IF(COUNTA('Verificação Peneiradores'!$T$86:$T$90)=0,"",COUNTIF('Verificação Peneiradores'!$T$86:$T$90,"OK"))</f>
        <v/>
      </c>
      <c r="H681" t="str">
        <f>IF(COUNTA('Verificação Peneiradores'!$T$86:$T$90)=0,"",COUNTA('Verificação Peneiradores'!$T$86:$T$90))</f>
        <v/>
      </c>
      <c r="M681" t="str">
        <f>IF(COUNTA('Verificação Peneiradores'!$T$86:$T$90)=0,"",IF(COUNTIF('Verificação Peneiradores'!$T$86:$T$90,"NÃO OK")&gt;0,"Não conforme","Conforme"))</f>
        <v/>
      </c>
      <c r="N681" t="str">
        <f>IFERROR(TRIM(INDEX('Verificação Peneiradores'!$AE$83:$AE$92,MATCH("*",'Verificação Peneiradores'!$AE$83:$AE$92,0))),"")</f>
        <v/>
      </c>
      <c r="O681" t="str">
        <f>IFERROR(TRIM(INDEX('Verificação Peneiradores'!$AD$83:$AD$92,MATCH("*",'Verificação Peneiradores'!$AD$83:$AD$92,0))),"")</f>
        <v/>
      </c>
      <c r="P681" t="str">
        <f>IF(COUNTIF('Verificação Peneiradores'!$T$86:$T$90,"SEM TAG")&gt;0,"Sem TAG de calibração; ","")&amp;IF('Verificação Peneiradores'!$T$86="NÃO OK","Condições das telas; ","")&amp;IF('Verificação Peneiradores'!$T$87="NÃO OK","Inclinação das telas; ","")&amp;IF('Verificação Peneiradores'!$T$88="NÃO OK","Vibração do peneirador; ","")&amp;IF('Verificação Peneiradores'!$T$89="NÃO OK","Travamento das peneiras; ","")&amp;IF('Verificação Peneiradores'!$T$90="NÃO OK","Calibração; ","")</f>
        <v/>
      </c>
      <c r="Q681" t="s">
        <v>1052</v>
      </c>
    </row>
    <row r="682">
      <c r="A682" t="s">
        <v>816</v>
      </c>
      <c r="B682" t="s">
        <v>667</v>
      </c>
      <c r="C682" s="912" t="str">
        <f>IF(MAX('Verificação Peneiradores'!$AC$83:$AC$92)=0,"",MAX('Verificação Peneiradores'!$AC$83:$AC$92))</f>
        <v/>
      </c>
      <c r="D682" t="str">
        <f>IF('Verificação Peneiradores'!$U$84&amp;""="","Peneirador 05",TRIM('Verificação Peneiradores'!$U$84&amp;""))</f>
        <v>PN664</v>
      </c>
      <c r="E682" t="str">
        <f>"Malha "&amp;'Verificação Peneiradores'!$U$83&amp;" mm ("&amp;"Peneirador 05"&amp;")"</f>
        <v>Malha 16 mm (Peneirador 05)</v>
      </c>
      <c r="F682" t="s">
        <v>817</v>
      </c>
      <c r="G682" t="str">
        <f>IF(COUNTA('Verificação Peneiradores'!$U$86:$U$90)=0,"",COUNTIF('Verificação Peneiradores'!$U$86:$U$90,"OK"))</f>
        <v/>
      </c>
      <c r="H682" t="str">
        <f>IF(COUNTA('Verificação Peneiradores'!$U$86:$U$90)=0,"",COUNTA('Verificação Peneiradores'!$U$86:$U$90))</f>
        <v/>
      </c>
      <c r="M682" t="str">
        <f>IF(COUNTA('Verificação Peneiradores'!$U$86:$U$90)=0,"",IF(COUNTIF('Verificação Peneiradores'!$U$86:$U$90,"NÃO OK")&gt;0,"Não conforme","Conforme"))</f>
        <v/>
      </c>
      <c r="N682" t="str">
        <f>IFERROR(TRIM(INDEX('Verificação Peneiradores'!$AE$83:$AE$92,MATCH("*",'Verificação Peneiradores'!$AE$83:$AE$92,0))),"")</f>
        <v/>
      </c>
      <c r="O682" t="str">
        <f>IFERROR(TRIM(INDEX('Verificação Peneiradores'!$AD$83:$AD$92,MATCH("*",'Verificação Peneiradores'!$AD$83:$AD$92,0))),"")</f>
        <v/>
      </c>
      <c r="P682" t="str">
        <f>IF(COUNTIF('Verificação Peneiradores'!$U$86:$U$90,"SEM TAG")&gt;0,"Sem TAG de calibração; ","")&amp;IF('Verificação Peneiradores'!$U$86="NÃO OK","Condições das telas; ","")&amp;IF('Verificação Peneiradores'!$U$87="NÃO OK","Inclinação das telas; ","")&amp;IF('Verificação Peneiradores'!$U$88="NÃO OK","Vibração do peneirador; ","")&amp;IF('Verificação Peneiradores'!$U$89="NÃO OK","Travamento das peneiras; ","")&amp;IF('Verificação Peneiradores'!$U$90="NÃO OK","Calibração; ","")</f>
        <v/>
      </c>
      <c r="Q682" t="s">
        <v>1053</v>
      </c>
    </row>
    <row r="683">
      <c r="A683" t="s">
        <v>816</v>
      </c>
      <c r="B683" t="s">
        <v>667</v>
      </c>
      <c r="C683" s="912" t="str">
        <f>IF(MAX('Verificação Peneiradores'!$AC$83:$AC$92)=0,"",MAX('Verificação Peneiradores'!$AC$83:$AC$92))</f>
        <v/>
      </c>
      <c r="D683" t="str">
        <f>IF('Verificação Peneiradores'!$V$84&amp;""="","Peneirador 05",TRIM('Verificação Peneiradores'!$V$84&amp;""))</f>
        <v>PN665</v>
      </c>
      <c r="E683" t="str">
        <f>"Malha "&amp;'Verificação Peneiradores'!$V$83&amp;" mm ("&amp;"Peneirador 05"&amp;")"</f>
        <v>Malha 14 mm (Peneirador 05)</v>
      </c>
      <c r="F683" t="s">
        <v>817</v>
      </c>
      <c r="G683" t="str">
        <f>IF(COUNTA('Verificação Peneiradores'!$V$86:$V$90)=0,"",COUNTIF('Verificação Peneiradores'!$V$86:$V$90,"OK"))</f>
        <v/>
      </c>
      <c r="H683" t="str">
        <f>IF(COUNTA('Verificação Peneiradores'!$V$86:$V$90)=0,"",COUNTA('Verificação Peneiradores'!$V$86:$V$90))</f>
        <v/>
      </c>
      <c r="M683" t="str">
        <f>IF(COUNTA('Verificação Peneiradores'!$V$86:$V$90)=0,"",IF(COUNTIF('Verificação Peneiradores'!$V$86:$V$90,"NÃO OK")&gt;0,"Não conforme","Conforme"))</f>
        <v/>
      </c>
      <c r="N683" t="str">
        <f>IFERROR(TRIM(INDEX('Verificação Peneiradores'!$AE$83:$AE$92,MATCH("*",'Verificação Peneiradores'!$AE$83:$AE$92,0))),"")</f>
        <v/>
      </c>
      <c r="O683" t="str">
        <f>IFERROR(TRIM(INDEX('Verificação Peneiradores'!$AD$83:$AD$92,MATCH("*",'Verificação Peneiradores'!$AD$83:$AD$92,0))),"")</f>
        <v/>
      </c>
      <c r="P683" t="str">
        <f>IF(COUNTIF('Verificação Peneiradores'!$V$86:$V$90,"SEM TAG")&gt;0,"Sem TAG de calibração; ","")&amp;IF('Verificação Peneiradores'!$V$86="NÃO OK","Condições das telas; ","")&amp;IF('Verificação Peneiradores'!$V$87="NÃO OK","Inclinação das telas; ","")&amp;IF('Verificação Peneiradores'!$V$88="NÃO OK","Vibração do peneirador; ","")&amp;IF('Verificação Peneiradores'!$V$89="NÃO OK","Travamento das peneiras; ","")&amp;IF('Verificação Peneiradores'!$V$90="NÃO OK","Calibração; ","")</f>
        <v/>
      </c>
      <c r="Q683" t="s">
        <v>1054</v>
      </c>
    </row>
    <row r="684">
      <c r="A684" t="s">
        <v>816</v>
      </c>
      <c r="B684" t="s">
        <v>667</v>
      </c>
      <c r="C684" s="912" t="str">
        <f>IF(MAX('Verificação Peneiradores'!$AC$83:$AC$92)=0,"",MAX('Verificação Peneiradores'!$AC$83:$AC$92))</f>
        <v/>
      </c>
      <c r="D684" t="str">
        <f>IF('Verificação Peneiradores'!$W$84&amp;""="","Peneirador 05",TRIM('Verificação Peneiradores'!$W$84&amp;""))</f>
        <v>PN666</v>
      </c>
      <c r="E684" t="str">
        <f>"Malha "&amp;'Verificação Peneiradores'!$W$83&amp;" mm ("&amp;"Peneirador 05"&amp;")"</f>
        <v>Malha 12,5 mm (Peneirador 05)</v>
      </c>
      <c r="F684" t="s">
        <v>817</v>
      </c>
      <c r="G684" t="str">
        <f>IF(COUNTA('Verificação Peneiradores'!$W$86:$W$90)=0,"",COUNTIF('Verificação Peneiradores'!$W$86:$W$90,"OK"))</f>
        <v/>
      </c>
      <c r="H684" t="str">
        <f>IF(COUNTA('Verificação Peneiradores'!$W$86:$W$90)=0,"",COUNTA('Verificação Peneiradores'!$W$86:$W$90))</f>
        <v/>
      </c>
      <c r="M684" t="str">
        <f>IF(COUNTA('Verificação Peneiradores'!$W$86:$W$90)=0,"",IF(COUNTIF('Verificação Peneiradores'!$W$86:$W$90,"NÃO OK")&gt;0,"Não conforme","Conforme"))</f>
        <v/>
      </c>
      <c r="N684" t="str">
        <f>IFERROR(TRIM(INDEX('Verificação Peneiradores'!$AE$83:$AE$92,MATCH("*",'Verificação Peneiradores'!$AE$83:$AE$92,0))),"")</f>
        <v/>
      </c>
      <c r="O684" t="str">
        <f>IFERROR(TRIM(INDEX('Verificação Peneiradores'!$AD$83:$AD$92,MATCH("*",'Verificação Peneiradores'!$AD$83:$AD$92,0))),"")</f>
        <v/>
      </c>
      <c r="P684" t="str">
        <f>IF(COUNTIF('Verificação Peneiradores'!$W$86:$W$90,"SEM TAG")&gt;0,"Sem TAG de calibração; ","")&amp;IF('Verificação Peneiradores'!$W$86="NÃO OK","Condições das telas; ","")&amp;IF('Verificação Peneiradores'!$W$87="NÃO OK","Inclinação das telas; ","")&amp;IF('Verificação Peneiradores'!$W$88="NÃO OK","Vibração do peneirador; ","")&amp;IF('Verificação Peneiradores'!$W$89="NÃO OK","Travamento das peneiras; ","")&amp;IF('Verificação Peneiradores'!$W$90="NÃO OK","Calibração; ","")</f>
        <v/>
      </c>
      <c r="Q684" t="s">
        <v>1055</v>
      </c>
    </row>
    <row r="685">
      <c r="A685" t="s">
        <v>816</v>
      </c>
      <c r="B685" t="s">
        <v>667</v>
      </c>
      <c r="C685" s="912" t="str">
        <f>IF(MAX('Verificação Peneiradores'!$AC$83:$AC$92)=0,"",MAX('Verificação Peneiradores'!$AC$83:$AC$92))</f>
        <v/>
      </c>
      <c r="D685" t="str">
        <f>IF('Verificação Peneiradores'!$X$84&amp;""="","Peneirador 05",TRIM('Verificação Peneiradores'!$X$84&amp;""))</f>
        <v>PN646</v>
      </c>
      <c r="E685" t="str">
        <f>"Malha "&amp;'Verificação Peneiradores'!$X$83&amp;" mm ("&amp;"Peneirador 05"&amp;")"</f>
        <v>Malha 9 mm (Peneirador 05)</v>
      </c>
      <c r="F685" t="s">
        <v>817</v>
      </c>
      <c r="G685" t="str">
        <f>IF(COUNTA('Verificação Peneiradores'!$X$86:$X$90)=0,"",COUNTIF('Verificação Peneiradores'!$X$86:$X$90,"OK"))</f>
        <v/>
      </c>
      <c r="H685" t="str">
        <f>IF(COUNTA('Verificação Peneiradores'!$X$86:$X$90)=0,"",COUNTA('Verificação Peneiradores'!$X$86:$X$90))</f>
        <v/>
      </c>
      <c r="M685" t="str">
        <f>IF(COUNTA('Verificação Peneiradores'!$X$86:$X$90)=0,"",IF(COUNTIF('Verificação Peneiradores'!$X$86:$X$90,"NÃO OK")&gt;0,"Não conforme","Conforme"))</f>
        <v/>
      </c>
      <c r="N685" t="str">
        <f>IFERROR(TRIM(INDEX('Verificação Peneiradores'!$AE$83:$AE$92,MATCH("*",'Verificação Peneiradores'!$AE$83:$AE$92,0))),"")</f>
        <v/>
      </c>
      <c r="O685" t="str">
        <f>IFERROR(TRIM(INDEX('Verificação Peneiradores'!$AD$83:$AD$92,MATCH("*",'Verificação Peneiradores'!$AD$83:$AD$92,0))),"")</f>
        <v/>
      </c>
      <c r="P685" t="str">
        <f>IF(COUNTIF('Verificação Peneiradores'!$X$86:$X$90,"SEM TAG")&gt;0,"Sem TAG de calibração; ","")&amp;IF('Verificação Peneiradores'!$X$86="NÃO OK","Condições das telas; ","")&amp;IF('Verificação Peneiradores'!$X$87="NÃO OK","Inclinação das telas; ","")&amp;IF('Verificação Peneiradores'!$X$88="NÃO OK","Vibração do peneirador; ","")&amp;IF('Verificação Peneiradores'!$X$89="NÃO OK","Travamento das peneiras; ","")&amp;IF('Verificação Peneiradores'!$X$90="NÃO OK","Calibração; ","")</f>
        <v/>
      </c>
      <c r="Q685" t="s">
        <v>1056</v>
      </c>
    </row>
    <row r="686">
      <c r="A686" t="s">
        <v>816</v>
      </c>
      <c r="B686" t="s">
        <v>667</v>
      </c>
      <c r="C686" s="912" t="str">
        <f>IF(MAX('Verificação Peneiradores'!$AC$83:$AC$92)=0,"",MAX('Verificação Peneiradores'!$AC$83:$AC$92))</f>
        <v/>
      </c>
      <c r="D686" t="str">
        <f>IF('Verificação Peneiradores'!$Y$84&amp;""="","Peneirador 05",TRIM('Verificação Peneiradores'!$Y$84&amp;""))</f>
        <v>PN647</v>
      </c>
      <c r="E686" t="str">
        <f>"Malha "&amp;'Verificação Peneiradores'!$Y$83&amp;" mm ("&amp;"Peneirador 05"&amp;")"</f>
        <v>Malha 8 mm (Peneirador 05)</v>
      </c>
      <c r="F686" t="s">
        <v>817</v>
      </c>
      <c r="G686" t="str">
        <f>IF(COUNTA('Verificação Peneiradores'!$Y$86:$Y$90)=0,"",COUNTIF('Verificação Peneiradores'!$Y$86:$Y$90,"OK"))</f>
        <v/>
      </c>
      <c r="H686" t="str">
        <f>IF(COUNTA('Verificação Peneiradores'!$Y$86:$Y$90)=0,"",COUNTA('Verificação Peneiradores'!$Y$86:$Y$90))</f>
        <v/>
      </c>
      <c r="M686" t="str">
        <f>IF(COUNTA('Verificação Peneiradores'!$Y$86:$Y$90)=0,"",IF(COUNTIF('Verificação Peneiradores'!$Y$86:$Y$90,"NÃO OK")&gt;0,"Não conforme","Conforme"))</f>
        <v/>
      </c>
      <c r="N686" t="str">
        <f>IFERROR(TRIM(INDEX('Verificação Peneiradores'!$AE$83:$AE$92,MATCH("*",'Verificação Peneiradores'!$AE$83:$AE$92,0))),"")</f>
        <v/>
      </c>
      <c r="O686" t="str">
        <f>IFERROR(TRIM(INDEX('Verificação Peneiradores'!$AD$83:$AD$92,MATCH("*",'Verificação Peneiradores'!$AD$83:$AD$92,0))),"")</f>
        <v/>
      </c>
      <c r="P686" t="str">
        <f>IF(COUNTIF('Verificação Peneiradores'!$Y$86:$Y$90,"SEM TAG")&gt;0,"Sem TAG de calibração; ","")&amp;IF('Verificação Peneiradores'!$Y$86="NÃO OK","Condições das telas; ","")&amp;IF('Verificação Peneiradores'!$Y$87="NÃO OK","Inclinação das telas; ","")&amp;IF('Verificação Peneiradores'!$Y$88="NÃO OK","Vibração do peneirador; ","")&amp;IF('Verificação Peneiradores'!$Y$89="NÃO OK","Travamento das peneiras; ","")&amp;IF('Verificação Peneiradores'!$Y$90="NÃO OK","Calibração; ","")</f>
        <v/>
      </c>
      <c r="Q686" t="s">
        <v>1057</v>
      </c>
    </row>
    <row r="687">
      <c r="A687" t="s">
        <v>816</v>
      </c>
      <c r="B687" t="s">
        <v>667</v>
      </c>
      <c r="C687" s="912" t="str">
        <f>IF(MAX('Verificação Peneiradores'!$AC$83:$AC$92)=0,"",MAX('Verificação Peneiradores'!$AC$83:$AC$92))</f>
        <v/>
      </c>
      <c r="D687" t="str">
        <f>IF('Verificação Peneiradores'!$Z$84&amp;""="","Peneirador 05",TRIM('Verificação Peneiradores'!$Z$84&amp;""))</f>
        <v>PN648</v>
      </c>
      <c r="E687" t="str">
        <f>"Malha "&amp;'Verificação Peneiradores'!$Z$83&amp;" mm ("&amp;"Peneirador 05"&amp;")"</f>
        <v>Malha 6,3 mm (Peneirador 05)</v>
      </c>
      <c r="F687" t="s">
        <v>817</v>
      </c>
      <c r="G687" t="str">
        <f>IF(COUNTA('Verificação Peneiradores'!$Z$86:$Z$90)=0,"",COUNTIF('Verificação Peneiradores'!$Z$86:$Z$90,"OK"))</f>
        <v/>
      </c>
      <c r="H687" t="str">
        <f>IF(COUNTA('Verificação Peneiradores'!$Z$86:$Z$90)=0,"",COUNTA('Verificação Peneiradores'!$Z$86:$Z$90))</f>
        <v/>
      </c>
      <c r="M687" t="str">
        <f>IF(COUNTA('Verificação Peneiradores'!$Z$86:$Z$90)=0,"",IF(COUNTIF('Verificação Peneiradores'!$Z$86:$Z$90,"NÃO OK")&gt;0,"Não conforme","Conforme"))</f>
        <v/>
      </c>
      <c r="N687" t="str">
        <f>IFERROR(TRIM(INDEX('Verificação Peneiradores'!$AE$83:$AE$92,MATCH("*",'Verificação Peneiradores'!$AE$83:$AE$92,0))),"")</f>
        <v/>
      </c>
      <c r="O687" t="str">
        <f>IFERROR(TRIM(INDEX('Verificação Peneiradores'!$AD$83:$AD$92,MATCH("*",'Verificação Peneiradores'!$AD$83:$AD$92,0))),"")</f>
        <v/>
      </c>
      <c r="P687" t="str">
        <f>IF(COUNTIF('Verificação Peneiradores'!$Z$86:$Z$90,"SEM TAG")&gt;0,"Sem TAG de calibração; ","")&amp;IF('Verificação Peneiradores'!$Z$86="NÃO OK","Condições das telas; ","")&amp;IF('Verificação Peneiradores'!$Z$87="NÃO OK","Inclinação das telas; ","")&amp;IF('Verificação Peneiradores'!$Z$88="NÃO OK","Vibração do peneirador; ","")&amp;IF('Verificação Peneiradores'!$Z$89="NÃO OK","Travamento das peneiras; ","")&amp;IF('Verificação Peneiradores'!$Z$90="NÃO OK","Calibração; ","")</f>
        <v/>
      </c>
      <c r="Q687" t="s">
        <v>1058</v>
      </c>
    </row>
    <row r="688">
      <c r="A688" t="s">
        <v>816</v>
      </c>
      <c r="B688" t="s">
        <v>667</v>
      </c>
      <c r="C688" s="912" t="str">
        <f>IF(MAX('Verificação Peneiradores'!$AC$83:$AC$92)=0,"",MAX('Verificação Peneiradores'!$AC$83:$AC$92))</f>
        <v/>
      </c>
      <c r="D688" t="str">
        <f>IF('Verificação Peneiradores'!$AA$84&amp;""="","Peneirador 06",TRIM('Verificação Peneiradores'!$AA$84&amp;""))</f>
        <v>PN649</v>
      </c>
      <c r="E688" t="str">
        <f>"Malha "&amp;'Verificação Peneiradores'!$AA$83&amp;" mm ("&amp;"Peneirador 06"&amp;")"</f>
        <v>Malha 6,3 mm (Peneirador 06)</v>
      </c>
      <c r="F688" t="s">
        <v>817</v>
      </c>
      <c r="G688" t="str">
        <f>IF(COUNTA('Verificação Peneiradores'!$AA$86:$AA$90)=0,"",COUNTIF('Verificação Peneiradores'!$AA$86:$AA$90,"OK"))</f>
        <v/>
      </c>
      <c r="H688" t="str">
        <f>IF(COUNTA('Verificação Peneiradores'!$AA$86:$AA$90)=0,"",COUNTA('Verificação Peneiradores'!$AA$86:$AA$90))</f>
        <v/>
      </c>
      <c r="M688" t="str">
        <f>IF(COUNTA('Verificação Peneiradores'!$AA$86:$AA$90)=0,"",IF(COUNTIF('Verificação Peneiradores'!$AA$86:$AA$90,"NÃO OK")&gt;0,"Não conforme","Conforme"))</f>
        <v/>
      </c>
      <c r="N688" t="str">
        <f>IFERROR(TRIM(INDEX('Verificação Peneiradores'!$AE$83:$AE$92,MATCH("*",'Verificação Peneiradores'!$AE$83:$AE$92,0))),"")</f>
        <v/>
      </c>
      <c r="O688" t="str">
        <f>IFERROR(TRIM(INDEX('Verificação Peneiradores'!$AD$83:$AD$92,MATCH("*",'Verificação Peneiradores'!$AD$83:$AD$92,0))),"")</f>
        <v/>
      </c>
      <c r="P688" t="str">
        <f>IF(COUNTIF('Verificação Peneiradores'!$AA$86:$AA$90,"SEM TAG")&gt;0,"Sem TAG de calibração; ","")&amp;IF('Verificação Peneiradores'!$AA$86="NÃO OK","Condições das telas; ","")&amp;IF('Verificação Peneiradores'!$AA$87="NÃO OK","Inclinação das telas; ","")&amp;IF('Verificação Peneiradores'!$AA$88="NÃO OK","Vibração do peneirador; ","")&amp;IF('Verificação Peneiradores'!$AA$89="NÃO OK","Travamento das peneiras; ","")&amp;IF('Verificação Peneiradores'!$AA$90="NÃO OK","Calibração; ","")</f>
        <v/>
      </c>
      <c r="Q688" t="s">
        <v>1059</v>
      </c>
    </row>
    <row r="689">
      <c r="A689" t="s">
        <v>816</v>
      </c>
      <c r="B689" t="s">
        <v>667</v>
      </c>
      <c r="C689" s="912" t="str">
        <f>IF(MAX('Verificação Peneiradores'!$AC$83:$AC$92)=0,"",MAX('Verificação Peneiradores'!$AC$83:$AC$92))</f>
        <v/>
      </c>
      <c r="D689" t="str">
        <f>IF('Verificação Peneiradores'!$AB$84&amp;""="","Peneirador 06",TRIM('Verificação Peneiradores'!$AB$84&amp;""))</f>
        <v>N/CONT</v>
      </c>
      <c r="E689" t="str">
        <f>"Malha "&amp;'Verificação Peneiradores'!$AB$83&amp;" mm ("&amp;"Peneirador 06"&amp;")"</f>
        <v>Malha 10 mm (Peneirador 06)</v>
      </c>
      <c r="F689" t="s">
        <v>817</v>
      </c>
      <c r="G689" t="str">
        <f>IF(COUNTA('Verificação Peneiradores'!$AB$86:$AB$90)=0,"",COUNTIF('Verificação Peneiradores'!$AB$86:$AB$90,"OK"))</f>
        <v/>
      </c>
      <c r="H689" t="str">
        <f>IF(COUNTA('Verificação Peneiradores'!$AB$86:$AB$90)=0,"",COUNTA('Verificação Peneiradores'!$AB$86:$AB$90))</f>
        <v/>
      </c>
      <c r="M689" t="str">
        <f>IF(COUNTA('Verificação Peneiradores'!$AB$86:$AB$90)=0,"",IF(COUNTIF('Verificação Peneiradores'!$AB$86:$AB$90,"NÃO OK")&gt;0,"Não conforme","Conforme"))</f>
        <v/>
      </c>
      <c r="N689" t="str">
        <f>IFERROR(TRIM(INDEX('Verificação Peneiradores'!$AE$83:$AE$92,MATCH("*",'Verificação Peneiradores'!$AE$83:$AE$92,0))),"")</f>
        <v/>
      </c>
      <c r="O689" t="str">
        <f>IFERROR(TRIM(INDEX('Verificação Peneiradores'!$AD$83:$AD$92,MATCH("*",'Verificação Peneiradores'!$AD$83:$AD$92,0))),"")</f>
        <v/>
      </c>
      <c r="P689" t="str">
        <f>IF(COUNTIF('Verificação Peneiradores'!$AB$86:$AB$90,"SEM TAG")&gt;0,"Sem TAG de calibração; ","")&amp;IF('Verificação Peneiradores'!$AB$86="NÃO OK","Condições das telas; ","")&amp;IF('Verificação Peneiradores'!$AB$87="NÃO OK","Inclinação das telas; ","")&amp;IF('Verificação Peneiradores'!$AB$88="NÃO OK","Vibração do peneirador; ","")&amp;IF('Verificação Peneiradores'!$AB$89="NÃO OK","Travamento das peneiras; ","")&amp;IF('Verificação Peneiradores'!$AB$90="NÃO OK","Calibração; ","")</f>
        <v/>
      </c>
      <c r="Q689" t="s">
        <v>1060</v>
      </c>
    </row>
    <row r="690">
      <c r="A690" t="s">
        <v>816</v>
      </c>
      <c r="B690" t="s">
        <v>667</v>
      </c>
      <c r="C690" s="912" t="str">
        <f>IF(MAX('Verificação Peneiradores'!$AC$93:$AC$102)=0,"",MAX('Verificação Peneiradores'!$AC$93:$AC$102))</f>
        <v/>
      </c>
      <c r="D690" t="str">
        <f>IF('Verificação Peneiradores'!$B$94&amp;""="","Circulares",TRIM('Verificação Peneiradores'!$B$94&amp;""))</f>
        <v>PN0423</v>
      </c>
      <c r="E690" t="str">
        <f>"Malha "&amp;'Verificação Peneiradores'!$B$93&amp;" mm ("&amp;"Circulares"&amp;")"</f>
        <v>Malha 19 mm (Circulares)</v>
      </c>
      <c r="F690" t="s">
        <v>817</v>
      </c>
      <c r="G690" t="str">
        <f>IF(COUNTA('Verificação Peneiradores'!$B$96:$B$100)=0,"",COUNTIF('Verificação Peneiradores'!$B$96:$B$100,"OK"))</f>
        <v/>
      </c>
      <c r="H690" t="str">
        <f>IF(COUNTA('Verificação Peneiradores'!$B$96:$B$100)=0,"",COUNTA('Verificação Peneiradores'!$B$96:$B$100))</f>
        <v/>
      </c>
      <c r="M690" t="str">
        <f>IF(COUNTA('Verificação Peneiradores'!$B$96:$B$100)=0,"",IF(COUNTIF('Verificação Peneiradores'!$B$96:$B$100,"NÃO OK")&gt;0,"Não conforme","Conforme"))</f>
        <v/>
      </c>
      <c r="N690" t="str">
        <f>IFERROR(TRIM(INDEX('Verificação Peneiradores'!$AE$93:$AE$102,MATCH("*",'Verificação Peneiradores'!$AE$93:$AE$102,0))),"")</f>
        <v/>
      </c>
      <c r="O690" t="str">
        <f>IFERROR(TRIM(INDEX('Verificação Peneiradores'!$AD$93:$AD$102,MATCH("*",'Verificação Peneiradores'!$AD$93:$AD$102,0))),"")</f>
        <v/>
      </c>
      <c r="P690" t="str">
        <f>IF(COUNTIF('Verificação Peneiradores'!$B$96:$B$100,"SEM TAG")&gt;0,"Sem TAG de calibração; ","")&amp;IF('Verificação Peneiradores'!$B$96="NÃO OK","Condições das telas; ","")&amp;IF('Verificação Peneiradores'!$B$97="NÃO OK","Inclinação das telas; ","")&amp;IF('Verificação Peneiradores'!$B$98="NÃO OK","Vibração do peneirador; ","")&amp;IF('Verificação Peneiradores'!$B$99="NÃO OK","Travamento das peneiras; ","")&amp;IF('Verificação Peneiradores'!$B$100="NÃO OK","Calibração; ","")</f>
        <v/>
      </c>
      <c r="Q690" t="s">
        <v>1061</v>
      </c>
    </row>
    <row r="691">
      <c r="A691" t="s">
        <v>816</v>
      </c>
      <c r="B691" t="s">
        <v>667</v>
      </c>
      <c r="C691" s="912" t="str">
        <f>IF(MAX('Verificação Peneiradores'!$AC$93:$AC$102)=0,"",MAX('Verificação Peneiradores'!$AC$93:$AC$102))</f>
        <v/>
      </c>
      <c r="D691" t="str">
        <f>IF('Verificação Peneiradores'!$C$94&amp;""="","Circulares",TRIM('Verificação Peneiradores'!$C$94&amp;""))</f>
        <v>PN0482</v>
      </c>
      <c r="E691" t="str">
        <f>"Malha "&amp;'Verificação Peneiradores'!$C$93&amp;" mm ("&amp;"Circulares"&amp;")"</f>
        <v>Malha 16 mm (Circulares)</v>
      </c>
      <c r="F691" t="s">
        <v>817</v>
      </c>
      <c r="G691" t="str">
        <f>IF(COUNTA('Verificação Peneiradores'!$C$96:$C$100)=0,"",COUNTIF('Verificação Peneiradores'!$C$96:$C$100,"OK"))</f>
        <v/>
      </c>
      <c r="H691" t="str">
        <f>IF(COUNTA('Verificação Peneiradores'!$C$96:$C$100)=0,"",COUNTA('Verificação Peneiradores'!$C$96:$C$100))</f>
        <v/>
      </c>
      <c r="M691" t="str">
        <f>IF(COUNTA('Verificação Peneiradores'!$C$96:$C$100)=0,"",IF(COUNTIF('Verificação Peneiradores'!$C$96:$C$100,"NÃO OK")&gt;0,"Não conforme","Conforme"))</f>
        <v/>
      </c>
      <c r="N691" t="str">
        <f>IFERROR(TRIM(INDEX('Verificação Peneiradores'!$AE$93:$AE$102,MATCH("*",'Verificação Peneiradores'!$AE$93:$AE$102,0))),"")</f>
        <v/>
      </c>
      <c r="O691" t="str">
        <f>IFERROR(TRIM(INDEX('Verificação Peneiradores'!$AD$93:$AD$102,MATCH("*",'Verificação Peneiradores'!$AD$93:$AD$102,0))),"")</f>
        <v/>
      </c>
      <c r="P691" t="str">
        <f>IF(COUNTIF('Verificação Peneiradores'!$C$96:$C$100,"SEM TAG")&gt;0,"Sem TAG de calibração; ","")&amp;IF('Verificação Peneiradores'!$C$96="NÃO OK","Condições das telas; ","")&amp;IF('Verificação Peneiradores'!$C$97="NÃO OK","Inclinação das telas; ","")&amp;IF('Verificação Peneiradores'!$C$98="NÃO OK","Vibração do peneirador; ","")&amp;IF('Verificação Peneiradores'!$C$99="NÃO OK","Travamento das peneiras; ","")&amp;IF('Verificação Peneiradores'!$C$100="NÃO OK","Calibração; ","")</f>
        <v/>
      </c>
      <c r="Q691" t="s">
        <v>1062</v>
      </c>
    </row>
    <row r="692">
      <c r="A692" t="s">
        <v>816</v>
      </c>
      <c r="B692" t="s">
        <v>667</v>
      </c>
      <c r="C692" s="912" t="str">
        <f>IF(MAX('Verificação Peneiradores'!$AC$93:$AC$102)=0,"",MAX('Verificação Peneiradores'!$AC$93:$AC$102))</f>
        <v/>
      </c>
      <c r="D692" t="str">
        <f>IF('Verificação Peneiradores'!$D$94&amp;""="","Circulares",TRIM('Verificação Peneiradores'!$D$94&amp;""))</f>
        <v>PN 614</v>
      </c>
      <c r="E692" t="str">
        <f>"Malha "&amp;'Verificação Peneiradores'!$D$93&amp;" mm ("&amp;"Circulares"&amp;")"</f>
        <v>Malha 12,5 mm (Circulares)</v>
      </c>
      <c r="F692" t="s">
        <v>817</v>
      </c>
      <c r="G692" t="str">
        <f>IF(COUNTA('Verificação Peneiradores'!$D$96:$D$100)=0,"",COUNTIF('Verificação Peneiradores'!$D$96:$D$100,"OK"))</f>
        <v/>
      </c>
      <c r="H692" t="str">
        <f>IF(COUNTA('Verificação Peneiradores'!$D$96:$D$100)=0,"",COUNTA('Verificação Peneiradores'!$D$96:$D$100))</f>
        <v/>
      </c>
      <c r="M692" t="str">
        <f>IF(COUNTA('Verificação Peneiradores'!$D$96:$D$100)=0,"",IF(COUNTIF('Verificação Peneiradores'!$D$96:$D$100,"NÃO OK")&gt;0,"Não conforme","Conforme"))</f>
        <v/>
      </c>
      <c r="N692" t="str">
        <f>IFERROR(TRIM(INDEX('Verificação Peneiradores'!$AE$93:$AE$102,MATCH("*",'Verificação Peneiradores'!$AE$93:$AE$102,0))),"")</f>
        <v/>
      </c>
      <c r="O692" t="str">
        <f>IFERROR(TRIM(INDEX('Verificação Peneiradores'!$AD$93:$AD$102,MATCH("*",'Verificação Peneiradores'!$AD$93:$AD$102,0))),"")</f>
        <v/>
      </c>
      <c r="P692" t="str">
        <f>IF(COUNTIF('Verificação Peneiradores'!$D$96:$D$100,"SEM TAG")&gt;0,"Sem TAG de calibração; ","")&amp;IF('Verificação Peneiradores'!$D$96="NÃO OK","Condições das telas; ","")&amp;IF('Verificação Peneiradores'!$D$97="NÃO OK","Inclinação das telas; ","")&amp;IF('Verificação Peneiradores'!$D$98="NÃO OK","Vibração do peneirador; ","")&amp;IF('Verificação Peneiradores'!$D$99="NÃO OK","Travamento das peneiras; ","")&amp;IF('Verificação Peneiradores'!$D$100="NÃO OK","Calibração; ","")</f>
        <v/>
      </c>
      <c r="Q692" t="s">
        <v>1063</v>
      </c>
    </row>
    <row r="693">
      <c r="A693" t="s">
        <v>816</v>
      </c>
      <c r="B693" t="s">
        <v>667</v>
      </c>
      <c r="C693" s="912" t="str">
        <f>IF(MAX('Verificação Peneiradores'!$AC$93:$AC$102)=0,"",MAX('Verificação Peneiradores'!$AC$93:$AC$102))</f>
        <v/>
      </c>
      <c r="D693" t="str">
        <f>IF('Verificação Peneiradores'!$E$94&amp;""="","Circulares",TRIM('Verificação Peneiradores'!$E$94&amp;""))</f>
        <v>PN 303</v>
      </c>
      <c r="E693" t="str">
        <f>"Malha "&amp;'Verificação Peneiradores'!$E$93&amp;" mm ("&amp;"Circulares"&amp;")"</f>
        <v>Malha 10 mm (Circulares)</v>
      </c>
      <c r="F693" t="s">
        <v>817</v>
      </c>
      <c r="G693" t="str">
        <f>IF(COUNTA('Verificação Peneiradores'!$E$96:$E$100)=0,"",COUNTIF('Verificação Peneiradores'!$E$96:$E$100,"OK"))</f>
        <v/>
      </c>
      <c r="H693" t="str">
        <f>IF(COUNTA('Verificação Peneiradores'!$E$96:$E$100)=0,"",COUNTA('Verificação Peneiradores'!$E$96:$E$100))</f>
        <v/>
      </c>
      <c r="M693" t="str">
        <f>IF(COUNTA('Verificação Peneiradores'!$E$96:$E$100)=0,"",IF(COUNTIF('Verificação Peneiradores'!$E$96:$E$100,"NÃO OK")&gt;0,"Não conforme","Conforme"))</f>
        <v/>
      </c>
      <c r="N693" t="str">
        <f>IFERROR(TRIM(INDEX('Verificação Peneiradores'!$AE$93:$AE$102,MATCH("*",'Verificação Peneiradores'!$AE$93:$AE$102,0))),"")</f>
        <v/>
      </c>
      <c r="O693" t="str">
        <f>IFERROR(TRIM(INDEX('Verificação Peneiradores'!$AD$93:$AD$102,MATCH("*",'Verificação Peneiradores'!$AD$93:$AD$102,0))),"")</f>
        <v/>
      </c>
      <c r="P693" t="str">
        <f>IF(COUNTIF('Verificação Peneiradores'!$E$96:$E$100,"SEM TAG")&gt;0,"Sem TAG de calibração; ","")&amp;IF('Verificação Peneiradores'!$E$96="NÃO OK","Condições das telas; ","")&amp;IF('Verificação Peneiradores'!$E$97="NÃO OK","Inclinação das telas; ","")&amp;IF('Verificação Peneiradores'!$E$98="NÃO OK","Vibração do peneirador; ","")&amp;IF('Verificação Peneiradores'!$E$99="NÃO OK","Travamento das peneiras; ","")&amp;IF('Verificação Peneiradores'!$E$100="NÃO OK","Calibração; ","")</f>
        <v/>
      </c>
      <c r="Q693" t="s">
        <v>1064</v>
      </c>
    </row>
    <row r="694">
      <c r="A694" t="s">
        <v>816</v>
      </c>
      <c r="B694" t="s">
        <v>667</v>
      </c>
      <c r="C694" s="912" t="str">
        <f>IF(MAX('Verificação Peneiradores'!$AC$93:$AC$102)=0,"",MAX('Verificação Peneiradores'!$AC$93:$AC$102))</f>
        <v/>
      </c>
      <c r="D694" t="str">
        <f>IF('Verificação Peneiradores'!$F$94&amp;""="","Circulares",TRIM('Verificação Peneiradores'!$F$94&amp;""))</f>
        <v>PN431</v>
      </c>
      <c r="E694" t="str">
        <f>"Malha "&amp;'Verificação Peneiradores'!$F$93&amp;" mm ("&amp;"Circulares"&amp;")"</f>
        <v>Malha 9 mm (Circulares)</v>
      </c>
      <c r="F694" t="s">
        <v>817</v>
      </c>
      <c r="G694" t="str">
        <f>IF(COUNTA('Verificação Peneiradores'!$F$96:$F$100)=0,"",COUNTIF('Verificação Peneiradores'!$F$96:$F$100,"OK"))</f>
        <v/>
      </c>
      <c r="H694" t="str">
        <f>IF(COUNTA('Verificação Peneiradores'!$F$96:$F$100)=0,"",COUNTA('Verificação Peneiradores'!$F$96:$F$100))</f>
        <v/>
      </c>
      <c r="M694" t="str">
        <f>IF(COUNTA('Verificação Peneiradores'!$F$96:$F$100)=0,"",IF(COUNTIF('Verificação Peneiradores'!$F$96:$F$100,"NÃO OK")&gt;0,"Não conforme","Conforme"))</f>
        <v/>
      </c>
      <c r="N694" t="str">
        <f>IFERROR(TRIM(INDEX('Verificação Peneiradores'!$AE$93:$AE$102,MATCH("*",'Verificação Peneiradores'!$AE$93:$AE$102,0))),"")</f>
        <v/>
      </c>
      <c r="O694" t="str">
        <f>IFERROR(TRIM(INDEX('Verificação Peneiradores'!$AD$93:$AD$102,MATCH("*",'Verificação Peneiradores'!$AD$93:$AD$102,0))),"")</f>
        <v/>
      </c>
      <c r="P694" t="str">
        <f>IF(COUNTIF('Verificação Peneiradores'!$F$96:$F$100,"SEM TAG")&gt;0,"Sem TAG de calibração; ","")&amp;IF('Verificação Peneiradores'!$F$96="NÃO OK","Condições das telas; ","")&amp;IF('Verificação Peneiradores'!$F$97="NÃO OK","Inclinação das telas; ","")&amp;IF('Verificação Peneiradores'!$F$98="NÃO OK","Vibração do peneirador; ","")&amp;IF('Verificação Peneiradores'!$F$99="NÃO OK","Travamento das peneiras; ","")&amp;IF('Verificação Peneiradores'!$F$100="NÃO OK","Calibração; ","")</f>
        <v/>
      </c>
      <c r="Q694" t="s">
        <v>1065</v>
      </c>
    </row>
    <row r="695">
      <c r="A695" t="s">
        <v>816</v>
      </c>
      <c r="B695" t="s">
        <v>667</v>
      </c>
      <c r="C695" s="912" t="str">
        <f>IF(MAX('Verificação Peneiradores'!$AC$93:$AC$102)=0,"",MAX('Verificação Peneiradores'!$AC$93:$AC$102))</f>
        <v/>
      </c>
      <c r="D695" t="str">
        <f>IF('Verificação Peneiradores'!$G$94&amp;""="","Circulares",TRIM('Verificação Peneiradores'!$G$94&amp;""))</f>
        <v>PN432</v>
      </c>
      <c r="E695" t="str">
        <f>"Malha "&amp;'Verificação Peneiradores'!$G$93&amp;" mm ("&amp;"Circulares"&amp;")"</f>
        <v>Malha 8 mm (Circulares)</v>
      </c>
      <c r="F695" t="s">
        <v>817</v>
      </c>
      <c r="G695" t="str">
        <f>IF(COUNTA('Verificação Peneiradores'!$G$96:$G$100)=0,"",COUNTIF('Verificação Peneiradores'!$G$96:$G$100,"OK"))</f>
        <v/>
      </c>
      <c r="H695" t="str">
        <f>IF(COUNTA('Verificação Peneiradores'!$G$96:$G$100)=0,"",COUNTA('Verificação Peneiradores'!$G$96:$G$100))</f>
        <v/>
      </c>
      <c r="M695" t="str">
        <f>IF(COUNTA('Verificação Peneiradores'!$G$96:$G$100)=0,"",IF(COUNTIF('Verificação Peneiradores'!$G$96:$G$100,"NÃO OK")&gt;0,"Não conforme","Conforme"))</f>
        <v/>
      </c>
      <c r="N695" t="str">
        <f>IFERROR(TRIM(INDEX('Verificação Peneiradores'!$AE$93:$AE$102,MATCH("*",'Verificação Peneiradores'!$AE$93:$AE$102,0))),"")</f>
        <v/>
      </c>
      <c r="O695" t="str">
        <f>IFERROR(TRIM(INDEX('Verificação Peneiradores'!$AD$93:$AD$102,MATCH("*",'Verificação Peneiradores'!$AD$93:$AD$102,0))),"")</f>
        <v/>
      </c>
      <c r="P695" t="str">
        <f>IF(COUNTIF('Verificação Peneiradores'!$G$96:$G$100,"SEM TAG")&gt;0,"Sem TAG de calibração; ","")&amp;IF('Verificação Peneiradores'!$G$96="NÃO OK","Condições das telas; ","")&amp;IF('Verificação Peneiradores'!$G$97="NÃO OK","Inclinação das telas; ","")&amp;IF('Verificação Peneiradores'!$G$98="NÃO OK","Vibração do peneirador; ","")&amp;IF('Verificação Peneiradores'!$G$99="NÃO OK","Travamento das peneiras; ","")&amp;IF('Verificação Peneiradores'!$G$100="NÃO OK","Calibração; ","")</f>
        <v/>
      </c>
      <c r="Q695" t="s">
        <v>1066</v>
      </c>
    </row>
    <row r="696">
      <c r="A696" t="s">
        <v>816</v>
      </c>
      <c r="B696" t="s">
        <v>667</v>
      </c>
      <c r="C696" s="912" t="str">
        <f>IF(MAX('Verificação Peneiradores'!$AC$93:$AC$102)=0,"",MAX('Verificação Peneiradores'!$AC$93:$AC$102))</f>
        <v/>
      </c>
      <c r="D696" t="str">
        <f>IF('Verificação Peneiradores'!$H$94&amp;""="","Circulares",TRIM('Verificação Peneiradores'!$H$94&amp;""))</f>
        <v>PN0430</v>
      </c>
      <c r="E696" t="str">
        <f>"Malha "&amp;'Verificação Peneiradores'!$H$93&amp;" mm ("&amp;"Circulares"&amp;")"</f>
        <v>Malha 6,3 mm (Circulares)</v>
      </c>
      <c r="F696" t="s">
        <v>817</v>
      </c>
      <c r="G696" t="str">
        <f>IF(COUNTA('Verificação Peneiradores'!$H$96:$H$100)=0,"",COUNTIF('Verificação Peneiradores'!$H$96:$H$100,"OK"))</f>
        <v/>
      </c>
      <c r="H696" t="str">
        <f>IF(COUNTA('Verificação Peneiradores'!$H$96:$H$100)=0,"",COUNTA('Verificação Peneiradores'!$H$96:$H$100))</f>
        <v/>
      </c>
      <c r="M696" t="str">
        <f>IF(COUNTA('Verificação Peneiradores'!$H$96:$H$100)=0,"",IF(COUNTIF('Verificação Peneiradores'!$H$96:$H$100,"NÃO OK")&gt;0,"Não conforme","Conforme"))</f>
        <v/>
      </c>
      <c r="N696" t="str">
        <f>IFERROR(TRIM(INDEX('Verificação Peneiradores'!$AE$93:$AE$102,MATCH("*",'Verificação Peneiradores'!$AE$93:$AE$102,0))),"")</f>
        <v/>
      </c>
      <c r="O696" t="str">
        <f>IFERROR(TRIM(INDEX('Verificação Peneiradores'!$AD$93:$AD$102,MATCH("*",'Verificação Peneiradores'!$AD$93:$AD$102,0))),"")</f>
        <v/>
      </c>
      <c r="P696" t="str">
        <f>IF(COUNTIF('Verificação Peneiradores'!$H$96:$H$100,"SEM TAG")&gt;0,"Sem TAG de calibração; ","")&amp;IF('Verificação Peneiradores'!$H$96="NÃO OK","Condições das telas; ","")&amp;IF('Verificação Peneiradores'!$H$97="NÃO OK","Inclinação das telas; ","")&amp;IF('Verificação Peneiradores'!$H$98="NÃO OK","Vibração do peneirador; ","")&amp;IF('Verificação Peneiradores'!$H$99="NÃO OK","Travamento das peneiras; ","")&amp;IF('Verificação Peneiradores'!$H$100="NÃO OK","Calibração; ","")</f>
        <v/>
      </c>
      <c r="Q696" t="s">
        <v>1067</v>
      </c>
    </row>
    <row r="697">
      <c r="A697" t="s">
        <v>816</v>
      </c>
      <c r="B697" t="s">
        <v>667</v>
      </c>
      <c r="C697" s="912" t="str">
        <f>IF(MAX('Verificação Peneiradores'!$AC$93:$AC$102)=0,"",MAX('Verificação Peneiradores'!$AC$93:$AC$102))</f>
        <v/>
      </c>
      <c r="D697" t="str">
        <f>IF('Verificação Peneiradores'!$I$94&amp;""="","Circulares",TRIM('Verificação Peneiradores'!$I$94&amp;""))</f>
        <v>PN0425</v>
      </c>
      <c r="E697" t="str">
        <f>"Malha "&amp;'Verificação Peneiradores'!$I$93&amp;" mm ("&amp;"Circulares"&amp;")"</f>
        <v>Malha 5 mm (Circulares)</v>
      </c>
      <c r="F697" t="s">
        <v>817</v>
      </c>
      <c r="G697" t="str">
        <f>IF(COUNTA('Verificação Peneiradores'!$I$96:$I$100)=0,"",COUNTIF('Verificação Peneiradores'!$I$96:$I$100,"OK"))</f>
        <v/>
      </c>
      <c r="H697" t="str">
        <f>IF(COUNTA('Verificação Peneiradores'!$I$96:$I$100)=0,"",COUNTA('Verificação Peneiradores'!$I$96:$I$100))</f>
        <v/>
      </c>
      <c r="M697" t="str">
        <f>IF(COUNTA('Verificação Peneiradores'!$I$96:$I$100)=0,"",IF(COUNTIF('Verificação Peneiradores'!$I$96:$I$100,"NÃO OK")&gt;0,"Não conforme","Conforme"))</f>
        <v/>
      </c>
      <c r="N697" t="str">
        <f>IFERROR(TRIM(INDEX('Verificação Peneiradores'!$AE$93:$AE$102,MATCH("*",'Verificação Peneiradores'!$AE$93:$AE$102,0))),"")</f>
        <v/>
      </c>
      <c r="O697" t="str">
        <f>IFERROR(TRIM(INDEX('Verificação Peneiradores'!$AD$93:$AD$102,MATCH("*",'Verificação Peneiradores'!$AD$93:$AD$102,0))),"")</f>
        <v/>
      </c>
      <c r="P697" t="str">
        <f>IF(COUNTIF('Verificação Peneiradores'!$I$96:$I$100,"SEM TAG")&gt;0,"Sem TAG de calibração; ","")&amp;IF('Verificação Peneiradores'!$I$96="NÃO OK","Condições das telas; ","")&amp;IF('Verificação Peneiradores'!$I$97="NÃO OK","Inclinação das telas; ","")&amp;IF('Verificação Peneiradores'!$I$98="NÃO OK","Vibração do peneirador; ","")&amp;IF('Verificação Peneiradores'!$I$99="NÃO OK","Travamento das peneiras; ","")&amp;IF('Verificação Peneiradores'!$I$100="NÃO OK","Calibração; ","")</f>
        <v/>
      </c>
      <c r="Q697" t="s">
        <v>1068</v>
      </c>
    </row>
    <row r="698">
      <c r="A698" t="s">
        <v>816</v>
      </c>
      <c r="B698" t="s">
        <v>667</v>
      </c>
      <c r="C698" s="912" t="str">
        <f>IF(MAX('Verificação Peneiradores'!$AC$93:$AC$102)=0,"",MAX('Verificação Peneiradores'!$AC$93:$AC$102))</f>
        <v/>
      </c>
      <c r="D698" t="str">
        <f>IF('Verificação Peneiradores'!$J$94&amp;""="","Circulares",TRIM('Verificação Peneiradores'!$J$94&amp;""))</f>
        <v>PN0,46</v>
      </c>
      <c r="E698" t="str">
        <f>"Malha "&amp;'Verificação Peneiradores'!$J$93&amp;" mm ("&amp;"Circulares"&amp;")"</f>
        <v>Malha 3,15 mm (Circulares)</v>
      </c>
      <c r="F698" t="s">
        <v>817</v>
      </c>
      <c r="G698" t="str">
        <f>IF(COUNTA('Verificação Peneiradores'!$J$96:$J$100)=0,"",COUNTIF('Verificação Peneiradores'!$J$96:$J$100,"OK"))</f>
        <v/>
      </c>
      <c r="H698" t="str">
        <f>IF(COUNTA('Verificação Peneiradores'!$J$96:$J$100)=0,"",COUNTA('Verificação Peneiradores'!$J$96:$J$100))</f>
        <v/>
      </c>
      <c r="M698" t="str">
        <f>IF(COUNTA('Verificação Peneiradores'!$J$96:$J$100)=0,"",IF(COUNTIF('Verificação Peneiradores'!$J$96:$J$100,"NÃO OK")&gt;0,"Não conforme","Conforme"))</f>
        <v/>
      </c>
      <c r="N698" t="str">
        <f>IFERROR(TRIM(INDEX('Verificação Peneiradores'!$AE$93:$AE$102,MATCH("*",'Verificação Peneiradores'!$AE$93:$AE$102,0))),"")</f>
        <v/>
      </c>
      <c r="O698" t="str">
        <f>IFERROR(TRIM(INDEX('Verificação Peneiradores'!$AD$93:$AD$102,MATCH("*",'Verificação Peneiradores'!$AD$93:$AD$102,0))),"")</f>
        <v/>
      </c>
      <c r="P698" t="str">
        <f>IF(COUNTIF('Verificação Peneiradores'!$J$96:$J$100,"SEM TAG")&gt;0,"Sem TAG de calibração; ","")&amp;IF('Verificação Peneiradores'!$J$96="NÃO OK","Condições das telas; ","")&amp;IF('Verificação Peneiradores'!$J$97="NÃO OK","Inclinação das telas; ","")&amp;IF('Verificação Peneiradores'!$J$98="NÃO OK","Vibração do peneirador; ","")&amp;IF('Verificação Peneiradores'!$J$99="NÃO OK","Travamento das peneiras; ","")&amp;IF('Verificação Peneiradores'!$J$100="NÃO OK","Calibração; ","")</f>
        <v/>
      </c>
      <c r="Q698" t="s">
        <v>1069</v>
      </c>
    </row>
    <row r="699">
      <c r="A699" t="s">
        <v>816</v>
      </c>
      <c r="B699" t="s">
        <v>667</v>
      </c>
      <c r="C699" s="912" t="str">
        <f>IF(MAX('Verificação Peneiradores'!$AC$93:$AC$102)=0,"",MAX('Verificação Peneiradores'!$AC$93:$AC$102))</f>
        <v/>
      </c>
      <c r="D699" t="str">
        <f>IF('Verificação Peneiradores'!$K$94&amp;""="","Circulares",TRIM('Verificação Peneiradores'!$K$94&amp;""))</f>
        <v>PN0500</v>
      </c>
      <c r="E699" t="str">
        <f>"Malha "&amp;'Verificação Peneiradores'!$K$93&amp;" mm ("&amp;"Circulares"&amp;")"</f>
        <v>Malha 0,5 mm (Circulares)</v>
      </c>
      <c r="F699" t="s">
        <v>817</v>
      </c>
      <c r="G699" t="str">
        <f>IF(COUNTA('Verificação Peneiradores'!$K$96:$K$100)=0,"",COUNTIF('Verificação Peneiradores'!$K$96:$K$100,"OK"))</f>
        <v/>
      </c>
      <c r="H699" t="str">
        <f>IF(COUNTA('Verificação Peneiradores'!$K$96:$K$100)=0,"",COUNTA('Verificação Peneiradores'!$K$96:$K$100))</f>
        <v/>
      </c>
      <c r="M699" t="str">
        <f>IF(COUNTA('Verificação Peneiradores'!$K$96:$K$100)=0,"",IF(COUNTIF('Verificação Peneiradores'!$K$96:$K$100,"NÃO OK")&gt;0,"Não conforme","Conforme"))</f>
        <v/>
      </c>
      <c r="N699" t="str">
        <f>IFERROR(TRIM(INDEX('Verificação Peneiradores'!$AE$93:$AE$102,MATCH("*",'Verificação Peneiradores'!$AE$93:$AE$102,0))),"")</f>
        <v/>
      </c>
      <c r="O699" t="str">
        <f>IFERROR(TRIM(INDEX('Verificação Peneiradores'!$AD$93:$AD$102,MATCH("*",'Verificação Peneiradores'!$AD$93:$AD$102,0))),"")</f>
        <v/>
      </c>
      <c r="P699" t="str">
        <f>IF(COUNTIF('Verificação Peneiradores'!$K$96:$K$100,"SEM TAG")&gt;0,"Sem TAG de calibração; ","")&amp;IF('Verificação Peneiradores'!$K$96="NÃO OK","Condições das telas; ","")&amp;IF('Verificação Peneiradores'!$K$97="NÃO OK","Inclinação das telas; ","")&amp;IF('Verificação Peneiradores'!$K$98="NÃO OK","Vibração do peneirador; ","")&amp;IF('Verificação Peneiradores'!$K$99="NÃO OK","Travamento das peneiras; ","")&amp;IF('Verificação Peneiradores'!$K$100="NÃO OK","Calibração; ","")</f>
        <v/>
      </c>
      <c r="Q699" t="s">
        <v>1070</v>
      </c>
    </row>
    <row r="700">
      <c r="A700" t="s">
        <v>816</v>
      </c>
      <c r="B700" t="s">
        <v>667</v>
      </c>
      <c r="C700" s="912" t="str">
        <f>IF(MAX('Verificação Peneiradores'!$AC$93:$AC$102)=0,"",MAX('Verificação Peneiradores'!$AC$93:$AC$102))</f>
        <v/>
      </c>
      <c r="D700" t="str">
        <f>IF('Verificação Peneiradores'!$L$94&amp;""="","Circulares",TRIM('Verificação Peneiradores'!$L$94&amp;""))</f>
        <v>PN0501</v>
      </c>
      <c r="E700" t="str">
        <f>"Malha "&amp;'Verificação Peneiradores'!$L$93&amp;" mm ("&amp;"Circulares"&amp;")"</f>
        <v>Malha 0,5 mm (Circulares)</v>
      </c>
      <c r="F700" t="s">
        <v>817</v>
      </c>
      <c r="G700" t="str">
        <f>IF(COUNTA('Verificação Peneiradores'!$L$96:$L$100)=0,"",COUNTIF('Verificação Peneiradores'!$L$96:$L$100,"OK"))</f>
        <v/>
      </c>
      <c r="H700" t="str">
        <f>IF(COUNTA('Verificação Peneiradores'!$L$96:$L$100)=0,"",COUNTA('Verificação Peneiradores'!$L$96:$L$100))</f>
        <v/>
      </c>
      <c r="M700" t="str">
        <f>IF(COUNTA('Verificação Peneiradores'!$L$96:$L$100)=0,"",IF(COUNTIF('Verificação Peneiradores'!$L$96:$L$100,"NÃO OK")&gt;0,"Não conforme","Conforme"))</f>
        <v/>
      </c>
      <c r="N700" t="str">
        <f>IFERROR(TRIM(INDEX('Verificação Peneiradores'!$AE$93:$AE$102,MATCH("*",'Verificação Peneiradores'!$AE$93:$AE$102,0))),"")</f>
        <v/>
      </c>
      <c r="O700" t="str">
        <f>IFERROR(TRIM(INDEX('Verificação Peneiradores'!$AD$93:$AD$102,MATCH("*",'Verificação Peneiradores'!$AD$93:$AD$102,0))),"")</f>
        <v/>
      </c>
      <c r="P700" t="str">
        <f>IF(COUNTIF('Verificação Peneiradores'!$L$96:$L$100,"SEM TAG")&gt;0,"Sem TAG de calibração; ","")&amp;IF('Verificação Peneiradores'!$L$96="NÃO OK","Condições das telas; ","")&amp;IF('Verificação Peneiradores'!$L$97="NÃO OK","Inclinação das telas; ","")&amp;IF('Verificação Peneiradores'!$L$98="NÃO OK","Vibração do peneirador; ","")&amp;IF('Verificação Peneiradores'!$L$99="NÃO OK","Travamento das peneiras; ","")&amp;IF('Verificação Peneiradores'!$L$100="NÃO OK","Calibração; ","")</f>
        <v/>
      </c>
      <c r="Q700" t="s">
        <v>1071</v>
      </c>
    </row>
    <row r="701">
      <c r="A701" t="s">
        <v>816</v>
      </c>
      <c r="B701" t="s">
        <v>667</v>
      </c>
      <c r="C701" s="912" t="str">
        <f>IF(MAX('Verificação Peneiradores'!$AC$93:$AC$102)=0,"",MAX('Verificação Peneiradores'!$AC$93:$AC$102))</f>
        <v/>
      </c>
      <c r="D701" t="str">
        <f>IF('Verificação Peneiradores'!$M$94&amp;""="","Peneirador 09",TRIM('Verificação Peneiradores'!$M$94&amp;""))</f>
        <v>PN478</v>
      </c>
      <c r="E701" t="str">
        <f>"Malha "&amp;'Verificação Peneiradores'!$M$93&amp;" mm ("&amp;"Peneirador 09"&amp;")"</f>
        <v>Malha 19 mm (Peneirador 09)</v>
      </c>
      <c r="F701" t="s">
        <v>817</v>
      </c>
      <c r="G701" t="str">
        <f>IF(COUNTA('Verificação Peneiradores'!$M$96:$M$100)=0,"",COUNTIF('Verificação Peneiradores'!$M$96:$M$100,"OK"))</f>
        <v/>
      </c>
      <c r="H701" t="str">
        <f>IF(COUNTA('Verificação Peneiradores'!$M$96:$M$100)=0,"",COUNTA('Verificação Peneiradores'!$M$96:$M$100))</f>
        <v/>
      </c>
      <c r="M701" t="str">
        <f>IF(COUNTA('Verificação Peneiradores'!$M$96:$M$100)=0,"",IF(COUNTIF('Verificação Peneiradores'!$M$96:$M$100,"NÃO OK")&gt;0,"Não conforme","Conforme"))</f>
        <v/>
      </c>
      <c r="N701" t="str">
        <f>IFERROR(TRIM(INDEX('Verificação Peneiradores'!$AE$93:$AE$102,MATCH("*",'Verificação Peneiradores'!$AE$93:$AE$102,0))),"")</f>
        <v/>
      </c>
      <c r="O701" t="str">
        <f>IFERROR(TRIM(INDEX('Verificação Peneiradores'!$AD$93:$AD$102,MATCH("*",'Verificação Peneiradores'!$AD$93:$AD$102,0))),"")</f>
        <v/>
      </c>
      <c r="P701" t="str">
        <f>IF(COUNTIF('Verificação Peneiradores'!$M$96:$M$100,"SEM TAG")&gt;0,"Sem TAG de calibração; ","")&amp;IF('Verificação Peneiradores'!$M$96="NÃO OK","Condições das telas; ","")&amp;IF('Verificação Peneiradores'!$M$97="NÃO OK","Inclinação das telas; ","")&amp;IF('Verificação Peneiradores'!$M$98="NÃO OK","Vibração do peneirador; ","")&amp;IF('Verificação Peneiradores'!$M$99="NÃO OK","Travamento das peneiras; ","")&amp;IF('Verificação Peneiradores'!$M$100="NÃO OK","Calibração; ","")</f>
        <v/>
      </c>
      <c r="Q701" t="s">
        <v>1072</v>
      </c>
    </row>
    <row r="702">
      <c r="A702" t="s">
        <v>816</v>
      </c>
      <c r="B702" t="s">
        <v>667</v>
      </c>
      <c r="C702" s="912" t="str">
        <f>IF(MAX('Verificação Peneiradores'!$AC$93:$AC$102)=0,"",MAX('Verificação Peneiradores'!$AC$93:$AC$102))</f>
        <v/>
      </c>
      <c r="D702" t="str">
        <f>IF('Verificação Peneiradores'!$N$94&amp;""="","Peneirador 09",TRIM('Verificação Peneiradores'!$N$94&amp;""))</f>
        <v>PN516</v>
      </c>
      <c r="E702" t="str">
        <f>"Malha "&amp;'Verificação Peneiradores'!$N$93&amp;" mm ("&amp;"Peneirador 09"&amp;")"</f>
        <v>Malha 16 mm (Peneirador 09)</v>
      </c>
      <c r="F702" t="s">
        <v>817</v>
      </c>
      <c r="G702" t="str">
        <f>IF(COUNTA('Verificação Peneiradores'!$N$96:$N$100)=0,"",COUNTIF('Verificação Peneiradores'!$N$96:$N$100,"OK"))</f>
        <v/>
      </c>
      <c r="H702" t="str">
        <f>IF(COUNTA('Verificação Peneiradores'!$N$96:$N$100)=0,"",COUNTA('Verificação Peneiradores'!$N$96:$N$100))</f>
        <v/>
      </c>
      <c r="M702" t="str">
        <f>IF(COUNTA('Verificação Peneiradores'!$N$96:$N$100)=0,"",IF(COUNTIF('Verificação Peneiradores'!$N$96:$N$100,"NÃO OK")&gt;0,"Não conforme","Conforme"))</f>
        <v/>
      </c>
      <c r="N702" t="str">
        <f>IFERROR(TRIM(INDEX('Verificação Peneiradores'!$AE$93:$AE$102,MATCH("*",'Verificação Peneiradores'!$AE$93:$AE$102,0))),"")</f>
        <v/>
      </c>
      <c r="O702" t="str">
        <f>IFERROR(TRIM(INDEX('Verificação Peneiradores'!$AD$93:$AD$102,MATCH("*",'Verificação Peneiradores'!$AD$93:$AD$102,0))),"")</f>
        <v/>
      </c>
      <c r="P702" t="str">
        <f>IF(COUNTIF('Verificação Peneiradores'!$N$96:$N$100,"SEM TAG")&gt;0,"Sem TAG de calibração; ","")&amp;IF('Verificação Peneiradores'!$N$96="NÃO OK","Condições das telas; ","")&amp;IF('Verificação Peneiradores'!$N$97="NÃO OK","Inclinação das telas; ","")&amp;IF('Verificação Peneiradores'!$N$98="NÃO OK","Vibração do peneirador; ","")&amp;IF('Verificação Peneiradores'!$N$99="NÃO OK","Travamento das peneiras; ","")&amp;IF('Verificação Peneiradores'!$N$100="NÃO OK","Calibração; ","")</f>
        <v/>
      </c>
      <c r="Q702" t="s">
        <v>1073</v>
      </c>
    </row>
    <row r="703">
      <c r="A703" t="s">
        <v>816</v>
      </c>
      <c r="B703" t="s">
        <v>667</v>
      </c>
      <c r="C703" s="912" t="str">
        <f>IF(MAX('Verificação Peneiradores'!$AC$93:$AC$102)=0,"",MAX('Verificação Peneiradores'!$AC$93:$AC$102))</f>
        <v/>
      </c>
      <c r="D703" t="str">
        <f>IF('Verificação Peneiradores'!$O$94&amp;""="","Peneirador 09",TRIM('Verificação Peneiradores'!$O$94&amp;""))</f>
        <v>PN650</v>
      </c>
      <c r="E703" t="str">
        <f>"Malha "&amp;'Verificação Peneiradores'!$O$93&amp;" mm ("&amp;"Peneirador 09"&amp;")"</f>
        <v>Malha 14 mm (Peneirador 09)</v>
      </c>
      <c r="F703" t="s">
        <v>817</v>
      </c>
      <c r="G703" t="str">
        <f>IF(COUNTA('Verificação Peneiradores'!$O$96:$O$100)=0,"",COUNTIF('Verificação Peneiradores'!$O$96:$O$100,"OK"))</f>
        <v/>
      </c>
      <c r="H703" t="str">
        <f>IF(COUNTA('Verificação Peneiradores'!$O$96:$O$100)=0,"",COUNTA('Verificação Peneiradores'!$O$96:$O$100))</f>
        <v/>
      </c>
      <c r="M703" t="str">
        <f>IF(COUNTA('Verificação Peneiradores'!$O$96:$O$100)=0,"",IF(COUNTIF('Verificação Peneiradores'!$O$96:$O$100,"NÃO OK")&gt;0,"Não conforme","Conforme"))</f>
        <v/>
      </c>
      <c r="N703" t="str">
        <f>IFERROR(TRIM(INDEX('Verificação Peneiradores'!$AE$93:$AE$102,MATCH("*",'Verificação Peneiradores'!$AE$93:$AE$102,0))),"")</f>
        <v/>
      </c>
      <c r="O703" t="str">
        <f>IFERROR(TRIM(INDEX('Verificação Peneiradores'!$AD$93:$AD$102,MATCH("*",'Verificação Peneiradores'!$AD$93:$AD$102,0))),"")</f>
        <v/>
      </c>
      <c r="P703" t="str">
        <f>IF(COUNTIF('Verificação Peneiradores'!$O$96:$O$100,"SEM TAG")&gt;0,"Sem TAG de calibração; ","")&amp;IF('Verificação Peneiradores'!$O$96="NÃO OK","Condições das telas; ","")&amp;IF('Verificação Peneiradores'!$O$97="NÃO OK","Inclinação das telas; ","")&amp;IF('Verificação Peneiradores'!$O$98="NÃO OK","Vibração do peneirador; ","")&amp;IF('Verificação Peneiradores'!$O$99="NÃO OK","Travamento das peneiras; ","")&amp;IF('Verificação Peneiradores'!$O$100="NÃO OK","Calibração; ","")</f>
        <v/>
      </c>
      <c r="Q703" t="s">
        <v>1074</v>
      </c>
    </row>
    <row r="704">
      <c r="A704" t="s">
        <v>816</v>
      </c>
      <c r="B704" t="s">
        <v>667</v>
      </c>
      <c r="C704" s="912" t="str">
        <f>IF(MAX('Verificação Peneiradores'!$AC$93:$AC$102)=0,"",MAX('Verificação Peneiradores'!$AC$93:$AC$102))</f>
        <v/>
      </c>
      <c r="D704" t="str">
        <f>IF('Verificação Peneiradores'!$P$94&amp;""="","Peneirador 09",TRIM('Verificação Peneiradores'!$P$94&amp;""))</f>
        <v>PN484</v>
      </c>
      <c r="E704" t="str">
        <f>"Malha "&amp;'Verificação Peneiradores'!$P$93&amp;" mm ("&amp;"Peneirador 09"&amp;")"</f>
        <v>Malha 12,5 mm (Peneirador 09)</v>
      </c>
      <c r="F704" t="s">
        <v>817</v>
      </c>
      <c r="G704" t="str">
        <f>IF(COUNTA('Verificação Peneiradores'!$P$96:$P$100)=0,"",COUNTIF('Verificação Peneiradores'!$P$96:$P$100,"OK"))</f>
        <v/>
      </c>
      <c r="H704" t="str">
        <f>IF(COUNTA('Verificação Peneiradores'!$P$96:$P$100)=0,"",COUNTA('Verificação Peneiradores'!$P$96:$P$100))</f>
        <v/>
      </c>
      <c r="M704" t="str">
        <f>IF(COUNTA('Verificação Peneiradores'!$P$96:$P$100)=0,"",IF(COUNTIF('Verificação Peneiradores'!$P$96:$P$100,"NÃO OK")&gt;0,"Não conforme","Conforme"))</f>
        <v/>
      </c>
      <c r="N704" t="str">
        <f>IFERROR(TRIM(INDEX('Verificação Peneiradores'!$AE$93:$AE$102,MATCH("*",'Verificação Peneiradores'!$AE$93:$AE$102,0))),"")</f>
        <v/>
      </c>
      <c r="O704" t="str">
        <f>IFERROR(TRIM(INDEX('Verificação Peneiradores'!$AD$93:$AD$102,MATCH("*",'Verificação Peneiradores'!$AD$93:$AD$102,0))),"")</f>
        <v/>
      </c>
      <c r="P704" t="str">
        <f>IF(COUNTIF('Verificação Peneiradores'!$P$96:$P$100,"SEM TAG")&gt;0,"Sem TAG de calibração; ","")&amp;IF('Verificação Peneiradores'!$P$96="NÃO OK","Condições das telas; ","")&amp;IF('Verificação Peneiradores'!$P$97="NÃO OK","Inclinação das telas; ","")&amp;IF('Verificação Peneiradores'!$P$98="NÃO OK","Vibração do peneirador; ","")&amp;IF('Verificação Peneiradores'!$P$99="NÃO OK","Travamento das peneiras; ","")&amp;IF('Verificação Peneiradores'!$P$100="NÃO OK","Calibração; ","")</f>
        <v/>
      </c>
      <c r="Q704" t="s">
        <v>1075</v>
      </c>
    </row>
    <row r="705">
      <c r="A705" t="s">
        <v>816</v>
      </c>
      <c r="B705" t="s">
        <v>667</v>
      </c>
      <c r="C705" s="912" t="str">
        <f>IF(MAX('Verificação Peneiradores'!$AC$93:$AC$102)=0,"",MAX('Verificação Peneiradores'!$AC$93:$AC$102))</f>
        <v/>
      </c>
      <c r="D705" t="str">
        <f>IF('Verificação Peneiradores'!$Q$94&amp;""="","Peneirador 09",TRIM('Verificação Peneiradores'!$Q$94&amp;""))</f>
        <v>PN558</v>
      </c>
      <c r="E705" t="str">
        <f>"Malha "&amp;'Verificação Peneiradores'!$Q$93&amp;" mm ("&amp;"Peneirador 09"&amp;")"</f>
        <v>Malha 9 mm (Peneirador 09)</v>
      </c>
      <c r="F705" t="s">
        <v>817</v>
      </c>
      <c r="G705" t="str">
        <f>IF(COUNTA('Verificação Peneiradores'!$Q$96:$Q$100)=0,"",COUNTIF('Verificação Peneiradores'!$Q$96:$Q$100,"OK"))</f>
        <v/>
      </c>
      <c r="H705" t="str">
        <f>IF(COUNTA('Verificação Peneiradores'!$Q$96:$Q$100)=0,"",COUNTA('Verificação Peneiradores'!$Q$96:$Q$100))</f>
        <v/>
      </c>
      <c r="M705" t="str">
        <f>IF(COUNTA('Verificação Peneiradores'!$Q$96:$Q$100)=0,"",IF(COUNTIF('Verificação Peneiradores'!$Q$96:$Q$100,"NÃO OK")&gt;0,"Não conforme","Conforme"))</f>
        <v/>
      </c>
      <c r="N705" t="str">
        <f>IFERROR(TRIM(INDEX('Verificação Peneiradores'!$AE$93:$AE$102,MATCH("*",'Verificação Peneiradores'!$AE$93:$AE$102,0))),"")</f>
        <v/>
      </c>
      <c r="O705" t="str">
        <f>IFERROR(TRIM(INDEX('Verificação Peneiradores'!$AD$93:$AD$102,MATCH("*",'Verificação Peneiradores'!$AD$93:$AD$102,0))),"")</f>
        <v/>
      </c>
      <c r="P705" t="str">
        <f>IF(COUNTIF('Verificação Peneiradores'!$Q$96:$Q$100,"SEM TAG")&gt;0,"Sem TAG de calibração; ","")&amp;IF('Verificação Peneiradores'!$Q$96="NÃO OK","Condições das telas; ","")&amp;IF('Verificação Peneiradores'!$Q$97="NÃO OK","Inclinação das telas; ","")&amp;IF('Verificação Peneiradores'!$Q$98="NÃO OK","Vibração do peneirador; ","")&amp;IF('Verificação Peneiradores'!$Q$99="NÃO OK","Travamento das peneiras; ","")&amp;IF('Verificação Peneiradores'!$Q$100="NÃO OK","Calibração; ","")</f>
        <v/>
      </c>
      <c r="Q705" t="s">
        <v>1076</v>
      </c>
    </row>
    <row r="706">
      <c r="A706" t="s">
        <v>816</v>
      </c>
      <c r="B706" t="s">
        <v>667</v>
      </c>
      <c r="C706" s="912" t="str">
        <f>IF(MAX('Verificação Peneiradores'!$AC$93:$AC$102)=0,"",MAX('Verificação Peneiradores'!$AC$93:$AC$102))</f>
        <v/>
      </c>
      <c r="D706" t="str">
        <f>IF('Verificação Peneiradores'!$R$94&amp;""="","Peneirador 09",TRIM('Verificação Peneiradores'!$R$94&amp;""))</f>
        <v>PN505</v>
      </c>
      <c r="E706" t="str">
        <f>"Malha "&amp;'Verificação Peneiradores'!$R$93&amp;" mm ("&amp;"Peneirador 09"&amp;")"</f>
        <v>Malha 8 mm (Peneirador 09)</v>
      </c>
      <c r="F706" t="s">
        <v>817</v>
      </c>
      <c r="G706" t="str">
        <f>IF(COUNTA('Verificação Peneiradores'!$R$96:$R$100)=0,"",COUNTIF('Verificação Peneiradores'!$R$96:$R$100,"OK"))</f>
        <v/>
      </c>
      <c r="H706" t="str">
        <f>IF(COUNTA('Verificação Peneiradores'!$R$96:$R$100)=0,"",COUNTA('Verificação Peneiradores'!$R$96:$R$100))</f>
        <v/>
      </c>
      <c r="M706" t="str">
        <f>IF(COUNTA('Verificação Peneiradores'!$R$96:$R$100)=0,"",IF(COUNTIF('Verificação Peneiradores'!$R$96:$R$100,"NÃO OK")&gt;0,"Não conforme","Conforme"))</f>
        <v/>
      </c>
      <c r="N706" t="str">
        <f>IFERROR(TRIM(INDEX('Verificação Peneiradores'!$AE$93:$AE$102,MATCH("*",'Verificação Peneiradores'!$AE$93:$AE$102,0))),"")</f>
        <v/>
      </c>
      <c r="O706" t="str">
        <f>IFERROR(TRIM(INDEX('Verificação Peneiradores'!$AD$93:$AD$102,MATCH("*",'Verificação Peneiradores'!$AD$93:$AD$102,0))),"")</f>
        <v/>
      </c>
      <c r="P706" t="str">
        <f>IF(COUNTIF('Verificação Peneiradores'!$R$96:$R$100,"SEM TAG")&gt;0,"Sem TAG de calibração; ","")&amp;IF('Verificação Peneiradores'!$R$96="NÃO OK","Condições das telas; ","")&amp;IF('Verificação Peneiradores'!$R$97="NÃO OK","Inclinação das telas; ","")&amp;IF('Verificação Peneiradores'!$R$98="NÃO OK","Vibração do peneirador; ","")&amp;IF('Verificação Peneiradores'!$R$99="NÃO OK","Travamento das peneiras; ","")&amp;IF('Verificação Peneiradores'!$R$100="NÃO OK","Calibração; ","")</f>
        <v/>
      </c>
      <c r="Q706" t="s">
        <v>1077</v>
      </c>
    </row>
    <row r="707">
      <c r="A707" t="s">
        <v>816</v>
      </c>
      <c r="B707" t="s">
        <v>667</v>
      </c>
      <c r="C707" s="912" t="str">
        <f>IF(MAX('Verificação Peneiradores'!$AC$93:$AC$102)=0,"",MAX('Verificação Peneiradores'!$AC$93:$AC$102))</f>
        <v/>
      </c>
      <c r="D707" t="str">
        <f>IF('Verificação Peneiradores'!$S$94&amp;""="","Peneirador 09",TRIM('Verificação Peneiradores'!$S$94&amp;""))</f>
        <v>PN631</v>
      </c>
      <c r="E707" t="str">
        <f>"Malha "&amp;'Verificação Peneiradores'!$S$93&amp;" mm ("&amp;"Peneirador 09"&amp;")"</f>
        <v>Malha 6,3 mm (Peneirador 09)</v>
      </c>
      <c r="F707" t="s">
        <v>817</v>
      </c>
      <c r="G707" t="str">
        <f>IF(COUNTA('Verificação Peneiradores'!$S$96:$S$100)=0,"",COUNTIF('Verificação Peneiradores'!$S$96:$S$100,"OK"))</f>
        <v/>
      </c>
      <c r="H707" t="str">
        <f>IF(COUNTA('Verificação Peneiradores'!$S$96:$S$100)=0,"",COUNTA('Verificação Peneiradores'!$S$96:$S$100))</f>
        <v/>
      </c>
      <c r="M707" t="str">
        <f>IF(COUNTA('Verificação Peneiradores'!$S$96:$S$100)=0,"",IF(COUNTIF('Verificação Peneiradores'!$S$96:$S$100,"NÃO OK")&gt;0,"Não conforme","Conforme"))</f>
        <v/>
      </c>
      <c r="N707" t="str">
        <f>IFERROR(TRIM(INDEX('Verificação Peneiradores'!$AE$93:$AE$102,MATCH("*",'Verificação Peneiradores'!$AE$93:$AE$102,0))),"")</f>
        <v/>
      </c>
      <c r="O707" t="str">
        <f>IFERROR(TRIM(INDEX('Verificação Peneiradores'!$AD$93:$AD$102,MATCH("*",'Verificação Peneiradores'!$AD$93:$AD$102,0))),"")</f>
        <v/>
      </c>
      <c r="P707" t="str">
        <f>IF(COUNTIF('Verificação Peneiradores'!$S$96:$S$100,"SEM TAG")&gt;0,"Sem TAG de calibração; ","")&amp;IF('Verificação Peneiradores'!$S$96="NÃO OK","Condições das telas; ","")&amp;IF('Verificação Peneiradores'!$S$97="NÃO OK","Inclinação das telas; ","")&amp;IF('Verificação Peneiradores'!$S$98="NÃO OK","Vibração do peneirador; ","")&amp;IF('Verificação Peneiradores'!$S$99="NÃO OK","Travamento das peneiras; ","")&amp;IF('Verificação Peneiradores'!$S$100="NÃO OK","Calibração; ","")</f>
        <v/>
      </c>
      <c r="Q707" t="s">
        <v>1078</v>
      </c>
    </row>
    <row r="708">
      <c r="A708" t="s">
        <v>816</v>
      </c>
      <c r="B708" t="s">
        <v>667</v>
      </c>
      <c r="C708" s="912" t="str">
        <f>IF(MAX('Verificação Peneiradores'!$AC$93:$AC$102)=0,"",MAX('Verificação Peneiradores'!$AC$93:$AC$102))</f>
        <v/>
      </c>
      <c r="D708" t="str">
        <f>IF('Verificação Peneiradores'!$T$94&amp;""="","Peneirador 05",TRIM('Verificação Peneiradores'!$T$94&amp;""))</f>
        <v>PN398</v>
      </c>
      <c r="E708" t="str">
        <f>"Malha "&amp;'Verificação Peneiradores'!$T$93&amp;" mm ("&amp;"Peneirador 05"&amp;")"</f>
        <v>Malha 19 mm (Peneirador 05)</v>
      </c>
      <c r="F708" t="s">
        <v>817</v>
      </c>
      <c r="G708" t="str">
        <f>IF(COUNTA('Verificação Peneiradores'!$T$96:$T$100)=0,"",COUNTIF('Verificação Peneiradores'!$T$96:$T$100,"OK"))</f>
        <v/>
      </c>
      <c r="H708" t="str">
        <f>IF(COUNTA('Verificação Peneiradores'!$T$96:$T$100)=0,"",COUNTA('Verificação Peneiradores'!$T$96:$T$100))</f>
        <v/>
      </c>
      <c r="M708" t="str">
        <f>IF(COUNTA('Verificação Peneiradores'!$T$96:$T$100)=0,"",IF(COUNTIF('Verificação Peneiradores'!$T$96:$T$100,"NÃO OK")&gt;0,"Não conforme","Conforme"))</f>
        <v/>
      </c>
      <c r="N708" t="str">
        <f>IFERROR(TRIM(INDEX('Verificação Peneiradores'!$AE$93:$AE$102,MATCH("*",'Verificação Peneiradores'!$AE$93:$AE$102,0))),"")</f>
        <v/>
      </c>
      <c r="O708" t="str">
        <f>IFERROR(TRIM(INDEX('Verificação Peneiradores'!$AD$93:$AD$102,MATCH("*",'Verificação Peneiradores'!$AD$93:$AD$102,0))),"")</f>
        <v/>
      </c>
      <c r="P708" t="str">
        <f>IF(COUNTIF('Verificação Peneiradores'!$T$96:$T$100,"SEM TAG")&gt;0,"Sem TAG de calibração; ","")&amp;IF('Verificação Peneiradores'!$T$96="NÃO OK","Condições das telas; ","")&amp;IF('Verificação Peneiradores'!$T$97="NÃO OK","Inclinação das telas; ","")&amp;IF('Verificação Peneiradores'!$T$98="NÃO OK","Vibração do peneirador; ","")&amp;IF('Verificação Peneiradores'!$T$99="NÃO OK","Travamento das peneiras; ","")&amp;IF('Verificação Peneiradores'!$T$100="NÃO OK","Calibração; ","")</f>
        <v/>
      </c>
      <c r="Q708" t="s">
        <v>1079</v>
      </c>
    </row>
    <row r="709">
      <c r="A709" t="s">
        <v>816</v>
      </c>
      <c r="B709" t="s">
        <v>667</v>
      </c>
      <c r="C709" s="912" t="str">
        <f>IF(MAX('Verificação Peneiradores'!$AC$93:$AC$102)=0,"",MAX('Verificação Peneiradores'!$AC$93:$AC$102))</f>
        <v/>
      </c>
      <c r="D709" t="str">
        <f>IF('Verificação Peneiradores'!$U$94&amp;""="","Peneirador 05",TRIM('Verificação Peneiradores'!$U$94&amp;""))</f>
        <v>PN664</v>
      </c>
      <c r="E709" t="str">
        <f>"Malha "&amp;'Verificação Peneiradores'!$U$93&amp;" mm ("&amp;"Peneirador 05"&amp;")"</f>
        <v>Malha 16 mm (Peneirador 05)</v>
      </c>
      <c r="F709" t="s">
        <v>817</v>
      </c>
      <c r="G709" t="str">
        <f>IF(COUNTA('Verificação Peneiradores'!$U$96:$U$100)=0,"",COUNTIF('Verificação Peneiradores'!$U$96:$U$100,"OK"))</f>
        <v/>
      </c>
      <c r="H709" t="str">
        <f>IF(COUNTA('Verificação Peneiradores'!$U$96:$U$100)=0,"",COUNTA('Verificação Peneiradores'!$U$96:$U$100))</f>
        <v/>
      </c>
      <c r="M709" t="str">
        <f>IF(COUNTA('Verificação Peneiradores'!$U$96:$U$100)=0,"",IF(COUNTIF('Verificação Peneiradores'!$U$96:$U$100,"NÃO OK")&gt;0,"Não conforme","Conforme"))</f>
        <v/>
      </c>
      <c r="N709" t="str">
        <f>IFERROR(TRIM(INDEX('Verificação Peneiradores'!$AE$93:$AE$102,MATCH("*",'Verificação Peneiradores'!$AE$93:$AE$102,0))),"")</f>
        <v/>
      </c>
      <c r="O709" t="str">
        <f>IFERROR(TRIM(INDEX('Verificação Peneiradores'!$AD$93:$AD$102,MATCH("*",'Verificação Peneiradores'!$AD$93:$AD$102,0))),"")</f>
        <v/>
      </c>
      <c r="P709" t="str">
        <f>IF(COUNTIF('Verificação Peneiradores'!$U$96:$U$100,"SEM TAG")&gt;0,"Sem TAG de calibração; ","")&amp;IF('Verificação Peneiradores'!$U$96="NÃO OK","Condições das telas; ","")&amp;IF('Verificação Peneiradores'!$U$97="NÃO OK","Inclinação das telas; ","")&amp;IF('Verificação Peneiradores'!$U$98="NÃO OK","Vibração do peneirador; ","")&amp;IF('Verificação Peneiradores'!$U$99="NÃO OK","Travamento das peneiras; ","")&amp;IF('Verificação Peneiradores'!$U$100="NÃO OK","Calibração; ","")</f>
        <v/>
      </c>
      <c r="Q709" t="s">
        <v>1080</v>
      </c>
    </row>
    <row r="710">
      <c r="A710" t="s">
        <v>816</v>
      </c>
      <c r="B710" t="s">
        <v>667</v>
      </c>
      <c r="C710" s="912" t="str">
        <f>IF(MAX('Verificação Peneiradores'!$AC$93:$AC$102)=0,"",MAX('Verificação Peneiradores'!$AC$93:$AC$102))</f>
        <v/>
      </c>
      <c r="D710" t="str">
        <f>IF('Verificação Peneiradores'!$V$94&amp;""="","Peneirador 05",TRIM('Verificação Peneiradores'!$V$94&amp;""))</f>
        <v>PN665</v>
      </c>
      <c r="E710" t="str">
        <f>"Malha "&amp;'Verificação Peneiradores'!$V$93&amp;" mm ("&amp;"Peneirador 05"&amp;")"</f>
        <v>Malha 14 mm (Peneirador 05)</v>
      </c>
      <c r="F710" t="s">
        <v>817</v>
      </c>
      <c r="G710" t="str">
        <f>IF(COUNTA('Verificação Peneiradores'!$V$96:$V$100)=0,"",COUNTIF('Verificação Peneiradores'!$V$96:$V$100,"OK"))</f>
        <v/>
      </c>
      <c r="H710" t="str">
        <f>IF(COUNTA('Verificação Peneiradores'!$V$96:$V$100)=0,"",COUNTA('Verificação Peneiradores'!$V$96:$V$100))</f>
        <v/>
      </c>
      <c r="M710" t="str">
        <f>IF(COUNTA('Verificação Peneiradores'!$V$96:$V$100)=0,"",IF(COUNTIF('Verificação Peneiradores'!$V$96:$V$100,"NÃO OK")&gt;0,"Não conforme","Conforme"))</f>
        <v/>
      </c>
      <c r="N710" t="str">
        <f>IFERROR(TRIM(INDEX('Verificação Peneiradores'!$AE$93:$AE$102,MATCH("*",'Verificação Peneiradores'!$AE$93:$AE$102,0))),"")</f>
        <v/>
      </c>
      <c r="O710" t="str">
        <f>IFERROR(TRIM(INDEX('Verificação Peneiradores'!$AD$93:$AD$102,MATCH("*",'Verificação Peneiradores'!$AD$93:$AD$102,0))),"")</f>
        <v/>
      </c>
      <c r="P710" t="str">
        <f>IF(COUNTIF('Verificação Peneiradores'!$V$96:$V$100,"SEM TAG")&gt;0,"Sem TAG de calibração; ","")&amp;IF('Verificação Peneiradores'!$V$96="NÃO OK","Condições das telas; ","")&amp;IF('Verificação Peneiradores'!$V$97="NÃO OK","Inclinação das telas; ","")&amp;IF('Verificação Peneiradores'!$V$98="NÃO OK","Vibração do peneirador; ","")&amp;IF('Verificação Peneiradores'!$V$99="NÃO OK","Travamento das peneiras; ","")&amp;IF('Verificação Peneiradores'!$V$100="NÃO OK","Calibração; ","")</f>
        <v/>
      </c>
      <c r="Q710" t="s">
        <v>1081</v>
      </c>
    </row>
    <row r="711">
      <c r="A711" t="s">
        <v>816</v>
      </c>
      <c r="B711" t="s">
        <v>667</v>
      </c>
      <c r="C711" s="912" t="str">
        <f>IF(MAX('Verificação Peneiradores'!$AC$93:$AC$102)=0,"",MAX('Verificação Peneiradores'!$AC$93:$AC$102))</f>
        <v/>
      </c>
      <c r="D711" t="str">
        <f>IF('Verificação Peneiradores'!$W$94&amp;""="","Peneirador 05",TRIM('Verificação Peneiradores'!$W$94&amp;""))</f>
        <v>PN666</v>
      </c>
      <c r="E711" t="str">
        <f>"Malha "&amp;'Verificação Peneiradores'!$W$93&amp;" mm ("&amp;"Peneirador 05"&amp;")"</f>
        <v>Malha 12,5 mm (Peneirador 05)</v>
      </c>
      <c r="F711" t="s">
        <v>817</v>
      </c>
      <c r="G711" t="str">
        <f>IF(COUNTA('Verificação Peneiradores'!$W$96:$W$100)=0,"",COUNTIF('Verificação Peneiradores'!$W$96:$W$100,"OK"))</f>
        <v/>
      </c>
      <c r="H711" t="str">
        <f>IF(COUNTA('Verificação Peneiradores'!$W$96:$W$100)=0,"",COUNTA('Verificação Peneiradores'!$W$96:$W$100))</f>
        <v/>
      </c>
      <c r="M711" t="str">
        <f>IF(COUNTA('Verificação Peneiradores'!$W$96:$W$100)=0,"",IF(COUNTIF('Verificação Peneiradores'!$W$96:$W$100,"NÃO OK")&gt;0,"Não conforme","Conforme"))</f>
        <v/>
      </c>
      <c r="N711" t="str">
        <f>IFERROR(TRIM(INDEX('Verificação Peneiradores'!$AE$93:$AE$102,MATCH("*",'Verificação Peneiradores'!$AE$93:$AE$102,0))),"")</f>
        <v/>
      </c>
      <c r="O711" t="str">
        <f>IFERROR(TRIM(INDEX('Verificação Peneiradores'!$AD$93:$AD$102,MATCH("*",'Verificação Peneiradores'!$AD$93:$AD$102,0))),"")</f>
        <v/>
      </c>
      <c r="P711" t="str">
        <f>IF(COUNTIF('Verificação Peneiradores'!$W$96:$W$100,"SEM TAG")&gt;0,"Sem TAG de calibração; ","")&amp;IF('Verificação Peneiradores'!$W$96="NÃO OK","Condições das telas; ","")&amp;IF('Verificação Peneiradores'!$W$97="NÃO OK","Inclinação das telas; ","")&amp;IF('Verificação Peneiradores'!$W$98="NÃO OK","Vibração do peneirador; ","")&amp;IF('Verificação Peneiradores'!$W$99="NÃO OK","Travamento das peneiras; ","")&amp;IF('Verificação Peneiradores'!$W$100="NÃO OK","Calibração; ","")</f>
        <v/>
      </c>
      <c r="Q711" t="s">
        <v>1082</v>
      </c>
    </row>
    <row r="712">
      <c r="A712" t="s">
        <v>816</v>
      </c>
      <c r="B712" t="s">
        <v>667</v>
      </c>
      <c r="C712" s="912" t="str">
        <f>IF(MAX('Verificação Peneiradores'!$AC$93:$AC$102)=0,"",MAX('Verificação Peneiradores'!$AC$93:$AC$102))</f>
        <v/>
      </c>
      <c r="D712" t="str">
        <f>IF('Verificação Peneiradores'!$X$94&amp;""="","Peneirador 05",TRIM('Verificação Peneiradores'!$X$94&amp;""))</f>
        <v>PN646</v>
      </c>
      <c r="E712" t="str">
        <f>"Malha "&amp;'Verificação Peneiradores'!$X$93&amp;" mm ("&amp;"Peneirador 05"&amp;")"</f>
        <v>Malha 9 mm (Peneirador 05)</v>
      </c>
      <c r="F712" t="s">
        <v>817</v>
      </c>
      <c r="G712" t="str">
        <f>IF(COUNTA('Verificação Peneiradores'!$X$96:$X$100)=0,"",COUNTIF('Verificação Peneiradores'!$X$96:$X$100,"OK"))</f>
        <v/>
      </c>
      <c r="H712" t="str">
        <f>IF(COUNTA('Verificação Peneiradores'!$X$96:$X$100)=0,"",COUNTA('Verificação Peneiradores'!$X$96:$X$100))</f>
        <v/>
      </c>
      <c r="M712" t="str">
        <f>IF(COUNTA('Verificação Peneiradores'!$X$96:$X$100)=0,"",IF(COUNTIF('Verificação Peneiradores'!$X$96:$X$100,"NÃO OK")&gt;0,"Não conforme","Conforme"))</f>
        <v/>
      </c>
      <c r="N712" t="str">
        <f>IFERROR(TRIM(INDEX('Verificação Peneiradores'!$AE$93:$AE$102,MATCH("*",'Verificação Peneiradores'!$AE$93:$AE$102,0))),"")</f>
        <v/>
      </c>
      <c r="O712" t="str">
        <f>IFERROR(TRIM(INDEX('Verificação Peneiradores'!$AD$93:$AD$102,MATCH("*",'Verificação Peneiradores'!$AD$93:$AD$102,0))),"")</f>
        <v/>
      </c>
      <c r="P712" t="str">
        <f>IF(COUNTIF('Verificação Peneiradores'!$X$96:$X$100,"SEM TAG")&gt;0,"Sem TAG de calibração; ","")&amp;IF('Verificação Peneiradores'!$X$96="NÃO OK","Condições das telas; ","")&amp;IF('Verificação Peneiradores'!$X$97="NÃO OK","Inclinação das telas; ","")&amp;IF('Verificação Peneiradores'!$X$98="NÃO OK","Vibração do peneirador; ","")&amp;IF('Verificação Peneiradores'!$X$99="NÃO OK","Travamento das peneiras; ","")&amp;IF('Verificação Peneiradores'!$X$100="NÃO OK","Calibração; ","")</f>
        <v/>
      </c>
      <c r="Q712" t="s">
        <v>1083</v>
      </c>
    </row>
    <row r="713">
      <c r="A713" t="s">
        <v>816</v>
      </c>
      <c r="B713" t="s">
        <v>667</v>
      </c>
      <c r="C713" s="912" t="str">
        <f>IF(MAX('Verificação Peneiradores'!$AC$93:$AC$102)=0,"",MAX('Verificação Peneiradores'!$AC$93:$AC$102))</f>
        <v/>
      </c>
      <c r="D713" t="str">
        <f>IF('Verificação Peneiradores'!$Y$94&amp;""="","Peneirador 05",TRIM('Verificação Peneiradores'!$Y$94&amp;""))</f>
        <v>PN647</v>
      </c>
      <c r="E713" t="str">
        <f>"Malha "&amp;'Verificação Peneiradores'!$Y$93&amp;" mm ("&amp;"Peneirador 05"&amp;")"</f>
        <v>Malha 8 mm (Peneirador 05)</v>
      </c>
      <c r="F713" t="s">
        <v>817</v>
      </c>
      <c r="G713" t="str">
        <f>IF(COUNTA('Verificação Peneiradores'!$Y$96:$Y$100)=0,"",COUNTIF('Verificação Peneiradores'!$Y$96:$Y$100,"OK"))</f>
        <v/>
      </c>
      <c r="H713" t="str">
        <f>IF(COUNTA('Verificação Peneiradores'!$Y$96:$Y$100)=0,"",COUNTA('Verificação Peneiradores'!$Y$96:$Y$100))</f>
        <v/>
      </c>
      <c r="M713" t="str">
        <f>IF(COUNTA('Verificação Peneiradores'!$Y$96:$Y$100)=0,"",IF(COUNTIF('Verificação Peneiradores'!$Y$96:$Y$100,"NÃO OK")&gt;0,"Não conforme","Conforme"))</f>
        <v/>
      </c>
      <c r="N713" t="str">
        <f>IFERROR(TRIM(INDEX('Verificação Peneiradores'!$AE$93:$AE$102,MATCH("*",'Verificação Peneiradores'!$AE$93:$AE$102,0))),"")</f>
        <v/>
      </c>
      <c r="O713" t="str">
        <f>IFERROR(TRIM(INDEX('Verificação Peneiradores'!$AD$93:$AD$102,MATCH("*",'Verificação Peneiradores'!$AD$93:$AD$102,0))),"")</f>
        <v/>
      </c>
      <c r="P713" t="str">
        <f>IF(COUNTIF('Verificação Peneiradores'!$Y$96:$Y$100,"SEM TAG")&gt;0,"Sem TAG de calibração; ","")&amp;IF('Verificação Peneiradores'!$Y$96="NÃO OK","Condições das telas; ","")&amp;IF('Verificação Peneiradores'!$Y$97="NÃO OK","Inclinação das telas; ","")&amp;IF('Verificação Peneiradores'!$Y$98="NÃO OK","Vibração do peneirador; ","")&amp;IF('Verificação Peneiradores'!$Y$99="NÃO OK","Travamento das peneiras; ","")&amp;IF('Verificação Peneiradores'!$Y$100="NÃO OK","Calibração; ","")</f>
        <v/>
      </c>
      <c r="Q713" t="s">
        <v>1084</v>
      </c>
    </row>
    <row r="714">
      <c r="A714" t="s">
        <v>816</v>
      </c>
      <c r="B714" t="s">
        <v>667</v>
      </c>
      <c r="C714" s="912" t="str">
        <f>IF(MAX('Verificação Peneiradores'!$AC$93:$AC$102)=0,"",MAX('Verificação Peneiradores'!$AC$93:$AC$102))</f>
        <v/>
      </c>
      <c r="D714" t="str">
        <f>IF('Verificação Peneiradores'!$Z$94&amp;""="","Peneirador 05",TRIM('Verificação Peneiradores'!$Z$94&amp;""))</f>
        <v>PN648</v>
      </c>
      <c r="E714" t="str">
        <f>"Malha "&amp;'Verificação Peneiradores'!$Z$93&amp;" mm ("&amp;"Peneirador 05"&amp;")"</f>
        <v>Malha 6,3 mm (Peneirador 05)</v>
      </c>
      <c r="F714" t="s">
        <v>817</v>
      </c>
      <c r="G714" t="str">
        <f>IF(COUNTA('Verificação Peneiradores'!$Z$96:$Z$100)=0,"",COUNTIF('Verificação Peneiradores'!$Z$96:$Z$100,"OK"))</f>
        <v/>
      </c>
      <c r="H714" t="str">
        <f>IF(COUNTA('Verificação Peneiradores'!$Z$96:$Z$100)=0,"",COUNTA('Verificação Peneiradores'!$Z$96:$Z$100))</f>
        <v/>
      </c>
      <c r="M714" t="str">
        <f>IF(COUNTA('Verificação Peneiradores'!$Z$96:$Z$100)=0,"",IF(COUNTIF('Verificação Peneiradores'!$Z$96:$Z$100,"NÃO OK")&gt;0,"Não conforme","Conforme"))</f>
        <v/>
      </c>
      <c r="N714" t="str">
        <f>IFERROR(TRIM(INDEX('Verificação Peneiradores'!$AE$93:$AE$102,MATCH("*",'Verificação Peneiradores'!$AE$93:$AE$102,0))),"")</f>
        <v/>
      </c>
      <c r="O714" t="str">
        <f>IFERROR(TRIM(INDEX('Verificação Peneiradores'!$AD$93:$AD$102,MATCH("*",'Verificação Peneiradores'!$AD$93:$AD$102,0))),"")</f>
        <v/>
      </c>
      <c r="P714" t="str">
        <f>IF(COUNTIF('Verificação Peneiradores'!$Z$96:$Z$100,"SEM TAG")&gt;0,"Sem TAG de calibração; ","")&amp;IF('Verificação Peneiradores'!$Z$96="NÃO OK","Condições das telas; ","")&amp;IF('Verificação Peneiradores'!$Z$97="NÃO OK","Inclinação das telas; ","")&amp;IF('Verificação Peneiradores'!$Z$98="NÃO OK","Vibração do peneirador; ","")&amp;IF('Verificação Peneiradores'!$Z$99="NÃO OK","Travamento das peneiras; ","")&amp;IF('Verificação Peneiradores'!$Z$100="NÃO OK","Calibração; ","")</f>
        <v/>
      </c>
      <c r="Q714" t="s">
        <v>1085</v>
      </c>
    </row>
    <row r="715">
      <c r="A715" t="s">
        <v>816</v>
      </c>
      <c r="B715" t="s">
        <v>667</v>
      </c>
      <c r="C715" s="912" t="str">
        <f>IF(MAX('Verificação Peneiradores'!$AC$93:$AC$102)=0,"",MAX('Verificação Peneiradores'!$AC$93:$AC$102))</f>
        <v/>
      </c>
      <c r="D715" t="str">
        <f>IF('Verificação Peneiradores'!$AA$94&amp;""="","Peneirador 06",TRIM('Verificação Peneiradores'!$AA$94&amp;""))</f>
        <v>PN649</v>
      </c>
      <c r="E715" t="str">
        <f>"Malha "&amp;'Verificação Peneiradores'!$AA$93&amp;" mm ("&amp;"Peneirador 06"&amp;")"</f>
        <v>Malha 6,3 mm (Peneirador 06)</v>
      </c>
      <c r="F715" t="s">
        <v>817</v>
      </c>
      <c r="G715" t="str">
        <f>IF(COUNTA('Verificação Peneiradores'!$AA$96:$AA$100)=0,"",COUNTIF('Verificação Peneiradores'!$AA$96:$AA$100,"OK"))</f>
        <v/>
      </c>
      <c r="H715" t="str">
        <f>IF(COUNTA('Verificação Peneiradores'!$AA$96:$AA$100)=0,"",COUNTA('Verificação Peneiradores'!$AA$96:$AA$100))</f>
        <v/>
      </c>
      <c r="M715" t="str">
        <f>IF(COUNTA('Verificação Peneiradores'!$AA$96:$AA$100)=0,"",IF(COUNTIF('Verificação Peneiradores'!$AA$96:$AA$100,"NÃO OK")&gt;0,"Não conforme","Conforme"))</f>
        <v/>
      </c>
      <c r="N715" t="str">
        <f>IFERROR(TRIM(INDEX('Verificação Peneiradores'!$AE$93:$AE$102,MATCH("*",'Verificação Peneiradores'!$AE$93:$AE$102,0))),"")</f>
        <v/>
      </c>
      <c r="O715" t="str">
        <f>IFERROR(TRIM(INDEX('Verificação Peneiradores'!$AD$93:$AD$102,MATCH("*",'Verificação Peneiradores'!$AD$93:$AD$102,0))),"")</f>
        <v/>
      </c>
      <c r="P715" t="str">
        <f>IF(COUNTIF('Verificação Peneiradores'!$AA$96:$AA$100,"SEM TAG")&gt;0,"Sem TAG de calibração; ","")&amp;IF('Verificação Peneiradores'!$AA$96="NÃO OK","Condições das telas; ","")&amp;IF('Verificação Peneiradores'!$AA$97="NÃO OK","Inclinação das telas; ","")&amp;IF('Verificação Peneiradores'!$AA$98="NÃO OK","Vibração do peneirador; ","")&amp;IF('Verificação Peneiradores'!$AA$99="NÃO OK","Travamento das peneiras; ","")&amp;IF('Verificação Peneiradores'!$AA$100="NÃO OK","Calibração; ","")</f>
        <v/>
      </c>
      <c r="Q715" t="s">
        <v>1086</v>
      </c>
    </row>
    <row r="716">
      <c r="A716" t="s">
        <v>816</v>
      </c>
      <c r="B716" t="s">
        <v>667</v>
      </c>
      <c r="C716" s="912" t="str">
        <f>IF(MAX('Verificação Peneiradores'!$AC$93:$AC$102)=0,"",MAX('Verificação Peneiradores'!$AC$93:$AC$102))</f>
        <v/>
      </c>
      <c r="D716" t="str">
        <f>IF('Verificação Peneiradores'!$AB$94&amp;""="","Peneirador 06",TRIM('Verificação Peneiradores'!$AB$94&amp;""))</f>
        <v>N/CONT</v>
      </c>
      <c r="E716" t="str">
        <f>"Malha "&amp;'Verificação Peneiradores'!$AB$93&amp;" mm ("&amp;"Peneirador 06"&amp;")"</f>
        <v>Malha 10 mm (Peneirador 06)</v>
      </c>
      <c r="F716" t="s">
        <v>817</v>
      </c>
      <c r="G716" t="str">
        <f>IF(COUNTA('Verificação Peneiradores'!$AB$96:$AB$100)=0,"",COUNTIF('Verificação Peneiradores'!$AB$96:$AB$100,"OK"))</f>
        <v/>
      </c>
      <c r="H716" t="str">
        <f>IF(COUNTA('Verificação Peneiradores'!$AB$96:$AB$100)=0,"",COUNTA('Verificação Peneiradores'!$AB$96:$AB$100))</f>
        <v/>
      </c>
      <c r="M716" t="str">
        <f>IF(COUNTA('Verificação Peneiradores'!$AB$96:$AB$100)=0,"",IF(COUNTIF('Verificação Peneiradores'!$AB$96:$AB$100,"NÃO OK")&gt;0,"Não conforme","Conforme"))</f>
        <v/>
      </c>
      <c r="N716" t="str">
        <f>IFERROR(TRIM(INDEX('Verificação Peneiradores'!$AE$93:$AE$102,MATCH("*",'Verificação Peneiradores'!$AE$93:$AE$102,0))),"")</f>
        <v/>
      </c>
      <c r="O716" t="str">
        <f>IFERROR(TRIM(INDEX('Verificação Peneiradores'!$AD$93:$AD$102,MATCH("*",'Verificação Peneiradores'!$AD$93:$AD$102,0))),"")</f>
        <v/>
      </c>
      <c r="P716" t="str">
        <f>IF(COUNTIF('Verificação Peneiradores'!$AB$96:$AB$100,"SEM TAG")&gt;0,"Sem TAG de calibração; ","")&amp;IF('Verificação Peneiradores'!$AB$96="NÃO OK","Condições das telas; ","")&amp;IF('Verificação Peneiradores'!$AB$97="NÃO OK","Inclinação das telas; ","")&amp;IF('Verificação Peneiradores'!$AB$98="NÃO OK","Vibração do peneirador; ","")&amp;IF('Verificação Peneiradores'!$AB$99="NÃO OK","Travamento das peneiras; ","")&amp;IF('Verificação Peneiradores'!$AB$100="NÃO OK","Calibração; ","")</f>
        <v/>
      </c>
      <c r="Q716" t="s">
        <v>1087</v>
      </c>
    </row>
    <row r="717">
      <c r="A717" t="s">
        <v>816</v>
      </c>
      <c r="B717" t="s">
        <v>667</v>
      </c>
      <c r="C717" s="912" t="str">
        <f>IF(MAX('Verificação Peneiradores'!$AC$103:$AC$112)=0,"",MAX('Verificação Peneiradores'!$AC$103:$AC$112))</f>
        <v/>
      </c>
      <c r="D717" t="str">
        <f>IF('Verificação Peneiradores'!$B$104&amp;""="","Circulares",TRIM('Verificação Peneiradores'!$B$104&amp;""))</f>
        <v>PN0423</v>
      </c>
      <c r="E717" t="str">
        <f>"Malha "&amp;'Verificação Peneiradores'!$B$103&amp;" mm ("&amp;"Circulares"&amp;")"</f>
        <v>Malha 19 mm (Circulares)</v>
      </c>
      <c r="F717" t="s">
        <v>817</v>
      </c>
      <c r="G717" t="str">
        <f>IF(COUNTA('Verificação Peneiradores'!$B$106:$B$110)=0,"",COUNTIF('Verificação Peneiradores'!$B$106:$B$110,"OK"))</f>
        <v/>
      </c>
      <c r="H717" t="str">
        <f>IF(COUNTA('Verificação Peneiradores'!$B$106:$B$110)=0,"",COUNTA('Verificação Peneiradores'!$B$106:$B$110))</f>
        <v/>
      </c>
      <c r="M717" t="str">
        <f>IF(COUNTA('Verificação Peneiradores'!$B$106:$B$110)=0,"",IF(COUNTIF('Verificação Peneiradores'!$B$106:$B$110,"NÃO OK")&gt;0,"Não conforme","Conforme"))</f>
        <v/>
      </c>
      <c r="N717" t="str">
        <f>IFERROR(TRIM(INDEX('Verificação Peneiradores'!$AE$103:$AE$112,MATCH("*",'Verificação Peneiradores'!$AE$103:$AE$112,0))),"")</f>
        <v/>
      </c>
      <c r="O717" t="str">
        <f>IFERROR(TRIM(INDEX('Verificação Peneiradores'!$AD$103:$AD$112,MATCH("*",'Verificação Peneiradores'!$AD$103:$AD$112,0))),"")</f>
        <v/>
      </c>
      <c r="P717" t="str">
        <f>IF(COUNTIF('Verificação Peneiradores'!$B$106:$B$110,"SEM TAG")&gt;0,"Sem TAG de calibração; ","")&amp;IF('Verificação Peneiradores'!$B$106="NÃO OK","Condições das telas; ","")&amp;IF('Verificação Peneiradores'!$B$107="NÃO OK","Inclinação das telas; ","")&amp;IF('Verificação Peneiradores'!$B$108="NÃO OK","Vibração do peneirador; ","")&amp;IF('Verificação Peneiradores'!$B$109="NÃO OK","Travamento das peneiras; ","")&amp;IF('Verificação Peneiradores'!$B$110="NÃO OK","Calibração; ","")</f>
        <v/>
      </c>
      <c r="Q717" t="s">
        <v>1088</v>
      </c>
    </row>
    <row r="718">
      <c r="A718" t="s">
        <v>816</v>
      </c>
      <c r="B718" t="s">
        <v>667</v>
      </c>
      <c r="C718" s="912" t="str">
        <f>IF(MAX('Verificação Peneiradores'!$AC$103:$AC$112)=0,"",MAX('Verificação Peneiradores'!$AC$103:$AC$112))</f>
        <v/>
      </c>
      <c r="D718" t="str">
        <f>IF('Verificação Peneiradores'!$C$104&amp;""="","Circulares",TRIM('Verificação Peneiradores'!$C$104&amp;""))</f>
        <v>PN0482</v>
      </c>
      <c r="E718" t="str">
        <f>"Malha "&amp;'Verificação Peneiradores'!$C$103&amp;" mm ("&amp;"Circulares"&amp;")"</f>
        <v>Malha 16 mm (Circulares)</v>
      </c>
      <c r="F718" t="s">
        <v>817</v>
      </c>
      <c r="G718" t="str">
        <f>IF(COUNTA('Verificação Peneiradores'!$C$106:$C$110)=0,"",COUNTIF('Verificação Peneiradores'!$C$106:$C$110,"OK"))</f>
        <v/>
      </c>
      <c r="H718" t="str">
        <f>IF(COUNTA('Verificação Peneiradores'!$C$106:$C$110)=0,"",COUNTA('Verificação Peneiradores'!$C$106:$C$110))</f>
        <v/>
      </c>
      <c r="M718" t="str">
        <f>IF(COUNTA('Verificação Peneiradores'!$C$106:$C$110)=0,"",IF(COUNTIF('Verificação Peneiradores'!$C$106:$C$110,"NÃO OK")&gt;0,"Não conforme","Conforme"))</f>
        <v/>
      </c>
      <c r="N718" t="str">
        <f>IFERROR(TRIM(INDEX('Verificação Peneiradores'!$AE$103:$AE$112,MATCH("*",'Verificação Peneiradores'!$AE$103:$AE$112,0))),"")</f>
        <v/>
      </c>
      <c r="O718" t="str">
        <f>IFERROR(TRIM(INDEX('Verificação Peneiradores'!$AD$103:$AD$112,MATCH("*",'Verificação Peneiradores'!$AD$103:$AD$112,0))),"")</f>
        <v/>
      </c>
      <c r="P718" t="str">
        <f>IF(COUNTIF('Verificação Peneiradores'!$C$106:$C$110,"SEM TAG")&gt;0,"Sem TAG de calibração; ","")&amp;IF('Verificação Peneiradores'!$C$106="NÃO OK","Condições das telas; ","")&amp;IF('Verificação Peneiradores'!$C$107="NÃO OK","Inclinação das telas; ","")&amp;IF('Verificação Peneiradores'!$C$108="NÃO OK","Vibração do peneirador; ","")&amp;IF('Verificação Peneiradores'!$C$109="NÃO OK","Travamento das peneiras; ","")&amp;IF('Verificação Peneiradores'!$C$110="NÃO OK","Calibração; ","")</f>
        <v/>
      </c>
      <c r="Q718" t="s">
        <v>1089</v>
      </c>
    </row>
    <row r="719">
      <c r="A719" t="s">
        <v>816</v>
      </c>
      <c r="B719" t="s">
        <v>667</v>
      </c>
      <c r="C719" s="912" t="str">
        <f>IF(MAX('Verificação Peneiradores'!$AC$103:$AC$112)=0,"",MAX('Verificação Peneiradores'!$AC$103:$AC$112))</f>
        <v/>
      </c>
      <c r="D719" t="str">
        <f>IF('Verificação Peneiradores'!$D$104&amp;""="","Circulares",TRIM('Verificação Peneiradores'!$D$104&amp;""))</f>
        <v>PN 614</v>
      </c>
      <c r="E719" t="str">
        <f>"Malha "&amp;'Verificação Peneiradores'!$D$103&amp;" mm ("&amp;"Circulares"&amp;")"</f>
        <v>Malha 12,5 mm (Circulares)</v>
      </c>
      <c r="F719" t="s">
        <v>817</v>
      </c>
      <c r="G719" t="str">
        <f>IF(COUNTA('Verificação Peneiradores'!$D$106:$D$110)=0,"",COUNTIF('Verificação Peneiradores'!$D$106:$D$110,"OK"))</f>
        <v/>
      </c>
      <c r="H719" t="str">
        <f>IF(COUNTA('Verificação Peneiradores'!$D$106:$D$110)=0,"",COUNTA('Verificação Peneiradores'!$D$106:$D$110))</f>
        <v/>
      </c>
      <c r="M719" t="str">
        <f>IF(COUNTA('Verificação Peneiradores'!$D$106:$D$110)=0,"",IF(COUNTIF('Verificação Peneiradores'!$D$106:$D$110,"NÃO OK")&gt;0,"Não conforme","Conforme"))</f>
        <v/>
      </c>
      <c r="N719" t="str">
        <f>IFERROR(TRIM(INDEX('Verificação Peneiradores'!$AE$103:$AE$112,MATCH("*",'Verificação Peneiradores'!$AE$103:$AE$112,0))),"")</f>
        <v/>
      </c>
      <c r="O719" t="str">
        <f>IFERROR(TRIM(INDEX('Verificação Peneiradores'!$AD$103:$AD$112,MATCH("*",'Verificação Peneiradores'!$AD$103:$AD$112,0))),"")</f>
        <v/>
      </c>
      <c r="P719" t="str">
        <f>IF(COUNTIF('Verificação Peneiradores'!$D$106:$D$110,"SEM TAG")&gt;0,"Sem TAG de calibração; ","")&amp;IF('Verificação Peneiradores'!$D$106="NÃO OK","Condições das telas; ","")&amp;IF('Verificação Peneiradores'!$D$107="NÃO OK","Inclinação das telas; ","")&amp;IF('Verificação Peneiradores'!$D$108="NÃO OK","Vibração do peneirador; ","")&amp;IF('Verificação Peneiradores'!$D$109="NÃO OK","Travamento das peneiras; ","")&amp;IF('Verificação Peneiradores'!$D$110="NÃO OK","Calibração; ","")</f>
        <v/>
      </c>
      <c r="Q719" t="s">
        <v>1090</v>
      </c>
    </row>
    <row r="720">
      <c r="A720" t="s">
        <v>816</v>
      </c>
      <c r="B720" t="s">
        <v>667</v>
      </c>
      <c r="C720" s="912" t="str">
        <f>IF(MAX('Verificação Peneiradores'!$AC$103:$AC$112)=0,"",MAX('Verificação Peneiradores'!$AC$103:$AC$112))</f>
        <v/>
      </c>
      <c r="D720" t="str">
        <f>IF('Verificação Peneiradores'!$E$104&amp;""="","Circulares",TRIM('Verificação Peneiradores'!$E$104&amp;""))</f>
        <v>PN 303</v>
      </c>
      <c r="E720" t="str">
        <f>"Malha "&amp;'Verificação Peneiradores'!$E$103&amp;" mm ("&amp;"Circulares"&amp;")"</f>
        <v>Malha 10 mm (Circulares)</v>
      </c>
      <c r="F720" t="s">
        <v>817</v>
      </c>
      <c r="G720" t="str">
        <f>IF(COUNTA('Verificação Peneiradores'!$E$106:$E$110)=0,"",COUNTIF('Verificação Peneiradores'!$E$106:$E$110,"OK"))</f>
        <v/>
      </c>
      <c r="H720" t="str">
        <f>IF(COUNTA('Verificação Peneiradores'!$E$106:$E$110)=0,"",COUNTA('Verificação Peneiradores'!$E$106:$E$110))</f>
        <v/>
      </c>
      <c r="M720" t="str">
        <f>IF(COUNTA('Verificação Peneiradores'!$E$106:$E$110)=0,"",IF(COUNTIF('Verificação Peneiradores'!$E$106:$E$110,"NÃO OK")&gt;0,"Não conforme","Conforme"))</f>
        <v/>
      </c>
      <c r="N720" t="str">
        <f>IFERROR(TRIM(INDEX('Verificação Peneiradores'!$AE$103:$AE$112,MATCH("*",'Verificação Peneiradores'!$AE$103:$AE$112,0))),"")</f>
        <v/>
      </c>
      <c r="O720" t="str">
        <f>IFERROR(TRIM(INDEX('Verificação Peneiradores'!$AD$103:$AD$112,MATCH("*",'Verificação Peneiradores'!$AD$103:$AD$112,0))),"")</f>
        <v/>
      </c>
      <c r="P720" t="str">
        <f>IF(COUNTIF('Verificação Peneiradores'!$E$106:$E$110,"SEM TAG")&gt;0,"Sem TAG de calibração; ","")&amp;IF('Verificação Peneiradores'!$E$106="NÃO OK","Condições das telas; ","")&amp;IF('Verificação Peneiradores'!$E$107="NÃO OK","Inclinação das telas; ","")&amp;IF('Verificação Peneiradores'!$E$108="NÃO OK","Vibração do peneirador; ","")&amp;IF('Verificação Peneiradores'!$E$109="NÃO OK","Travamento das peneiras; ","")&amp;IF('Verificação Peneiradores'!$E$110="NÃO OK","Calibração; ","")</f>
        <v/>
      </c>
      <c r="Q720" t="s">
        <v>1091</v>
      </c>
    </row>
    <row r="721">
      <c r="A721" t="s">
        <v>816</v>
      </c>
      <c r="B721" t="s">
        <v>667</v>
      </c>
      <c r="C721" s="912" t="str">
        <f>IF(MAX('Verificação Peneiradores'!$AC$103:$AC$112)=0,"",MAX('Verificação Peneiradores'!$AC$103:$AC$112))</f>
        <v/>
      </c>
      <c r="D721" t="str">
        <f>IF('Verificação Peneiradores'!$F$104&amp;""="","Circulares",TRIM('Verificação Peneiradores'!$F$104&amp;""))</f>
        <v>PN431</v>
      </c>
      <c r="E721" t="str">
        <f>"Malha "&amp;'Verificação Peneiradores'!$F$103&amp;" mm ("&amp;"Circulares"&amp;")"</f>
        <v>Malha 9 mm (Circulares)</v>
      </c>
      <c r="F721" t="s">
        <v>817</v>
      </c>
      <c r="G721" t="str">
        <f>IF(COUNTA('Verificação Peneiradores'!$F$106:$F$110)=0,"",COUNTIF('Verificação Peneiradores'!$F$106:$F$110,"OK"))</f>
        <v/>
      </c>
      <c r="H721" t="str">
        <f>IF(COUNTA('Verificação Peneiradores'!$F$106:$F$110)=0,"",COUNTA('Verificação Peneiradores'!$F$106:$F$110))</f>
        <v/>
      </c>
      <c r="M721" t="str">
        <f>IF(COUNTA('Verificação Peneiradores'!$F$106:$F$110)=0,"",IF(COUNTIF('Verificação Peneiradores'!$F$106:$F$110,"NÃO OK")&gt;0,"Não conforme","Conforme"))</f>
        <v/>
      </c>
      <c r="N721" t="str">
        <f>IFERROR(TRIM(INDEX('Verificação Peneiradores'!$AE$103:$AE$112,MATCH("*",'Verificação Peneiradores'!$AE$103:$AE$112,0))),"")</f>
        <v/>
      </c>
      <c r="O721" t="str">
        <f>IFERROR(TRIM(INDEX('Verificação Peneiradores'!$AD$103:$AD$112,MATCH("*",'Verificação Peneiradores'!$AD$103:$AD$112,0))),"")</f>
        <v/>
      </c>
      <c r="P721" t="str">
        <f>IF(COUNTIF('Verificação Peneiradores'!$F$106:$F$110,"SEM TAG")&gt;0,"Sem TAG de calibração; ","")&amp;IF('Verificação Peneiradores'!$F$106="NÃO OK","Condições das telas; ","")&amp;IF('Verificação Peneiradores'!$F$107="NÃO OK","Inclinação das telas; ","")&amp;IF('Verificação Peneiradores'!$F$108="NÃO OK","Vibração do peneirador; ","")&amp;IF('Verificação Peneiradores'!$F$109="NÃO OK","Travamento das peneiras; ","")&amp;IF('Verificação Peneiradores'!$F$110="NÃO OK","Calibração; ","")</f>
        <v/>
      </c>
      <c r="Q721" t="s">
        <v>1092</v>
      </c>
    </row>
    <row r="722">
      <c r="A722" t="s">
        <v>816</v>
      </c>
      <c r="B722" t="s">
        <v>667</v>
      </c>
      <c r="C722" s="912" t="str">
        <f>IF(MAX('Verificação Peneiradores'!$AC$103:$AC$112)=0,"",MAX('Verificação Peneiradores'!$AC$103:$AC$112))</f>
        <v/>
      </c>
      <c r="D722" t="str">
        <f>IF('Verificação Peneiradores'!$G$104&amp;""="","Circulares",TRIM('Verificação Peneiradores'!$G$104&amp;""))</f>
        <v>PN432</v>
      </c>
      <c r="E722" t="str">
        <f>"Malha "&amp;'Verificação Peneiradores'!$G$103&amp;" mm ("&amp;"Circulares"&amp;")"</f>
        <v>Malha 8 mm (Circulares)</v>
      </c>
      <c r="F722" t="s">
        <v>817</v>
      </c>
      <c r="G722" t="str">
        <f>IF(COUNTA('Verificação Peneiradores'!$G$106:$G$110)=0,"",COUNTIF('Verificação Peneiradores'!$G$106:$G$110,"OK"))</f>
        <v/>
      </c>
      <c r="H722" t="str">
        <f>IF(COUNTA('Verificação Peneiradores'!$G$106:$G$110)=0,"",COUNTA('Verificação Peneiradores'!$G$106:$G$110))</f>
        <v/>
      </c>
      <c r="M722" t="str">
        <f>IF(COUNTA('Verificação Peneiradores'!$G$106:$G$110)=0,"",IF(COUNTIF('Verificação Peneiradores'!$G$106:$G$110,"NÃO OK")&gt;0,"Não conforme","Conforme"))</f>
        <v/>
      </c>
      <c r="N722" t="str">
        <f>IFERROR(TRIM(INDEX('Verificação Peneiradores'!$AE$103:$AE$112,MATCH("*",'Verificação Peneiradores'!$AE$103:$AE$112,0))),"")</f>
        <v/>
      </c>
      <c r="O722" t="str">
        <f>IFERROR(TRIM(INDEX('Verificação Peneiradores'!$AD$103:$AD$112,MATCH("*",'Verificação Peneiradores'!$AD$103:$AD$112,0))),"")</f>
        <v/>
      </c>
      <c r="P722" t="str">
        <f>IF(COUNTIF('Verificação Peneiradores'!$G$106:$G$110,"SEM TAG")&gt;0,"Sem TAG de calibração; ","")&amp;IF('Verificação Peneiradores'!$G$106="NÃO OK","Condições das telas; ","")&amp;IF('Verificação Peneiradores'!$G$107="NÃO OK","Inclinação das telas; ","")&amp;IF('Verificação Peneiradores'!$G$108="NÃO OK","Vibração do peneirador; ","")&amp;IF('Verificação Peneiradores'!$G$109="NÃO OK","Travamento das peneiras; ","")&amp;IF('Verificação Peneiradores'!$G$110="NÃO OK","Calibração; ","")</f>
        <v/>
      </c>
      <c r="Q722" t="s">
        <v>1093</v>
      </c>
    </row>
    <row r="723">
      <c r="A723" t="s">
        <v>816</v>
      </c>
      <c r="B723" t="s">
        <v>667</v>
      </c>
      <c r="C723" s="912" t="str">
        <f>IF(MAX('Verificação Peneiradores'!$AC$103:$AC$112)=0,"",MAX('Verificação Peneiradores'!$AC$103:$AC$112))</f>
        <v/>
      </c>
      <c r="D723" t="str">
        <f>IF('Verificação Peneiradores'!$H$104&amp;""="","Circulares",TRIM('Verificação Peneiradores'!$H$104&amp;""))</f>
        <v>PN0430</v>
      </c>
      <c r="E723" t="str">
        <f>"Malha "&amp;'Verificação Peneiradores'!$H$103&amp;" mm ("&amp;"Circulares"&amp;")"</f>
        <v>Malha 6,3 mm (Circulares)</v>
      </c>
      <c r="F723" t="s">
        <v>817</v>
      </c>
      <c r="G723" t="str">
        <f>IF(COUNTA('Verificação Peneiradores'!$H$106:$H$110)=0,"",COUNTIF('Verificação Peneiradores'!$H$106:$H$110,"OK"))</f>
        <v/>
      </c>
      <c r="H723" t="str">
        <f>IF(COUNTA('Verificação Peneiradores'!$H$106:$H$110)=0,"",COUNTA('Verificação Peneiradores'!$H$106:$H$110))</f>
        <v/>
      </c>
      <c r="M723" t="str">
        <f>IF(COUNTA('Verificação Peneiradores'!$H$106:$H$110)=0,"",IF(COUNTIF('Verificação Peneiradores'!$H$106:$H$110,"NÃO OK")&gt;0,"Não conforme","Conforme"))</f>
        <v/>
      </c>
      <c r="N723" t="str">
        <f>IFERROR(TRIM(INDEX('Verificação Peneiradores'!$AE$103:$AE$112,MATCH("*",'Verificação Peneiradores'!$AE$103:$AE$112,0))),"")</f>
        <v/>
      </c>
      <c r="O723" t="str">
        <f>IFERROR(TRIM(INDEX('Verificação Peneiradores'!$AD$103:$AD$112,MATCH("*",'Verificação Peneiradores'!$AD$103:$AD$112,0))),"")</f>
        <v/>
      </c>
      <c r="P723" t="str">
        <f>IF(COUNTIF('Verificação Peneiradores'!$H$106:$H$110,"SEM TAG")&gt;0,"Sem TAG de calibração; ","")&amp;IF('Verificação Peneiradores'!$H$106="NÃO OK","Condições das telas; ","")&amp;IF('Verificação Peneiradores'!$H$107="NÃO OK","Inclinação das telas; ","")&amp;IF('Verificação Peneiradores'!$H$108="NÃO OK","Vibração do peneirador; ","")&amp;IF('Verificação Peneiradores'!$H$109="NÃO OK","Travamento das peneiras; ","")&amp;IF('Verificação Peneiradores'!$H$110="NÃO OK","Calibração; ","")</f>
        <v/>
      </c>
      <c r="Q723" t="s">
        <v>1094</v>
      </c>
    </row>
    <row r="724">
      <c r="A724" t="s">
        <v>816</v>
      </c>
      <c r="B724" t="s">
        <v>667</v>
      </c>
      <c r="C724" s="912" t="str">
        <f>IF(MAX('Verificação Peneiradores'!$AC$103:$AC$112)=0,"",MAX('Verificação Peneiradores'!$AC$103:$AC$112))</f>
        <v/>
      </c>
      <c r="D724" t="str">
        <f>IF('Verificação Peneiradores'!$I$104&amp;""="","Circulares",TRIM('Verificação Peneiradores'!$I$104&amp;""))</f>
        <v>PN0425</v>
      </c>
      <c r="E724" t="str">
        <f>"Malha "&amp;'Verificação Peneiradores'!$I$103&amp;" mm ("&amp;"Circulares"&amp;")"</f>
        <v>Malha 5 mm (Circulares)</v>
      </c>
      <c r="F724" t="s">
        <v>817</v>
      </c>
      <c r="G724" t="str">
        <f>IF(COUNTA('Verificação Peneiradores'!$I$106:$I$110)=0,"",COUNTIF('Verificação Peneiradores'!$I$106:$I$110,"OK"))</f>
        <v/>
      </c>
      <c r="H724" t="str">
        <f>IF(COUNTA('Verificação Peneiradores'!$I$106:$I$110)=0,"",COUNTA('Verificação Peneiradores'!$I$106:$I$110))</f>
        <v/>
      </c>
      <c r="M724" t="str">
        <f>IF(COUNTA('Verificação Peneiradores'!$I$106:$I$110)=0,"",IF(COUNTIF('Verificação Peneiradores'!$I$106:$I$110,"NÃO OK")&gt;0,"Não conforme","Conforme"))</f>
        <v/>
      </c>
      <c r="N724" t="str">
        <f>IFERROR(TRIM(INDEX('Verificação Peneiradores'!$AE$103:$AE$112,MATCH("*",'Verificação Peneiradores'!$AE$103:$AE$112,0))),"")</f>
        <v/>
      </c>
      <c r="O724" t="str">
        <f>IFERROR(TRIM(INDEX('Verificação Peneiradores'!$AD$103:$AD$112,MATCH("*",'Verificação Peneiradores'!$AD$103:$AD$112,0))),"")</f>
        <v/>
      </c>
      <c r="P724" t="str">
        <f>IF(COUNTIF('Verificação Peneiradores'!$I$106:$I$110,"SEM TAG")&gt;0,"Sem TAG de calibração; ","")&amp;IF('Verificação Peneiradores'!$I$106="NÃO OK","Condições das telas; ","")&amp;IF('Verificação Peneiradores'!$I$107="NÃO OK","Inclinação das telas; ","")&amp;IF('Verificação Peneiradores'!$I$108="NÃO OK","Vibração do peneirador; ","")&amp;IF('Verificação Peneiradores'!$I$109="NÃO OK","Travamento das peneiras; ","")&amp;IF('Verificação Peneiradores'!$I$110="NÃO OK","Calibração; ","")</f>
        <v/>
      </c>
      <c r="Q724" t="s">
        <v>1095</v>
      </c>
    </row>
    <row r="725">
      <c r="A725" t="s">
        <v>816</v>
      </c>
      <c r="B725" t="s">
        <v>667</v>
      </c>
      <c r="C725" s="912" t="str">
        <f>IF(MAX('Verificação Peneiradores'!$AC$103:$AC$112)=0,"",MAX('Verificação Peneiradores'!$AC$103:$AC$112))</f>
        <v/>
      </c>
      <c r="D725" t="str">
        <f>IF('Verificação Peneiradores'!$J$104&amp;""="","Circulares",TRIM('Verificação Peneiradores'!$J$104&amp;""))</f>
        <v>PN0,46</v>
      </c>
      <c r="E725" t="str">
        <f>"Malha "&amp;'Verificação Peneiradores'!$J$103&amp;" mm ("&amp;"Circulares"&amp;")"</f>
        <v>Malha 3,15 mm (Circulares)</v>
      </c>
      <c r="F725" t="s">
        <v>817</v>
      </c>
      <c r="G725" t="str">
        <f>IF(COUNTA('Verificação Peneiradores'!$J$106:$J$110)=0,"",COUNTIF('Verificação Peneiradores'!$J$106:$J$110,"OK"))</f>
        <v/>
      </c>
      <c r="H725" t="str">
        <f>IF(COUNTA('Verificação Peneiradores'!$J$106:$J$110)=0,"",COUNTA('Verificação Peneiradores'!$J$106:$J$110))</f>
        <v/>
      </c>
      <c r="M725" t="str">
        <f>IF(COUNTA('Verificação Peneiradores'!$J$106:$J$110)=0,"",IF(COUNTIF('Verificação Peneiradores'!$J$106:$J$110,"NÃO OK")&gt;0,"Não conforme","Conforme"))</f>
        <v/>
      </c>
      <c r="N725" t="str">
        <f>IFERROR(TRIM(INDEX('Verificação Peneiradores'!$AE$103:$AE$112,MATCH("*",'Verificação Peneiradores'!$AE$103:$AE$112,0))),"")</f>
        <v/>
      </c>
      <c r="O725" t="str">
        <f>IFERROR(TRIM(INDEX('Verificação Peneiradores'!$AD$103:$AD$112,MATCH("*",'Verificação Peneiradores'!$AD$103:$AD$112,0))),"")</f>
        <v/>
      </c>
      <c r="P725" t="str">
        <f>IF(COUNTIF('Verificação Peneiradores'!$J$106:$J$110,"SEM TAG")&gt;0,"Sem TAG de calibração; ","")&amp;IF('Verificação Peneiradores'!$J$106="NÃO OK","Condições das telas; ","")&amp;IF('Verificação Peneiradores'!$J$107="NÃO OK","Inclinação das telas; ","")&amp;IF('Verificação Peneiradores'!$J$108="NÃO OK","Vibração do peneirador; ","")&amp;IF('Verificação Peneiradores'!$J$109="NÃO OK","Travamento das peneiras; ","")&amp;IF('Verificação Peneiradores'!$J$110="NÃO OK","Calibração; ","")</f>
        <v/>
      </c>
      <c r="Q725" t="s">
        <v>1096</v>
      </c>
    </row>
    <row r="726">
      <c r="A726" t="s">
        <v>816</v>
      </c>
      <c r="B726" t="s">
        <v>667</v>
      </c>
      <c r="C726" s="912" t="str">
        <f>IF(MAX('Verificação Peneiradores'!$AC$103:$AC$112)=0,"",MAX('Verificação Peneiradores'!$AC$103:$AC$112))</f>
        <v/>
      </c>
      <c r="D726" t="str">
        <f>IF('Verificação Peneiradores'!$K$104&amp;""="","Circulares",TRIM('Verificação Peneiradores'!$K$104&amp;""))</f>
        <v>PN0500</v>
      </c>
      <c r="E726" t="str">
        <f>"Malha "&amp;'Verificação Peneiradores'!$K$103&amp;" mm ("&amp;"Circulares"&amp;")"</f>
        <v>Malha 0,5 mm (Circulares)</v>
      </c>
      <c r="F726" t="s">
        <v>817</v>
      </c>
      <c r="G726" t="str">
        <f>IF(COUNTA('Verificação Peneiradores'!$K$106:$K$110)=0,"",COUNTIF('Verificação Peneiradores'!$K$106:$K$110,"OK"))</f>
        <v/>
      </c>
      <c r="H726" t="str">
        <f>IF(COUNTA('Verificação Peneiradores'!$K$106:$K$110)=0,"",COUNTA('Verificação Peneiradores'!$K$106:$K$110))</f>
        <v/>
      </c>
      <c r="M726" t="str">
        <f>IF(COUNTA('Verificação Peneiradores'!$K$106:$K$110)=0,"",IF(COUNTIF('Verificação Peneiradores'!$K$106:$K$110,"NÃO OK")&gt;0,"Não conforme","Conforme"))</f>
        <v/>
      </c>
      <c r="N726" t="str">
        <f>IFERROR(TRIM(INDEX('Verificação Peneiradores'!$AE$103:$AE$112,MATCH("*",'Verificação Peneiradores'!$AE$103:$AE$112,0))),"")</f>
        <v/>
      </c>
      <c r="O726" t="str">
        <f>IFERROR(TRIM(INDEX('Verificação Peneiradores'!$AD$103:$AD$112,MATCH("*",'Verificação Peneiradores'!$AD$103:$AD$112,0))),"")</f>
        <v/>
      </c>
      <c r="P726" t="str">
        <f>IF(COUNTIF('Verificação Peneiradores'!$K$106:$K$110,"SEM TAG")&gt;0,"Sem TAG de calibração; ","")&amp;IF('Verificação Peneiradores'!$K$106="NÃO OK","Condições das telas; ","")&amp;IF('Verificação Peneiradores'!$K$107="NÃO OK","Inclinação das telas; ","")&amp;IF('Verificação Peneiradores'!$K$108="NÃO OK","Vibração do peneirador; ","")&amp;IF('Verificação Peneiradores'!$K$109="NÃO OK","Travamento das peneiras; ","")&amp;IF('Verificação Peneiradores'!$K$110="NÃO OK","Calibração; ","")</f>
        <v/>
      </c>
      <c r="Q726" t="s">
        <v>1097</v>
      </c>
    </row>
    <row r="727">
      <c r="A727" t="s">
        <v>816</v>
      </c>
      <c r="B727" t="s">
        <v>667</v>
      </c>
      <c r="C727" s="912" t="str">
        <f>IF(MAX('Verificação Peneiradores'!$AC$103:$AC$112)=0,"",MAX('Verificação Peneiradores'!$AC$103:$AC$112))</f>
        <v/>
      </c>
      <c r="D727" t="str">
        <f>IF('Verificação Peneiradores'!$L$104&amp;""="","Circulares",TRIM('Verificação Peneiradores'!$L$104&amp;""))</f>
        <v>PN0501</v>
      </c>
      <c r="E727" t="str">
        <f>"Malha "&amp;'Verificação Peneiradores'!$L$103&amp;" mm ("&amp;"Circulares"&amp;")"</f>
        <v>Malha 0,5 mm (Circulares)</v>
      </c>
      <c r="F727" t="s">
        <v>817</v>
      </c>
      <c r="G727" t="str">
        <f>IF(COUNTA('Verificação Peneiradores'!$L$106:$L$110)=0,"",COUNTIF('Verificação Peneiradores'!$L$106:$L$110,"OK"))</f>
        <v/>
      </c>
      <c r="H727" t="str">
        <f>IF(COUNTA('Verificação Peneiradores'!$L$106:$L$110)=0,"",COUNTA('Verificação Peneiradores'!$L$106:$L$110))</f>
        <v/>
      </c>
      <c r="M727" t="str">
        <f>IF(COUNTA('Verificação Peneiradores'!$L$106:$L$110)=0,"",IF(COUNTIF('Verificação Peneiradores'!$L$106:$L$110,"NÃO OK")&gt;0,"Não conforme","Conforme"))</f>
        <v/>
      </c>
      <c r="N727" t="str">
        <f>IFERROR(TRIM(INDEX('Verificação Peneiradores'!$AE$103:$AE$112,MATCH("*",'Verificação Peneiradores'!$AE$103:$AE$112,0))),"")</f>
        <v/>
      </c>
      <c r="O727" t="str">
        <f>IFERROR(TRIM(INDEX('Verificação Peneiradores'!$AD$103:$AD$112,MATCH("*",'Verificação Peneiradores'!$AD$103:$AD$112,0))),"")</f>
        <v/>
      </c>
      <c r="P727" t="str">
        <f>IF(COUNTIF('Verificação Peneiradores'!$L$106:$L$110,"SEM TAG")&gt;0,"Sem TAG de calibração; ","")&amp;IF('Verificação Peneiradores'!$L$106="NÃO OK","Condições das telas; ","")&amp;IF('Verificação Peneiradores'!$L$107="NÃO OK","Inclinação das telas; ","")&amp;IF('Verificação Peneiradores'!$L$108="NÃO OK","Vibração do peneirador; ","")&amp;IF('Verificação Peneiradores'!$L$109="NÃO OK","Travamento das peneiras; ","")&amp;IF('Verificação Peneiradores'!$L$110="NÃO OK","Calibração; ","")</f>
        <v/>
      </c>
      <c r="Q727" t="s">
        <v>1098</v>
      </c>
    </row>
    <row r="728">
      <c r="A728" t="s">
        <v>816</v>
      </c>
      <c r="B728" t="s">
        <v>667</v>
      </c>
      <c r="C728" s="912" t="str">
        <f>IF(MAX('Verificação Peneiradores'!$AC$103:$AC$112)=0,"",MAX('Verificação Peneiradores'!$AC$103:$AC$112))</f>
        <v/>
      </c>
      <c r="D728" t="str">
        <f>IF('Verificação Peneiradores'!$M$104&amp;""="","Peneirador 09",TRIM('Verificação Peneiradores'!$M$104&amp;""))</f>
        <v>PN478</v>
      </c>
      <c r="E728" t="str">
        <f>"Malha "&amp;'Verificação Peneiradores'!$M$103&amp;" mm ("&amp;"Peneirador 09"&amp;")"</f>
        <v>Malha 19 mm (Peneirador 09)</v>
      </c>
      <c r="F728" t="s">
        <v>817</v>
      </c>
      <c r="G728" t="str">
        <f>IF(COUNTA('Verificação Peneiradores'!$M$106:$M$110)=0,"",COUNTIF('Verificação Peneiradores'!$M$106:$M$110,"OK"))</f>
        <v/>
      </c>
      <c r="H728" t="str">
        <f>IF(COUNTA('Verificação Peneiradores'!$M$106:$M$110)=0,"",COUNTA('Verificação Peneiradores'!$M$106:$M$110))</f>
        <v/>
      </c>
      <c r="M728" t="str">
        <f>IF(COUNTA('Verificação Peneiradores'!$M$106:$M$110)=0,"",IF(COUNTIF('Verificação Peneiradores'!$M$106:$M$110,"NÃO OK")&gt;0,"Não conforme","Conforme"))</f>
        <v/>
      </c>
      <c r="N728" t="str">
        <f>IFERROR(TRIM(INDEX('Verificação Peneiradores'!$AE$103:$AE$112,MATCH("*",'Verificação Peneiradores'!$AE$103:$AE$112,0))),"")</f>
        <v/>
      </c>
      <c r="O728" t="str">
        <f>IFERROR(TRIM(INDEX('Verificação Peneiradores'!$AD$103:$AD$112,MATCH("*",'Verificação Peneiradores'!$AD$103:$AD$112,0))),"")</f>
        <v/>
      </c>
      <c r="P728" t="str">
        <f>IF(COUNTIF('Verificação Peneiradores'!$M$106:$M$110,"SEM TAG")&gt;0,"Sem TAG de calibração; ","")&amp;IF('Verificação Peneiradores'!$M$106="NÃO OK","Condições das telas; ","")&amp;IF('Verificação Peneiradores'!$M$107="NÃO OK","Inclinação das telas; ","")&amp;IF('Verificação Peneiradores'!$M$108="NÃO OK","Vibração do peneirador; ","")&amp;IF('Verificação Peneiradores'!$M$109="NÃO OK","Travamento das peneiras; ","")&amp;IF('Verificação Peneiradores'!$M$110="NÃO OK","Calibração; ","")</f>
        <v/>
      </c>
      <c r="Q728" t="s">
        <v>1099</v>
      </c>
    </row>
    <row r="729">
      <c r="A729" t="s">
        <v>816</v>
      </c>
      <c r="B729" t="s">
        <v>667</v>
      </c>
      <c r="C729" s="912" t="str">
        <f>IF(MAX('Verificação Peneiradores'!$AC$103:$AC$112)=0,"",MAX('Verificação Peneiradores'!$AC$103:$AC$112))</f>
        <v/>
      </c>
      <c r="D729" t="str">
        <f>IF('Verificação Peneiradores'!$N$104&amp;""="","Peneirador 09",TRIM('Verificação Peneiradores'!$N$104&amp;""))</f>
        <v>PN516</v>
      </c>
      <c r="E729" t="str">
        <f>"Malha "&amp;'Verificação Peneiradores'!$N$103&amp;" mm ("&amp;"Peneirador 09"&amp;")"</f>
        <v>Malha 16 mm (Peneirador 09)</v>
      </c>
      <c r="F729" t="s">
        <v>817</v>
      </c>
      <c r="G729" t="str">
        <f>IF(COUNTA('Verificação Peneiradores'!$N$106:$N$110)=0,"",COUNTIF('Verificação Peneiradores'!$N$106:$N$110,"OK"))</f>
        <v/>
      </c>
      <c r="H729" t="str">
        <f>IF(COUNTA('Verificação Peneiradores'!$N$106:$N$110)=0,"",COUNTA('Verificação Peneiradores'!$N$106:$N$110))</f>
        <v/>
      </c>
      <c r="M729" t="str">
        <f>IF(COUNTA('Verificação Peneiradores'!$N$106:$N$110)=0,"",IF(COUNTIF('Verificação Peneiradores'!$N$106:$N$110,"NÃO OK")&gt;0,"Não conforme","Conforme"))</f>
        <v/>
      </c>
      <c r="N729" t="str">
        <f>IFERROR(TRIM(INDEX('Verificação Peneiradores'!$AE$103:$AE$112,MATCH("*",'Verificação Peneiradores'!$AE$103:$AE$112,0))),"")</f>
        <v/>
      </c>
      <c r="O729" t="str">
        <f>IFERROR(TRIM(INDEX('Verificação Peneiradores'!$AD$103:$AD$112,MATCH("*",'Verificação Peneiradores'!$AD$103:$AD$112,0))),"")</f>
        <v/>
      </c>
      <c r="P729" t="str">
        <f>IF(COUNTIF('Verificação Peneiradores'!$N$106:$N$110,"SEM TAG")&gt;0,"Sem TAG de calibração; ","")&amp;IF('Verificação Peneiradores'!$N$106="NÃO OK","Condições das telas; ","")&amp;IF('Verificação Peneiradores'!$N$107="NÃO OK","Inclinação das telas; ","")&amp;IF('Verificação Peneiradores'!$N$108="NÃO OK","Vibração do peneirador; ","")&amp;IF('Verificação Peneiradores'!$N$109="NÃO OK","Travamento das peneiras; ","")&amp;IF('Verificação Peneiradores'!$N$110="NÃO OK","Calibração; ","")</f>
        <v/>
      </c>
      <c r="Q729" t="s">
        <v>1100</v>
      </c>
    </row>
    <row r="730">
      <c r="A730" t="s">
        <v>816</v>
      </c>
      <c r="B730" t="s">
        <v>667</v>
      </c>
      <c r="C730" s="912" t="str">
        <f>IF(MAX('Verificação Peneiradores'!$AC$103:$AC$112)=0,"",MAX('Verificação Peneiradores'!$AC$103:$AC$112))</f>
        <v/>
      </c>
      <c r="D730" t="str">
        <f>IF('Verificação Peneiradores'!$O$104&amp;""="","Peneirador 09",TRIM('Verificação Peneiradores'!$O$104&amp;""))</f>
        <v>PN650</v>
      </c>
      <c r="E730" t="str">
        <f>"Malha "&amp;'Verificação Peneiradores'!$O$103&amp;" mm ("&amp;"Peneirador 09"&amp;")"</f>
        <v>Malha 14 mm (Peneirador 09)</v>
      </c>
      <c r="F730" t="s">
        <v>817</v>
      </c>
      <c r="G730" t="str">
        <f>IF(COUNTA('Verificação Peneiradores'!$O$106:$O$110)=0,"",COUNTIF('Verificação Peneiradores'!$O$106:$O$110,"OK"))</f>
        <v/>
      </c>
      <c r="H730" t="str">
        <f>IF(COUNTA('Verificação Peneiradores'!$O$106:$O$110)=0,"",COUNTA('Verificação Peneiradores'!$O$106:$O$110))</f>
        <v/>
      </c>
      <c r="M730" t="str">
        <f>IF(COUNTA('Verificação Peneiradores'!$O$106:$O$110)=0,"",IF(COUNTIF('Verificação Peneiradores'!$O$106:$O$110,"NÃO OK")&gt;0,"Não conforme","Conforme"))</f>
        <v/>
      </c>
      <c r="N730" t="str">
        <f>IFERROR(TRIM(INDEX('Verificação Peneiradores'!$AE$103:$AE$112,MATCH("*",'Verificação Peneiradores'!$AE$103:$AE$112,0))),"")</f>
        <v/>
      </c>
      <c r="O730" t="str">
        <f>IFERROR(TRIM(INDEX('Verificação Peneiradores'!$AD$103:$AD$112,MATCH("*",'Verificação Peneiradores'!$AD$103:$AD$112,0))),"")</f>
        <v/>
      </c>
      <c r="P730" t="str">
        <f>IF(COUNTIF('Verificação Peneiradores'!$O$106:$O$110,"SEM TAG")&gt;0,"Sem TAG de calibração; ","")&amp;IF('Verificação Peneiradores'!$O$106="NÃO OK","Condições das telas; ","")&amp;IF('Verificação Peneiradores'!$O$107="NÃO OK","Inclinação das telas; ","")&amp;IF('Verificação Peneiradores'!$O$108="NÃO OK","Vibração do peneirador; ","")&amp;IF('Verificação Peneiradores'!$O$109="NÃO OK","Travamento das peneiras; ","")&amp;IF('Verificação Peneiradores'!$O$110="NÃO OK","Calibração; ","")</f>
        <v/>
      </c>
      <c r="Q730" t="s">
        <v>1101</v>
      </c>
    </row>
    <row r="731">
      <c r="A731" t="s">
        <v>816</v>
      </c>
      <c r="B731" t="s">
        <v>667</v>
      </c>
      <c r="C731" s="912" t="str">
        <f>IF(MAX('Verificação Peneiradores'!$AC$103:$AC$112)=0,"",MAX('Verificação Peneiradores'!$AC$103:$AC$112))</f>
        <v/>
      </c>
      <c r="D731" t="str">
        <f>IF('Verificação Peneiradores'!$P$104&amp;""="","Peneirador 09",TRIM('Verificação Peneiradores'!$P$104&amp;""))</f>
        <v>PN484</v>
      </c>
      <c r="E731" t="str">
        <f>"Malha "&amp;'Verificação Peneiradores'!$P$103&amp;" mm ("&amp;"Peneirador 09"&amp;")"</f>
        <v>Malha 12,5 mm (Peneirador 09)</v>
      </c>
      <c r="F731" t="s">
        <v>817</v>
      </c>
      <c r="G731" t="str">
        <f>IF(COUNTA('Verificação Peneiradores'!$P$106:$P$110)=0,"",COUNTIF('Verificação Peneiradores'!$P$106:$P$110,"OK"))</f>
        <v/>
      </c>
      <c r="H731" t="str">
        <f>IF(COUNTA('Verificação Peneiradores'!$P$106:$P$110)=0,"",COUNTA('Verificação Peneiradores'!$P$106:$P$110))</f>
        <v/>
      </c>
      <c r="M731" t="str">
        <f>IF(COUNTA('Verificação Peneiradores'!$P$106:$P$110)=0,"",IF(COUNTIF('Verificação Peneiradores'!$P$106:$P$110,"NÃO OK")&gt;0,"Não conforme","Conforme"))</f>
        <v/>
      </c>
      <c r="N731" t="str">
        <f>IFERROR(TRIM(INDEX('Verificação Peneiradores'!$AE$103:$AE$112,MATCH("*",'Verificação Peneiradores'!$AE$103:$AE$112,0))),"")</f>
        <v/>
      </c>
      <c r="O731" t="str">
        <f>IFERROR(TRIM(INDEX('Verificação Peneiradores'!$AD$103:$AD$112,MATCH("*",'Verificação Peneiradores'!$AD$103:$AD$112,0))),"")</f>
        <v/>
      </c>
      <c r="P731" t="str">
        <f>IF(COUNTIF('Verificação Peneiradores'!$P$106:$P$110,"SEM TAG")&gt;0,"Sem TAG de calibração; ","")&amp;IF('Verificação Peneiradores'!$P$106="NÃO OK","Condições das telas; ","")&amp;IF('Verificação Peneiradores'!$P$107="NÃO OK","Inclinação das telas; ","")&amp;IF('Verificação Peneiradores'!$P$108="NÃO OK","Vibração do peneirador; ","")&amp;IF('Verificação Peneiradores'!$P$109="NÃO OK","Travamento das peneiras; ","")&amp;IF('Verificação Peneiradores'!$P$110="NÃO OK","Calibração; ","")</f>
        <v/>
      </c>
      <c r="Q731" t="s">
        <v>1102</v>
      </c>
    </row>
    <row r="732">
      <c r="A732" t="s">
        <v>816</v>
      </c>
      <c r="B732" t="s">
        <v>667</v>
      </c>
      <c r="C732" s="912" t="str">
        <f>IF(MAX('Verificação Peneiradores'!$AC$103:$AC$112)=0,"",MAX('Verificação Peneiradores'!$AC$103:$AC$112))</f>
        <v/>
      </c>
      <c r="D732" t="str">
        <f>IF('Verificação Peneiradores'!$Q$104&amp;""="","Peneirador 09",TRIM('Verificação Peneiradores'!$Q$104&amp;""))</f>
        <v>PN558</v>
      </c>
      <c r="E732" t="str">
        <f>"Malha "&amp;'Verificação Peneiradores'!$Q$103&amp;" mm ("&amp;"Peneirador 09"&amp;")"</f>
        <v>Malha 9 mm (Peneirador 09)</v>
      </c>
      <c r="F732" t="s">
        <v>817</v>
      </c>
      <c r="G732" t="str">
        <f>IF(COUNTA('Verificação Peneiradores'!$Q$106:$Q$110)=0,"",COUNTIF('Verificação Peneiradores'!$Q$106:$Q$110,"OK"))</f>
        <v/>
      </c>
      <c r="H732" t="str">
        <f>IF(COUNTA('Verificação Peneiradores'!$Q$106:$Q$110)=0,"",COUNTA('Verificação Peneiradores'!$Q$106:$Q$110))</f>
        <v/>
      </c>
      <c r="M732" t="str">
        <f>IF(COUNTA('Verificação Peneiradores'!$Q$106:$Q$110)=0,"",IF(COUNTIF('Verificação Peneiradores'!$Q$106:$Q$110,"NÃO OK")&gt;0,"Não conforme","Conforme"))</f>
        <v/>
      </c>
      <c r="N732" t="str">
        <f>IFERROR(TRIM(INDEX('Verificação Peneiradores'!$AE$103:$AE$112,MATCH("*",'Verificação Peneiradores'!$AE$103:$AE$112,0))),"")</f>
        <v/>
      </c>
      <c r="O732" t="str">
        <f>IFERROR(TRIM(INDEX('Verificação Peneiradores'!$AD$103:$AD$112,MATCH("*",'Verificação Peneiradores'!$AD$103:$AD$112,0))),"")</f>
        <v/>
      </c>
      <c r="P732" t="str">
        <f>IF(COUNTIF('Verificação Peneiradores'!$Q$106:$Q$110,"SEM TAG")&gt;0,"Sem TAG de calibração; ","")&amp;IF('Verificação Peneiradores'!$Q$106="NÃO OK","Condições das telas; ","")&amp;IF('Verificação Peneiradores'!$Q$107="NÃO OK","Inclinação das telas; ","")&amp;IF('Verificação Peneiradores'!$Q$108="NÃO OK","Vibração do peneirador; ","")&amp;IF('Verificação Peneiradores'!$Q$109="NÃO OK","Travamento das peneiras; ","")&amp;IF('Verificação Peneiradores'!$Q$110="NÃO OK","Calibração; ","")</f>
        <v/>
      </c>
      <c r="Q732" t="s">
        <v>1103</v>
      </c>
    </row>
    <row r="733">
      <c r="A733" t="s">
        <v>816</v>
      </c>
      <c r="B733" t="s">
        <v>667</v>
      </c>
      <c r="C733" s="912" t="str">
        <f>IF(MAX('Verificação Peneiradores'!$AC$103:$AC$112)=0,"",MAX('Verificação Peneiradores'!$AC$103:$AC$112))</f>
        <v/>
      </c>
      <c r="D733" t="str">
        <f>IF('Verificação Peneiradores'!$R$104&amp;""="","Peneirador 09",TRIM('Verificação Peneiradores'!$R$104&amp;""))</f>
        <v>PN505</v>
      </c>
      <c r="E733" t="str">
        <f>"Malha "&amp;'Verificação Peneiradores'!$R$103&amp;" mm ("&amp;"Peneirador 09"&amp;")"</f>
        <v>Malha 8 mm (Peneirador 09)</v>
      </c>
      <c r="F733" t="s">
        <v>817</v>
      </c>
      <c r="G733" t="str">
        <f>IF(COUNTA('Verificação Peneiradores'!$R$106:$R$110)=0,"",COUNTIF('Verificação Peneiradores'!$R$106:$R$110,"OK"))</f>
        <v/>
      </c>
      <c r="H733" t="str">
        <f>IF(COUNTA('Verificação Peneiradores'!$R$106:$R$110)=0,"",COUNTA('Verificação Peneiradores'!$R$106:$R$110))</f>
        <v/>
      </c>
      <c r="M733" t="str">
        <f>IF(COUNTA('Verificação Peneiradores'!$R$106:$R$110)=0,"",IF(COUNTIF('Verificação Peneiradores'!$R$106:$R$110,"NÃO OK")&gt;0,"Não conforme","Conforme"))</f>
        <v/>
      </c>
      <c r="N733" t="str">
        <f>IFERROR(TRIM(INDEX('Verificação Peneiradores'!$AE$103:$AE$112,MATCH("*",'Verificação Peneiradores'!$AE$103:$AE$112,0))),"")</f>
        <v/>
      </c>
      <c r="O733" t="str">
        <f>IFERROR(TRIM(INDEX('Verificação Peneiradores'!$AD$103:$AD$112,MATCH("*",'Verificação Peneiradores'!$AD$103:$AD$112,0))),"")</f>
        <v/>
      </c>
      <c r="P733" t="str">
        <f>IF(COUNTIF('Verificação Peneiradores'!$R$106:$R$110,"SEM TAG")&gt;0,"Sem TAG de calibração; ","")&amp;IF('Verificação Peneiradores'!$R$106="NÃO OK","Condições das telas; ","")&amp;IF('Verificação Peneiradores'!$R$107="NÃO OK","Inclinação das telas; ","")&amp;IF('Verificação Peneiradores'!$R$108="NÃO OK","Vibração do peneirador; ","")&amp;IF('Verificação Peneiradores'!$R$109="NÃO OK","Travamento das peneiras; ","")&amp;IF('Verificação Peneiradores'!$R$110="NÃO OK","Calibração; ","")</f>
        <v/>
      </c>
      <c r="Q733" t="s">
        <v>1104</v>
      </c>
    </row>
    <row r="734">
      <c r="A734" t="s">
        <v>816</v>
      </c>
      <c r="B734" t="s">
        <v>667</v>
      </c>
      <c r="C734" s="912" t="str">
        <f>IF(MAX('Verificação Peneiradores'!$AC$103:$AC$112)=0,"",MAX('Verificação Peneiradores'!$AC$103:$AC$112))</f>
        <v/>
      </c>
      <c r="D734" t="str">
        <f>IF('Verificação Peneiradores'!$S$104&amp;""="","Peneirador 09",TRIM('Verificação Peneiradores'!$S$104&amp;""))</f>
        <v>PN631</v>
      </c>
      <c r="E734" t="str">
        <f>"Malha "&amp;'Verificação Peneiradores'!$S$103&amp;" mm ("&amp;"Peneirador 09"&amp;")"</f>
        <v>Malha 6,3 mm (Peneirador 09)</v>
      </c>
      <c r="F734" t="s">
        <v>817</v>
      </c>
      <c r="G734" t="str">
        <f>IF(COUNTA('Verificação Peneiradores'!$S$106:$S$110)=0,"",COUNTIF('Verificação Peneiradores'!$S$106:$S$110,"OK"))</f>
        <v/>
      </c>
      <c r="H734" t="str">
        <f>IF(COUNTA('Verificação Peneiradores'!$S$106:$S$110)=0,"",COUNTA('Verificação Peneiradores'!$S$106:$S$110))</f>
        <v/>
      </c>
      <c r="M734" t="str">
        <f>IF(COUNTA('Verificação Peneiradores'!$S$106:$S$110)=0,"",IF(COUNTIF('Verificação Peneiradores'!$S$106:$S$110,"NÃO OK")&gt;0,"Não conforme","Conforme"))</f>
        <v/>
      </c>
      <c r="N734" t="str">
        <f>IFERROR(TRIM(INDEX('Verificação Peneiradores'!$AE$103:$AE$112,MATCH("*",'Verificação Peneiradores'!$AE$103:$AE$112,0))),"")</f>
        <v/>
      </c>
      <c r="O734" t="str">
        <f>IFERROR(TRIM(INDEX('Verificação Peneiradores'!$AD$103:$AD$112,MATCH("*",'Verificação Peneiradores'!$AD$103:$AD$112,0))),"")</f>
        <v/>
      </c>
      <c r="P734" t="str">
        <f>IF(COUNTIF('Verificação Peneiradores'!$S$106:$S$110,"SEM TAG")&gt;0,"Sem TAG de calibração; ","")&amp;IF('Verificação Peneiradores'!$S$106="NÃO OK","Condições das telas; ","")&amp;IF('Verificação Peneiradores'!$S$107="NÃO OK","Inclinação das telas; ","")&amp;IF('Verificação Peneiradores'!$S$108="NÃO OK","Vibração do peneirador; ","")&amp;IF('Verificação Peneiradores'!$S$109="NÃO OK","Travamento das peneiras; ","")&amp;IF('Verificação Peneiradores'!$S$110="NÃO OK","Calibração; ","")</f>
        <v/>
      </c>
      <c r="Q734" t="s">
        <v>1105</v>
      </c>
    </row>
    <row r="735">
      <c r="A735" t="s">
        <v>816</v>
      </c>
      <c r="B735" t="s">
        <v>667</v>
      </c>
      <c r="C735" s="912" t="str">
        <f>IF(MAX('Verificação Peneiradores'!$AC$103:$AC$112)=0,"",MAX('Verificação Peneiradores'!$AC$103:$AC$112))</f>
        <v/>
      </c>
      <c r="D735" t="str">
        <f>IF('Verificação Peneiradores'!$T$104&amp;""="","Peneirador 05",TRIM('Verificação Peneiradores'!$T$104&amp;""))</f>
        <v>PN398</v>
      </c>
      <c r="E735" t="str">
        <f>"Malha "&amp;'Verificação Peneiradores'!$T$103&amp;" mm ("&amp;"Peneirador 05"&amp;")"</f>
        <v>Malha 19 mm (Peneirador 05)</v>
      </c>
      <c r="F735" t="s">
        <v>817</v>
      </c>
      <c r="G735" t="str">
        <f>IF(COUNTA('Verificação Peneiradores'!$T$106:$T$110)=0,"",COUNTIF('Verificação Peneiradores'!$T$106:$T$110,"OK"))</f>
        <v/>
      </c>
      <c r="H735" t="str">
        <f>IF(COUNTA('Verificação Peneiradores'!$T$106:$T$110)=0,"",COUNTA('Verificação Peneiradores'!$T$106:$T$110))</f>
        <v/>
      </c>
      <c r="M735" t="str">
        <f>IF(COUNTA('Verificação Peneiradores'!$T$106:$T$110)=0,"",IF(COUNTIF('Verificação Peneiradores'!$T$106:$T$110,"NÃO OK")&gt;0,"Não conforme","Conforme"))</f>
        <v/>
      </c>
      <c r="N735" t="str">
        <f>IFERROR(TRIM(INDEX('Verificação Peneiradores'!$AE$103:$AE$112,MATCH("*",'Verificação Peneiradores'!$AE$103:$AE$112,0))),"")</f>
        <v/>
      </c>
      <c r="O735" t="str">
        <f>IFERROR(TRIM(INDEX('Verificação Peneiradores'!$AD$103:$AD$112,MATCH("*",'Verificação Peneiradores'!$AD$103:$AD$112,0))),"")</f>
        <v/>
      </c>
      <c r="P735" t="str">
        <f>IF(COUNTIF('Verificação Peneiradores'!$T$106:$T$110,"SEM TAG")&gt;0,"Sem TAG de calibração; ","")&amp;IF('Verificação Peneiradores'!$T$106="NÃO OK","Condições das telas; ","")&amp;IF('Verificação Peneiradores'!$T$107="NÃO OK","Inclinação das telas; ","")&amp;IF('Verificação Peneiradores'!$T$108="NÃO OK","Vibração do peneirador; ","")&amp;IF('Verificação Peneiradores'!$T$109="NÃO OK","Travamento das peneiras; ","")&amp;IF('Verificação Peneiradores'!$T$110="NÃO OK","Calibração; ","")</f>
        <v/>
      </c>
      <c r="Q735" t="s">
        <v>1106</v>
      </c>
    </row>
    <row r="736">
      <c r="A736" t="s">
        <v>816</v>
      </c>
      <c r="B736" t="s">
        <v>667</v>
      </c>
      <c r="C736" s="912" t="str">
        <f>IF(MAX('Verificação Peneiradores'!$AC$103:$AC$112)=0,"",MAX('Verificação Peneiradores'!$AC$103:$AC$112))</f>
        <v/>
      </c>
      <c r="D736" t="str">
        <f>IF('Verificação Peneiradores'!$U$104&amp;""="","Peneirador 05",TRIM('Verificação Peneiradores'!$U$104&amp;""))</f>
        <v>PN664</v>
      </c>
      <c r="E736" t="str">
        <f>"Malha "&amp;'Verificação Peneiradores'!$U$103&amp;" mm ("&amp;"Peneirador 05"&amp;")"</f>
        <v>Malha 16 mm (Peneirador 05)</v>
      </c>
      <c r="F736" t="s">
        <v>817</v>
      </c>
      <c r="G736" t="str">
        <f>IF(COUNTA('Verificação Peneiradores'!$U$106:$U$110)=0,"",COUNTIF('Verificação Peneiradores'!$U$106:$U$110,"OK"))</f>
        <v/>
      </c>
      <c r="H736" t="str">
        <f>IF(COUNTA('Verificação Peneiradores'!$U$106:$U$110)=0,"",COUNTA('Verificação Peneiradores'!$U$106:$U$110))</f>
        <v/>
      </c>
      <c r="M736" t="str">
        <f>IF(COUNTA('Verificação Peneiradores'!$U$106:$U$110)=0,"",IF(COUNTIF('Verificação Peneiradores'!$U$106:$U$110,"NÃO OK")&gt;0,"Não conforme","Conforme"))</f>
        <v/>
      </c>
      <c r="N736" t="str">
        <f>IFERROR(TRIM(INDEX('Verificação Peneiradores'!$AE$103:$AE$112,MATCH("*",'Verificação Peneiradores'!$AE$103:$AE$112,0))),"")</f>
        <v/>
      </c>
      <c r="O736" t="str">
        <f>IFERROR(TRIM(INDEX('Verificação Peneiradores'!$AD$103:$AD$112,MATCH("*",'Verificação Peneiradores'!$AD$103:$AD$112,0))),"")</f>
        <v/>
      </c>
      <c r="P736" t="str">
        <f>IF(COUNTIF('Verificação Peneiradores'!$U$106:$U$110,"SEM TAG")&gt;0,"Sem TAG de calibração; ","")&amp;IF('Verificação Peneiradores'!$U$106="NÃO OK","Condições das telas; ","")&amp;IF('Verificação Peneiradores'!$U$107="NÃO OK","Inclinação das telas; ","")&amp;IF('Verificação Peneiradores'!$U$108="NÃO OK","Vibração do peneirador; ","")&amp;IF('Verificação Peneiradores'!$U$109="NÃO OK","Travamento das peneiras; ","")&amp;IF('Verificação Peneiradores'!$U$110="NÃO OK","Calibração; ","")</f>
        <v/>
      </c>
      <c r="Q736" t="s">
        <v>1107</v>
      </c>
    </row>
    <row r="737">
      <c r="A737" t="s">
        <v>816</v>
      </c>
      <c r="B737" t="s">
        <v>667</v>
      </c>
      <c r="C737" s="912" t="str">
        <f>IF(MAX('Verificação Peneiradores'!$AC$103:$AC$112)=0,"",MAX('Verificação Peneiradores'!$AC$103:$AC$112))</f>
        <v/>
      </c>
      <c r="D737" t="str">
        <f>IF('Verificação Peneiradores'!$V$104&amp;""="","Peneirador 05",TRIM('Verificação Peneiradores'!$V$104&amp;""))</f>
        <v>PN665</v>
      </c>
      <c r="E737" t="str">
        <f>"Malha "&amp;'Verificação Peneiradores'!$V$103&amp;" mm ("&amp;"Peneirador 05"&amp;")"</f>
        <v>Malha 14 mm (Peneirador 05)</v>
      </c>
      <c r="F737" t="s">
        <v>817</v>
      </c>
      <c r="G737" t="str">
        <f>IF(COUNTA('Verificação Peneiradores'!$V$106:$V$110)=0,"",COUNTIF('Verificação Peneiradores'!$V$106:$V$110,"OK"))</f>
        <v/>
      </c>
      <c r="H737" t="str">
        <f>IF(COUNTA('Verificação Peneiradores'!$V$106:$V$110)=0,"",COUNTA('Verificação Peneiradores'!$V$106:$V$110))</f>
        <v/>
      </c>
      <c r="M737" t="str">
        <f>IF(COUNTA('Verificação Peneiradores'!$V$106:$V$110)=0,"",IF(COUNTIF('Verificação Peneiradores'!$V$106:$V$110,"NÃO OK")&gt;0,"Não conforme","Conforme"))</f>
        <v/>
      </c>
      <c r="N737" t="str">
        <f>IFERROR(TRIM(INDEX('Verificação Peneiradores'!$AE$103:$AE$112,MATCH("*",'Verificação Peneiradores'!$AE$103:$AE$112,0))),"")</f>
        <v/>
      </c>
      <c r="O737" t="str">
        <f>IFERROR(TRIM(INDEX('Verificação Peneiradores'!$AD$103:$AD$112,MATCH("*",'Verificação Peneiradores'!$AD$103:$AD$112,0))),"")</f>
        <v/>
      </c>
      <c r="P737" t="str">
        <f>IF(COUNTIF('Verificação Peneiradores'!$V$106:$V$110,"SEM TAG")&gt;0,"Sem TAG de calibração; ","")&amp;IF('Verificação Peneiradores'!$V$106="NÃO OK","Condições das telas; ","")&amp;IF('Verificação Peneiradores'!$V$107="NÃO OK","Inclinação das telas; ","")&amp;IF('Verificação Peneiradores'!$V$108="NÃO OK","Vibração do peneirador; ","")&amp;IF('Verificação Peneiradores'!$V$109="NÃO OK","Travamento das peneiras; ","")&amp;IF('Verificação Peneiradores'!$V$110="NÃO OK","Calibração; ","")</f>
        <v/>
      </c>
      <c r="Q737" t="s">
        <v>1108</v>
      </c>
    </row>
    <row r="738">
      <c r="A738" t="s">
        <v>816</v>
      </c>
      <c r="B738" t="s">
        <v>667</v>
      </c>
      <c r="C738" s="912" t="str">
        <f>IF(MAX('Verificação Peneiradores'!$AC$103:$AC$112)=0,"",MAX('Verificação Peneiradores'!$AC$103:$AC$112))</f>
        <v/>
      </c>
      <c r="D738" t="str">
        <f>IF('Verificação Peneiradores'!$W$104&amp;""="","Peneirador 05",TRIM('Verificação Peneiradores'!$W$104&amp;""))</f>
        <v>PN666</v>
      </c>
      <c r="E738" t="str">
        <f>"Malha "&amp;'Verificação Peneiradores'!$W$103&amp;" mm ("&amp;"Peneirador 05"&amp;")"</f>
        <v>Malha 12,5 mm (Peneirador 05)</v>
      </c>
      <c r="F738" t="s">
        <v>817</v>
      </c>
      <c r="G738" t="str">
        <f>IF(COUNTA('Verificação Peneiradores'!$W$106:$W$110)=0,"",COUNTIF('Verificação Peneiradores'!$W$106:$W$110,"OK"))</f>
        <v/>
      </c>
      <c r="H738" t="str">
        <f>IF(COUNTA('Verificação Peneiradores'!$W$106:$W$110)=0,"",COUNTA('Verificação Peneiradores'!$W$106:$W$110))</f>
        <v/>
      </c>
      <c r="M738" t="str">
        <f>IF(COUNTA('Verificação Peneiradores'!$W$106:$W$110)=0,"",IF(COUNTIF('Verificação Peneiradores'!$W$106:$W$110,"NÃO OK")&gt;0,"Não conforme","Conforme"))</f>
        <v/>
      </c>
      <c r="N738" t="str">
        <f>IFERROR(TRIM(INDEX('Verificação Peneiradores'!$AE$103:$AE$112,MATCH("*",'Verificação Peneiradores'!$AE$103:$AE$112,0))),"")</f>
        <v/>
      </c>
      <c r="O738" t="str">
        <f>IFERROR(TRIM(INDEX('Verificação Peneiradores'!$AD$103:$AD$112,MATCH("*",'Verificação Peneiradores'!$AD$103:$AD$112,0))),"")</f>
        <v/>
      </c>
      <c r="P738" t="str">
        <f>IF(COUNTIF('Verificação Peneiradores'!$W$106:$W$110,"SEM TAG")&gt;0,"Sem TAG de calibração; ","")&amp;IF('Verificação Peneiradores'!$W$106="NÃO OK","Condições das telas; ","")&amp;IF('Verificação Peneiradores'!$W$107="NÃO OK","Inclinação das telas; ","")&amp;IF('Verificação Peneiradores'!$W$108="NÃO OK","Vibração do peneirador; ","")&amp;IF('Verificação Peneiradores'!$W$109="NÃO OK","Travamento das peneiras; ","")&amp;IF('Verificação Peneiradores'!$W$110="NÃO OK","Calibração; ","")</f>
        <v/>
      </c>
      <c r="Q738" t="s">
        <v>1109</v>
      </c>
    </row>
    <row r="739">
      <c r="A739" t="s">
        <v>816</v>
      </c>
      <c r="B739" t="s">
        <v>667</v>
      </c>
      <c r="C739" s="912" t="str">
        <f>IF(MAX('Verificação Peneiradores'!$AC$103:$AC$112)=0,"",MAX('Verificação Peneiradores'!$AC$103:$AC$112))</f>
        <v/>
      </c>
      <c r="D739" t="str">
        <f>IF('Verificação Peneiradores'!$X$104&amp;""="","Peneirador 05",TRIM('Verificação Peneiradores'!$X$104&amp;""))</f>
        <v>PN646</v>
      </c>
      <c r="E739" t="str">
        <f>"Malha "&amp;'Verificação Peneiradores'!$X$103&amp;" mm ("&amp;"Peneirador 05"&amp;")"</f>
        <v>Malha 9 mm (Peneirador 05)</v>
      </c>
      <c r="F739" t="s">
        <v>817</v>
      </c>
      <c r="G739" t="str">
        <f>IF(COUNTA('Verificação Peneiradores'!$X$106:$X$110)=0,"",COUNTIF('Verificação Peneiradores'!$X$106:$X$110,"OK"))</f>
        <v/>
      </c>
      <c r="H739" t="str">
        <f>IF(COUNTA('Verificação Peneiradores'!$X$106:$X$110)=0,"",COUNTA('Verificação Peneiradores'!$X$106:$X$110))</f>
        <v/>
      </c>
      <c r="M739" t="str">
        <f>IF(COUNTA('Verificação Peneiradores'!$X$106:$X$110)=0,"",IF(COUNTIF('Verificação Peneiradores'!$X$106:$X$110,"NÃO OK")&gt;0,"Não conforme","Conforme"))</f>
        <v/>
      </c>
      <c r="N739" t="str">
        <f>IFERROR(TRIM(INDEX('Verificação Peneiradores'!$AE$103:$AE$112,MATCH("*",'Verificação Peneiradores'!$AE$103:$AE$112,0))),"")</f>
        <v/>
      </c>
      <c r="O739" t="str">
        <f>IFERROR(TRIM(INDEX('Verificação Peneiradores'!$AD$103:$AD$112,MATCH("*",'Verificação Peneiradores'!$AD$103:$AD$112,0))),"")</f>
        <v/>
      </c>
      <c r="P739" t="str">
        <f>IF(COUNTIF('Verificação Peneiradores'!$X$106:$X$110,"SEM TAG")&gt;0,"Sem TAG de calibração; ","")&amp;IF('Verificação Peneiradores'!$X$106="NÃO OK","Condições das telas; ","")&amp;IF('Verificação Peneiradores'!$X$107="NÃO OK","Inclinação das telas; ","")&amp;IF('Verificação Peneiradores'!$X$108="NÃO OK","Vibração do peneirador; ","")&amp;IF('Verificação Peneiradores'!$X$109="NÃO OK","Travamento das peneiras; ","")&amp;IF('Verificação Peneiradores'!$X$110="NÃO OK","Calibração; ","")</f>
        <v/>
      </c>
      <c r="Q739" t="s">
        <v>1110</v>
      </c>
    </row>
    <row r="740">
      <c r="A740" t="s">
        <v>816</v>
      </c>
      <c r="B740" t="s">
        <v>667</v>
      </c>
      <c r="C740" s="912" t="str">
        <f>IF(MAX('Verificação Peneiradores'!$AC$103:$AC$112)=0,"",MAX('Verificação Peneiradores'!$AC$103:$AC$112))</f>
        <v/>
      </c>
      <c r="D740" t="str">
        <f>IF('Verificação Peneiradores'!$Y$104&amp;""="","Peneirador 05",TRIM('Verificação Peneiradores'!$Y$104&amp;""))</f>
        <v>PN647</v>
      </c>
      <c r="E740" t="str">
        <f>"Malha "&amp;'Verificação Peneiradores'!$Y$103&amp;" mm ("&amp;"Peneirador 05"&amp;")"</f>
        <v>Malha 8 mm (Peneirador 05)</v>
      </c>
      <c r="F740" t="s">
        <v>817</v>
      </c>
      <c r="G740" t="str">
        <f>IF(COUNTA('Verificação Peneiradores'!$Y$106:$Y$110)=0,"",COUNTIF('Verificação Peneiradores'!$Y$106:$Y$110,"OK"))</f>
        <v/>
      </c>
      <c r="H740" t="str">
        <f>IF(COUNTA('Verificação Peneiradores'!$Y$106:$Y$110)=0,"",COUNTA('Verificação Peneiradores'!$Y$106:$Y$110))</f>
        <v/>
      </c>
      <c r="M740" t="str">
        <f>IF(COUNTA('Verificação Peneiradores'!$Y$106:$Y$110)=0,"",IF(COUNTIF('Verificação Peneiradores'!$Y$106:$Y$110,"NÃO OK")&gt;0,"Não conforme","Conforme"))</f>
        <v/>
      </c>
      <c r="N740" t="str">
        <f>IFERROR(TRIM(INDEX('Verificação Peneiradores'!$AE$103:$AE$112,MATCH("*",'Verificação Peneiradores'!$AE$103:$AE$112,0))),"")</f>
        <v/>
      </c>
      <c r="O740" t="str">
        <f>IFERROR(TRIM(INDEX('Verificação Peneiradores'!$AD$103:$AD$112,MATCH("*",'Verificação Peneiradores'!$AD$103:$AD$112,0))),"")</f>
        <v/>
      </c>
      <c r="P740" t="str">
        <f>IF(COUNTIF('Verificação Peneiradores'!$Y$106:$Y$110,"SEM TAG")&gt;0,"Sem TAG de calibração; ","")&amp;IF('Verificação Peneiradores'!$Y$106="NÃO OK","Condições das telas; ","")&amp;IF('Verificação Peneiradores'!$Y$107="NÃO OK","Inclinação das telas; ","")&amp;IF('Verificação Peneiradores'!$Y$108="NÃO OK","Vibração do peneirador; ","")&amp;IF('Verificação Peneiradores'!$Y$109="NÃO OK","Travamento das peneiras; ","")&amp;IF('Verificação Peneiradores'!$Y$110="NÃO OK","Calibração; ","")</f>
        <v/>
      </c>
      <c r="Q740" t="s">
        <v>1111</v>
      </c>
    </row>
    <row r="741">
      <c r="A741" t="s">
        <v>816</v>
      </c>
      <c r="B741" t="s">
        <v>667</v>
      </c>
      <c r="C741" s="912" t="str">
        <f>IF(MAX('Verificação Peneiradores'!$AC$103:$AC$112)=0,"",MAX('Verificação Peneiradores'!$AC$103:$AC$112))</f>
        <v/>
      </c>
      <c r="D741" t="str">
        <f>IF('Verificação Peneiradores'!$Z$104&amp;""="","Peneirador 05",TRIM('Verificação Peneiradores'!$Z$104&amp;""))</f>
        <v>PN648</v>
      </c>
      <c r="E741" t="str">
        <f>"Malha "&amp;'Verificação Peneiradores'!$Z$103&amp;" mm ("&amp;"Peneirador 05"&amp;")"</f>
        <v>Malha 6,3 mm (Peneirador 05)</v>
      </c>
      <c r="F741" t="s">
        <v>817</v>
      </c>
      <c r="G741" t="str">
        <f>IF(COUNTA('Verificação Peneiradores'!$Z$106:$Z$110)=0,"",COUNTIF('Verificação Peneiradores'!$Z$106:$Z$110,"OK"))</f>
        <v/>
      </c>
      <c r="H741" t="str">
        <f>IF(COUNTA('Verificação Peneiradores'!$Z$106:$Z$110)=0,"",COUNTA('Verificação Peneiradores'!$Z$106:$Z$110))</f>
        <v/>
      </c>
      <c r="M741" t="str">
        <f>IF(COUNTA('Verificação Peneiradores'!$Z$106:$Z$110)=0,"",IF(COUNTIF('Verificação Peneiradores'!$Z$106:$Z$110,"NÃO OK")&gt;0,"Não conforme","Conforme"))</f>
        <v/>
      </c>
      <c r="N741" t="str">
        <f>IFERROR(TRIM(INDEX('Verificação Peneiradores'!$AE$103:$AE$112,MATCH("*",'Verificação Peneiradores'!$AE$103:$AE$112,0))),"")</f>
        <v/>
      </c>
      <c r="O741" t="str">
        <f>IFERROR(TRIM(INDEX('Verificação Peneiradores'!$AD$103:$AD$112,MATCH("*",'Verificação Peneiradores'!$AD$103:$AD$112,0))),"")</f>
        <v/>
      </c>
      <c r="P741" t="str">
        <f>IF(COUNTIF('Verificação Peneiradores'!$Z$106:$Z$110,"SEM TAG")&gt;0,"Sem TAG de calibração; ","")&amp;IF('Verificação Peneiradores'!$Z$106="NÃO OK","Condições das telas; ","")&amp;IF('Verificação Peneiradores'!$Z$107="NÃO OK","Inclinação das telas; ","")&amp;IF('Verificação Peneiradores'!$Z$108="NÃO OK","Vibração do peneirador; ","")&amp;IF('Verificação Peneiradores'!$Z$109="NÃO OK","Travamento das peneiras; ","")&amp;IF('Verificação Peneiradores'!$Z$110="NÃO OK","Calibração; ","")</f>
        <v/>
      </c>
      <c r="Q741" t="s">
        <v>1112</v>
      </c>
    </row>
    <row r="742">
      <c r="A742" t="s">
        <v>816</v>
      </c>
      <c r="B742" t="s">
        <v>667</v>
      </c>
      <c r="C742" s="912" t="str">
        <f>IF(MAX('Verificação Peneiradores'!$AC$103:$AC$112)=0,"",MAX('Verificação Peneiradores'!$AC$103:$AC$112))</f>
        <v/>
      </c>
      <c r="D742" t="str">
        <f>IF('Verificação Peneiradores'!$AA$104&amp;""="","Peneirador 06",TRIM('Verificação Peneiradores'!$AA$104&amp;""))</f>
        <v>PN649</v>
      </c>
      <c r="E742" t="str">
        <f>"Malha "&amp;'Verificação Peneiradores'!$AA$103&amp;" mm ("&amp;"Peneirador 06"&amp;")"</f>
        <v>Malha 6,3 mm (Peneirador 06)</v>
      </c>
      <c r="F742" t="s">
        <v>817</v>
      </c>
      <c r="G742" t="str">
        <f>IF(COUNTA('Verificação Peneiradores'!$AA$106:$AA$110)=0,"",COUNTIF('Verificação Peneiradores'!$AA$106:$AA$110,"OK"))</f>
        <v/>
      </c>
      <c r="H742" t="str">
        <f>IF(COUNTA('Verificação Peneiradores'!$AA$106:$AA$110)=0,"",COUNTA('Verificação Peneiradores'!$AA$106:$AA$110))</f>
        <v/>
      </c>
      <c r="M742" t="str">
        <f>IF(COUNTA('Verificação Peneiradores'!$AA$106:$AA$110)=0,"",IF(COUNTIF('Verificação Peneiradores'!$AA$106:$AA$110,"NÃO OK")&gt;0,"Não conforme","Conforme"))</f>
        <v/>
      </c>
      <c r="N742" t="str">
        <f>IFERROR(TRIM(INDEX('Verificação Peneiradores'!$AE$103:$AE$112,MATCH("*",'Verificação Peneiradores'!$AE$103:$AE$112,0))),"")</f>
        <v/>
      </c>
      <c r="O742" t="str">
        <f>IFERROR(TRIM(INDEX('Verificação Peneiradores'!$AD$103:$AD$112,MATCH("*",'Verificação Peneiradores'!$AD$103:$AD$112,0))),"")</f>
        <v/>
      </c>
      <c r="P742" t="str">
        <f>IF(COUNTIF('Verificação Peneiradores'!$AA$106:$AA$110,"SEM TAG")&gt;0,"Sem TAG de calibração; ","")&amp;IF('Verificação Peneiradores'!$AA$106="NÃO OK","Condições das telas; ","")&amp;IF('Verificação Peneiradores'!$AA$107="NÃO OK","Inclinação das telas; ","")&amp;IF('Verificação Peneiradores'!$AA$108="NÃO OK","Vibração do peneirador; ","")&amp;IF('Verificação Peneiradores'!$AA$109="NÃO OK","Travamento das peneiras; ","")&amp;IF('Verificação Peneiradores'!$AA$110="NÃO OK","Calibração; ","")</f>
        <v/>
      </c>
      <c r="Q742" t="s">
        <v>1113</v>
      </c>
    </row>
    <row r="743">
      <c r="A743" t="s">
        <v>816</v>
      </c>
      <c r="B743" t="s">
        <v>667</v>
      </c>
      <c r="C743" s="912" t="str">
        <f>IF(MAX('Verificação Peneiradores'!$AC$103:$AC$112)=0,"",MAX('Verificação Peneiradores'!$AC$103:$AC$112))</f>
        <v/>
      </c>
      <c r="D743" t="str">
        <f>IF('Verificação Peneiradores'!$AB$104&amp;""="","Peneirador 06",TRIM('Verificação Peneiradores'!$AB$104&amp;""))</f>
        <v>N/CONT</v>
      </c>
      <c r="E743" t="str">
        <f>"Malha "&amp;'Verificação Peneiradores'!$AB$103&amp;" mm ("&amp;"Peneirador 06"&amp;")"</f>
        <v>Malha 10 mm (Peneirador 06)</v>
      </c>
      <c r="F743" t="s">
        <v>817</v>
      </c>
      <c r="G743" t="str">
        <f>IF(COUNTA('Verificação Peneiradores'!$AB$106:$AB$110)=0,"",COUNTIF('Verificação Peneiradores'!$AB$106:$AB$110,"OK"))</f>
        <v/>
      </c>
      <c r="H743" t="str">
        <f>IF(COUNTA('Verificação Peneiradores'!$AB$106:$AB$110)=0,"",COUNTA('Verificação Peneiradores'!$AB$106:$AB$110))</f>
        <v/>
      </c>
      <c r="M743" t="str">
        <f>IF(COUNTA('Verificação Peneiradores'!$AB$106:$AB$110)=0,"",IF(COUNTIF('Verificação Peneiradores'!$AB$106:$AB$110,"NÃO OK")&gt;0,"Não conforme","Conforme"))</f>
        <v/>
      </c>
      <c r="N743" t="str">
        <f>IFERROR(TRIM(INDEX('Verificação Peneiradores'!$AE$103:$AE$112,MATCH("*",'Verificação Peneiradores'!$AE$103:$AE$112,0))),"")</f>
        <v/>
      </c>
      <c r="O743" t="str">
        <f>IFERROR(TRIM(INDEX('Verificação Peneiradores'!$AD$103:$AD$112,MATCH("*",'Verificação Peneiradores'!$AD$103:$AD$112,0))),"")</f>
        <v/>
      </c>
      <c r="P743" t="str">
        <f>IF(COUNTIF('Verificação Peneiradores'!$AB$106:$AB$110,"SEM TAG")&gt;0,"Sem TAG de calibração; ","")&amp;IF('Verificação Peneiradores'!$AB$106="NÃO OK","Condições das telas; ","")&amp;IF('Verificação Peneiradores'!$AB$107="NÃO OK","Inclinação das telas; ","")&amp;IF('Verificação Peneiradores'!$AB$108="NÃO OK","Vibração do peneirador; ","")&amp;IF('Verificação Peneiradores'!$AB$109="NÃO OK","Travamento das peneiras; ","")&amp;IF('Verificação Peneiradores'!$AB$110="NÃO OK","Calibração; ","")</f>
        <v/>
      </c>
      <c r="Q743" t="s">
        <v>1114</v>
      </c>
    </row>
    <row r="744">
      <c r="A744" t="s">
        <v>816</v>
      </c>
      <c r="B744" t="s">
        <v>667</v>
      </c>
      <c r="C744" s="912" t="str">
        <f>IF(MAX('Verificação Peneiradores'!$AC$113:$AC$122)=0,"",MAX('Verificação Peneiradores'!$AC$113:$AC$122))</f>
        <v/>
      </c>
      <c r="D744" t="str">
        <f>IF('Verificação Peneiradores'!$B$114&amp;""="","Circulares",TRIM('Verificação Peneiradores'!$B$114&amp;""))</f>
        <v>PN0423</v>
      </c>
      <c r="E744" t="str">
        <f>"Malha "&amp;'Verificação Peneiradores'!$B$113&amp;" mm ("&amp;"Circulares"&amp;")"</f>
        <v>Malha 19 mm (Circulares)</v>
      </c>
      <c r="F744" t="s">
        <v>817</v>
      </c>
      <c r="G744" t="str">
        <f>IF(COUNTA('Verificação Peneiradores'!$B$116:$B$120)=0,"",COUNTIF('Verificação Peneiradores'!$B$116:$B$120,"OK"))</f>
        <v/>
      </c>
      <c r="H744" t="str">
        <f>IF(COUNTA('Verificação Peneiradores'!$B$116:$B$120)=0,"",COUNTA('Verificação Peneiradores'!$B$116:$B$120))</f>
        <v/>
      </c>
      <c r="M744" t="str">
        <f>IF(COUNTA('Verificação Peneiradores'!$B$116:$B$120)=0,"",IF(COUNTIF('Verificação Peneiradores'!$B$116:$B$120,"NÃO OK")&gt;0,"Não conforme","Conforme"))</f>
        <v/>
      </c>
      <c r="N744" t="str">
        <f>IFERROR(TRIM(INDEX('Verificação Peneiradores'!$AE$113:$AE$122,MATCH("*",'Verificação Peneiradores'!$AE$113:$AE$122,0))),"")</f>
        <v/>
      </c>
      <c r="O744" t="str">
        <f>IFERROR(TRIM(INDEX('Verificação Peneiradores'!$AD$113:$AD$122,MATCH("*",'Verificação Peneiradores'!$AD$113:$AD$122,0))),"")</f>
        <v/>
      </c>
      <c r="P744" t="str">
        <f>IF(COUNTIF('Verificação Peneiradores'!$B$116:$B$120,"SEM TAG")&gt;0,"Sem TAG de calibração; ","")&amp;IF('Verificação Peneiradores'!$B$116="NÃO OK","Condições das telas; ","")&amp;IF('Verificação Peneiradores'!$B$117="NÃO OK","Inclinação das telas; ","")&amp;IF('Verificação Peneiradores'!$B$118="NÃO OK","Vibração do peneirador; ","")&amp;IF('Verificação Peneiradores'!$B$119="NÃO OK","Travamento das peneiras; ","")&amp;IF('Verificação Peneiradores'!$B$120="NÃO OK","Calibração; ","")</f>
        <v/>
      </c>
      <c r="Q744" t="s">
        <v>1115</v>
      </c>
    </row>
    <row r="745">
      <c r="A745" t="s">
        <v>816</v>
      </c>
      <c r="B745" t="s">
        <v>667</v>
      </c>
      <c r="C745" s="912" t="str">
        <f>IF(MAX('Verificação Peneiradores'!$AC$113:$AC$122)=0,"",MAX('Verificação Peneiradores'!$AC$113:$AC$122))</f>
        <v/>
      </c>
      <c r="D745" t="str">
        <f>IF('Verificação Peneiradores'!$C$114&amp;""="","Circulares",TRIM('Verificação Peneiradores'!$C$114&amp;""))</f>
        <v>PN0482</v>
      </c>
      <c r="E745" t="str">
        <f>"Malha "&amp;'Verificação Peneiradores'!$C$113&amp;" mm ("&amp;"Circulares"&amp;")"</f>
        <v>Malha 16 mm (Circulares)</v>
      </c>
      <c r="F745" t="s">
        <v>817</v>
      </c>
      <c r="G745" t="str">
        <f>IF(COUNTA('Verificação Peneiradores'!$C$116:$C$120)=0,"",COUNTIF('Verificação Peneiradores'!$C$116:$C$120,"OK"))</f>
        <v/>
      </c>
      <c r="H745" t="str">
        <f>IF(COUNTA('Verificação Peneiradores'!$C$116:$C$120)=0,"",COUNTA('Verificação Peneiradores'!$C$116:$C$120))</f>
        <v/>
      </c>
      <c r="M745" t="str">
        <f>IF(COUNTA('Verificação Peneiradores'!$C$116:$C$120)=0,"",IF(COUNTIF('Verificação Peneiradores'!$C$116:$C$120,"NÃO OK")&gt;0,"Não conforme","Conforme"))</f>
        <v/>
      </c>
      <c r="N745" t="str">
        <f>IFERROR(TRIM(INDEX('Verificação Peneiradores'!$AE$113:$AE$122,MATCH("*",'Verificação Peneiradores'!$AE$113:$AE$122,0))),"")</f>
        <v/>
      </c>
      <c r="O745" t="str">
        <f>IFERROR(TRIM(INDEX('Verificação Peneiradores'!$AD$113:$AD$122,MATCH("*",'Verificação Peneiradores'!$AD$113:$AD$122,0))),"")</f>
        <v/>
      </c>
      <c r="P745" t="str">
        <f>IF(COUNTIF('Verificação Peneiradores'!$C$116:$C$120,"SEM TAG")&gt;0,"Sem TAG de calibração; ","")&amp;IF('Verificação Peneiradores'!$C$116="NÃO OK","Condições das telas; ","")&amp;IF('Verificação Peneiradores'!$C$117="NÃO OK","Inclinação das telas; ","")&amp;IF('Verificação Peneiradores'!$C$118="NÃO OK","Vibração do peneirador; ","")&amp;IF('Verificação Peneiradores'!$C$119="NÃO OK","Travamento das peneiras; ","")&amp;IF('Verificação Peneiradores'!$C$120="NÃO OK","Calibração; ","")</f>
        <v/>
      </c>
      <c r="Q745" t="s">
        <v>1116</v>
      </c>
    </row>
    <row r="746">
      <c r="A746" t="s">
        <v>816</v>
      </c>
      <c r="B746" t="s">
        <v>667</v>
      </c>
      <c r="C746" s="912" t="str">
        <f>IF(MAX('Verificação Peneiradores'!$AC$113:$AC$122)=0,"",MAX('Verificação Peneiradores'!$AC$113:$AC$122))</f>
        <v/>
      </c>
      <c r="D746" t="str">
        <f>IF('Verificação Peneiradores'!$D$114&amp;""="","Circulares",TRIM('Verificação Peneiradores'!$D$114&amp;""))</f>
        <v>PN 614</v>
      </c>
      <c r="E746" t="str">
        <f>"Malha "&amp;'Verificação Peneiradores'!$D$113&amp;" mm ("&amp;"Circulares"&amp;")"</f>
        <v>Malha 12,5 mm (Circulares)</v>
      </c>
      <c r="F746" t="s">
        <v>817</v>
      </c>
      <c r="G746" t="str">
        <f>IF(COUNTA('Verificação Peneiradores'!$D$116:$D$120)=0,"",COUNTIF('Verificação Peneiradores'!$D$116:$D$120,"OK"))</f>
        <v/>
      </c>
      <c r="H746" t="str">
        <f>IF(COUNTA('Verificação Peneiradores'!$D$116:$D$120)=0,"",COUNTA('Verificação Peneiradores'!$D$116:$D$120))</f>
        <v/>
      </c>
      <c r="M746" t="str">
        <f>IF(COUNTA('Verificação Peneiradores'!$D$116:$D$120)=0,"",IF(COUNTIF('Verificação Peneiradores'!$D$116:$D$120,"NÃO OK")&gt;0,"Não conforme","Conforme"))</f>
        <v/>
      </c>
      <c r="N746" t="str">
        <f>IFERROR(TRIM(INDEX('Verificação Peneiradores'!$AE$113:$AE$122,MATCH("*",'Verificação Peneiradores'!$AE$113:$AE$122,0))),"")</f>
        <v/>
      </c>
      <c r="O746" t="str">
        <f>IFERROR(TRIM(INDEX('Verificação Peneiradores'!$AD$113:$AD$122,MATCH("*",'Verificação Peneiradores'!$AD$113:$AD$122,0))),"")</f>
        <v/>
      </c>
      <c r="P746" t="str">
        <f>IF(COUNTIF('Verificação Peneiradores'!$D$116:$D$120,"SEM TAG")&gt;0,"Sem TAG de calibração; ","")&amp;IF('Verificação Peneiradores'!$D$116="NÃO OK","Condições das telas; ","")&amp;IF('Verificação Peneiradores'!$D$117="NÃO OK","Inclinação das telas; ","")&amp;IF('Verificação Peneiradores'!$D$118="NÃO OK","Vibração do peneirador; ","")&amp;IF('Verificação Peneiradores'!$D$119="NÃO OK","Travamento das peneiras; ","")&amp;IF('Verificação Peneiradores'!$D$120="NÃO OK","Calibração; ","")</f>
        <v/>
      </c>
      <c r="Q746" t="s">
        <v>1117</v>
      </c>
    </row>
    <row r="747">
      <c r="A747" t="s">
        <v>816</v>
      </c>
      <c r="B747" t="s">
        <v>667</v>
      </c>
      <c r="C747" s="912" t="str">
        <f>IF(MAX('Verificação Peneiradores'!$AC$113:$AC$122)=0,"",MAX('Verificação Peneiradores'!$AC$113:$AC$122))</f>
        <v/>
      </c>
      <c r="D747" t="str">
        <f>IF('Verificação Peneiradores'!$E$114&amp;""="","Circulares",TRIM('Verificação Peneiradores'!$E$114&amp;""))</f>
        <v>PN 303</v>
      </c>
      <c r="E747" t="str">
        <f>"Malha "&amp;'Verificação Peneiradores'!$E$113&amp;" mm ("&amp;"Circulares"&amp;")"</f>
        <v>Malha 10 mm (Circulares)</v>
      </c>
      <c r="F747" t="s">
        <v>817</v>
      </c>
      <c r="G747" t="str">
        <f>IF(COUNTA('Verificação Peneiradores'!$E$116:$E$120)=0,"",COUNTIF('Verificação Peneiradores'!$E$116:$E$120,"OK"))</f>
        <v/>
      </c>
      <c r="H747" t="str">
        <f>IF(COUNTA('Verificação Peneiradores'!$E$116:$E$120)=0,"",COUNTA('Verificação Peneiradores'!$E$116:$E$120))</f>
        <v/>
      </c>
      <c r="M747" t="str">
        <f>IF(COUNTA('Verificação Peneiradores'!$E$116:$E$120)=0,"",IF(COUNTIF('Verificação Peneiradores'!$E$116:$E$120,"NÃO OK")&gt;0,"Não conforme","Conforme"))</f>
        <v/>
      </c>
      <c r="N747" t="str">
        <f>IFERROR(TRIM(INDEX('Verificação Peneiradores'!$AE$113:$AE$122,MATCH("*",'Verificação Peneiradores'!$AE$113:$AE$122,0))),"")</f>
        <v/>
      </c>
      <c r="O747" t="str">
        <f>IFERROR(TRIM(INDEX('Verificação Peneiradores'!$AD$113:$AD$122,MATCH("*",'Verificação Peneiradores'!$AD$113:$AD$122,0))),"")</f>
        <v/>
      </c>
      <c r="P747" t="str">
        <f>IF(COUNTIF('Verificação Peneiradores'!$E$116:$E$120,"SEM TAG")&gt;0,"Sem TAG de calibração; ","")&amp;IF('Verificação Peneiradores'!$E$116="NÃO OK","Condições das telas; ","")&amp;IF('Verificação Peneiradores'!$E$117="NÃO OK","Inclinação das telas; ","")&amp;IF('Verificação Peneiradores'!$E$118="NÃO OK","Vibração do peneirador; ","")&amp;IF('Verificação Peneiradores'!$E$119="NÃO OK","Travamento das peneiras; ","")&amp;IF('Verificação Peneiradores'!$E$120="NÃO OK","Calibração; ","")</f>
        <v/>
      </c>
      <c r="Q747" t="s">
        <v>1118</v>
      </c>
    </row>
    <row r="748">
      <c r="A748" t="s">
        <v>816</v>
      </c>
      <c r="B748" t="s">
        <v>667</v>
      </c>
      <c r="C748" s="912" t="str">
        <f>IF(MAX('Verificação Peneiradores'!$AC$113:$AC$122)=0,"",MAX('Verificação Peneiradores'!$AC$113:$AC$122))</f>
        <v/>
      </c>
      <c r="D748" t="str">
        <f>IF('Verificação Peneiradores'!$F$114&amp;""="","Circulares",TRIM('Verificação Peneiradores'!$F$114&amp;""))</f>
        <v>PN431</v>
      </c>
      <c r="E748" t="str">
        <f>"Malha "&amp;'Verificação Peneiradores'!$F$113&amp;" mm ("&amp;"Circulares"&amp;")"</f>
        <v>Malha 9 mm (Circulares)</v>
      </c>
      <c r="F748" t="s">
        <v>817</v>
      </c>
      <c r="G748" t="str">
        <f>IF(COUNTA('Verificação Peneiradores'!$F$116:$F$120)=0,"",COUNTIF('Verificação Peneiradores'!$F$116:$F$120,"OK"))</f>
        <v/>
      </c>
      <c r="H748" t="str">
        <f>IF(COUNTA('Verificação Peneiradores'!$F$116:$F$120)=0,"",COUNTA('Verificação Peneiradores'!$F$116:$F$120))</f>
        <v/>
      </c>
      <c r="M748" t="str">
        <f>IF(COUNTA('Verificação Peneiradores'!$F$116:$F$120)=0,"",IF(COUNTIF('Verificação Peneiradores'!$F$116:$F$120,"NÃO OK")&gt;0,"Não conforme","Conforme"))</f>
        <v/>
      </c>
      <c r="N748" t="str">
        <f>IFERROR(TRIM(INDEX('Verificação Peneiradores'!$AE$113:$AE$122,MATCH("*",'Verificação Peneiradores'!$AE$113:$AE$122,0))),"")</f>
        <v/>
      </c>
      <c r="O748" t="str">
        <f>IFERROR(TRIM(INDEX('Verificação Peneiradores'!$AD$113:$AD$122,MATCH("*",'Verificação Peneiradores'!$AD$113:$AD$122,0))),"")</f>
        <v/>
      </c>
      <c r="P748" t="str">
        <f>IF(COUNTIF('Verificação Peneiradores'!$F$116:$F$120,"SEM TAG")&gt;0,"Sem TAG de calibração; ","")&amp;IF('Verificação Peneiradores'!$F$116="NÃO OK","Condições das telas; ","")&amp;IF('Verificação Peneiradores'!$F$117="NÃO OK","Inclinação das telas; ","")&amp;IF('Verificação Peneiradores'!$F$118="NÃO OK","Vibração do peneirador; ","")&amp;IF('Verificação Peneiradores'!$F$119="NÃO OK","Travamento das peneiras; ","")&amp;IF('Verificação Peneiradores'!$F$120="NÃO OK","Calibração; ","")</f>
        <v/>
      </c>
      <c r="Q748" t="s">
        <v>1119</v>
      </c>
    </row>
    <row r="749">
      <c r="A749" t="s">
        <v>816</v>
      </c>
      <c r="B749" t="s">
        <v>667</v>
      </c>
      <c r="C749" s="912" t="str">
        <f>IF(MAX('Verificação Peneiradores'!$AC$113:$AC$122)=0,"",MAX('Verificação Peneiradores'!$AC$113:$AC$122))</f>
        <v/>
      </c>
      <c r="D749" t="str">
        <f>IF('Verificação Peneiradores'!$G$114&amp;""="","Circulares",TRIM('Verificação Peneiradores'!$G$114&amp;""))</f>
        <v>PN432</v>
      </c>
      <c r="E749" t="str">
        <f>"Malha "&amp;'Verificação Peneiradores'!$G$113&amp;" mm ("&amp;"Circulares"&amp;")"</f>
        <v>Malha 8 mm (Circulares)</v>
      </c>
      <c r="F749" t="s">
        <v>817</v>
      </c>
      <c r="G749" t="str">
        <f>IF(COUNTA('Verificação Peneiradores'!$G$116:$G$120)=0,"",COUNTIF('Verificação Peneiradores'!$G$116:$G$120,"OK"))</f>
        <v/>
      </c>
      <c r="H749" t="str">
        <f>IF(COUNTA('Verificação Peneiradores'!$G$116:$G$120)=0,"",COUNTA('Verificação Peneiradores'!$G$116:$G$120))</f>
        <v/>
      </c>
      <c r="M749" t="str">
        <f>IF(COUNTA('Verificação Peneiradores'!$G$116:$G$120)=0,"",IF(COUNTIF('Verificação Peneiradores'!$G$116:$G$120,"NÃO OK")&gt;0,"Não conforme","Conforme"))</f>
        <v/>
      </c>
      <c r="N749" t="str">
        <f>IFERROR(TRIM(INDEX('Verificação Peneiradores'!$AE$113:$AE$122,MATCH("*",'Verificação Peneiradores'!$AE$113:$AE$122,0))),"")</f>
        <v/>
      </c>
      <c r="O749" t="str">
        <f>IFERROR(TRIM(INDEX('Verificação Peneiradores'!$AD$113:$AD$122,MATCH("*",'Verificação Peneiradores'!$AD$113:$AD$122,0))),"")</f>
        <v/>
      </c>
      <c r="P749" t="str">
        <f>IF(COUNTIF('Verificação Peneiradores'!$G$116:$G$120,"SEM TAG")&gt;0,"Sem TAG de calibração; ","")&amp;IF('Verificação Peneiradores'!$G$116="NÃO OK","Condições das telas; ","")&amp;IF('Verificação Peneiradores'!$G$117="NÃO OK","Inclinação das telas; ","")&amp;IF('Verificação Peneiradores'!$G$118="NÃO OK","Vibração do peneirador; ","")&amp;IF('Verificação Peneiradores'!$G$119="NÃO OK","Travamento das peneiras; ","")&amp;IF('Verificação Peneiradores'!$G$120="NÃO OK","Calibração; ","")</f>
        <v/>
      </c>
      <c r="Q749" t="s">
        <v>1120</v>
      </c>
    </row>
    <row r="750">
      <c r="A750" t="s">
        <v>816</v>
      </c>
      <c r="B750" t="s">
        <v>667</v>
      </c>
      <c r="C750" s="912" t="str">
        <f>IF(MAX('Verificação Peneiradores'!$AC$113:$AC$122)=0,"",MAX('Verificação Peneiradores'!$AC$113:$AC$122))</f>
        <v/>
      </c>
      <c r="D750" t="str">
        <f>IF('Verificação Peneiradores'!$H$114&amp;""="","Circulares",TRIM('Verificação Peneiradores'!$H$114&amp;""))</f>
        <v>PN0430</v>
      </c>
      <c r="E750" t="str">
        <f>"Malha "&amp;'Verificação Peneiradores'!$H$113&amp;" mm ("&amp;"Circulares"&amp;")"</f>
        <v>Malha 6,3 mm (Circulares)</v>
      </c>
      <c r="F750" t="s">
        <v>817</v>
      </c>
      <c r="G750" t="str">
        <f>IF(COUNTA('Verificação Peneiradores'!$H$116:$H$120)=0,"",COUNTIF('Verificação Peneiradores'!$H$116:$H$120,"OK"))</f>
        <v/>
      </c>
      <c r="H750" t="str">
        <f>IF(COUNTA('Verificação Peneiradores'!$H$116:$H$120)=0,"",COUNTA('Verificação Peneiradores'!$H$116:$H$120))</f>
        <v/>
      </c>
      <c r="M750" t="str">
        <f>IF(COUNTA('Verificação Peneiradores'!$H$116:$H$120)=0,"",IF(COUNTIF('Verificação Peneiradores'!$H$116:$H$120,"NÃO OK")&gt;0,"Não conforme","Conforme"))</f>
        <v/>
      </c>
      <c r="N750" t="str">
        <f>IFERROR(TRIM(INDEX('Verificação Peneiradores'!$AE$113:$AE$122,MATCH("*",'Verificação Peneiradores'!$AE$113:$AE$122,0))),"")</f>
        <v/>
      </c>
      <c r="O750" t="str">
        <f>IFERROR(TRIM(INDEX('Verificação Peneiradores'!$AD$113:$AD$122,MATCH("*",'Verificação Peneiradores'!$AD$113:$AD$122,0))),"")</f>
        <v/>
      </c>
      <c r="P750" t="str">
        <f>IF(COUNTIF('Verificação Peneiradores'!$H$116:$H$120,"SEM TAG")&gt;0,"Sem TAG de calibração; ","")&amp;IF('Verificação Peneiradores'!$H$116="NÃO OK","Condições das telas; ","")&amp;IF('Verificação Peneiradores'!$H$117="NÃO OK","Inclinação das telas; ","")&amp;IF('Verificação Peneiradores'!$H$118="NÃO OK","Vibração do peneirador; ","")&amp;IF('Verificação Peneiradores'!$H$119="NÃO OK","Travamento das peneiras; ","")&amp;IF('Verificação Peneiradores'!$H$120="NÃO OK","Calibração; ","")</f>
        <v/>
      </c>
      <c r="Q750" t="s">
        <v>1121</v>
      </c>
    </row>
    <row r="751">
      <c r="A751" t="s">
        <v>816</v>
      </c>
      <c r="B751" t="s">
        <v>667</v>
      </c>
      <c r="C751" s="912" t="str">
        <f>IF(MAX('Verificação Peneiradores'!$AC$113:$AC$122)=0,"",MAX('Verificação Peneiradores'!$AC$113:$AC$122))</f>
        <v/>
      </c>
      <c r="D751" t="str">
        <f>IF('Verificação Peneiradores'!$I$114&amp;""="","Circulares",TRIM('Verificação Peneiradores'!$I$114&amp;""))</f>
        <v>PN0425</v>
      </c>
      <c r="E751" t="str">
        <f>"Malha "&amp;'Verificação Peneiradores'!$I$113&amp;" mm ("&amp;"Circulares"&amp;")"</f>
        <v>Malha 5 mm (Circulares)</v>
      </c>
      <c r="F751" t="s">
        <v>817</v>
      </c>
      <c r="G751" t="str">
        <f>IF(COUNTA('Verificação Peneiradores'!$I$116:$I$120)=0,"",COUNTIF('Verificação Peneiradores'!$I$116:$I$120,"OK"))</f>
        <v/>
      </c>
      <c r="H751" t="str">
        <f>IF(COUNTA('Verificação Peneiradores'!$I$116:$I$120)=0,"",COUNTA('Verificação Peneiradores'!$I$116:$I$120))</f>
        <v/>
      </c>
      <c r="M751" t="str">
        <f>IF(COUNTA('Verificação Peneiradores'!$I$116:$I$120)=0,"",IF(COUNTIF('Verificação Peneiradores'!$I$116:$I$120,"NÃO OK")&gt;0,"Não conforme","Conforme"))</f>
        <v/>
      </c>
      <c r="N751" t="str">
        <f>IFERROR(TRIM(INDEX('Verificação Peneiradores'!$AE$113:$AE$122,MATCH("*",'Verificação Peneiradores'!$AE$113:$AE$122,0))),"")</f>
        <v/>
      </c>
      <c r="O751" t="str">
        <f>IFERROR(TRIM(INDEX('Verificação Peneiradores'!$AD$113:$AD$122,MATCH("*",'Verificação Peneiradores'!$AD$113:$AD$122,0))),"")</f>
        <v/>
      </c>
      <c r="P751" t="str">
        <f>IF(COUNTIF('Verificação Peneiradores'!$I$116:$I$120,"SEM TAG")&gt;0,"Sem TAG de calibração; ","")&amp;IF('Verificação Peneiradores'!$I$116="NÃO OK","Condições das telas; ","")&amp;IF('Verificação Peneiradores'!$I$117="NÃO OK","Inclinação das telas; ","")&amp;IF('Verificação Peneiradores'!$I$118="NÃO OK","Vibração do peneirador; ","")&amp;IF('Verificação Peneiradores'!$I$119="NÃO OK","Travamento das peneiras; ","")&amp;IF('Verificação Peneiradores'!$I$120="NÃO OK","Calibração; ","")</f>
        <v/>
      </c>
      <c r="Q751" t="s">
        <v>1122</v>
      </c>
    </row>
    <row r="752">
      <c r="A752" t="s">
        <v>816</v>
      </c>
      <c r="B752" t="s">
        <v>667</v>
      </c>
      <c r="C752" s="912" t="str">
        <f>IF(MAX('Verificação Peneiradores'!$AC$113:$AC$122)=0,"",MAX('Verificação Peneiradores'!$AC$113:$AC$122))</f>
        <v/>
      </c>
      <c r="D752" t="str">
        <f>IF('Verificação Peneiradores'!$J$114&amp;""="","Circulares",TRIM('Verificação Peneiradores'!$J$114&amp;""))</f>
        <v>PN0,46</v>
      </c>
      <c r="E752" t="str">
        <f>"Malha "&amp;'Verificação Peneiradores'!$J$113&amp;" mm ("&amp;"Circulares"&amp;")"</f>
        <v>Malha 3,15 mm (Circulares)</v>
      </c>
      <c r="F752" t="s">
        <v>817</v>
      </c>
      <c r="G752" t="str">
        <f>IF(COUNTA('Verificação Peneiradores'!$J$116:$J$120)=0,"",COUNTIF('Verificação Peneiradores'!$J$116:$J$120,"OK"))</f>
        <v/>
      </c>
      <c r="H752" t="str">
        <f>IF(COUNTA('Verificação Peneiradores'!$J$116:$J$120)=0,"",COUNTA('Verificação Peneiradores'!$J$116:$J$120))</f>
        <v/>
      </c>
      <c r="M752" t="str">
        <f>IF(COUNTA('Verificação Peneiradores'!$J$116:$J$120)=0,"",IF(COUNTIF('Verificação Peneiradores'!$J$116:$J$120,"NÃO OK")&gt;0,"Não conforme","Conforme"))</f>
        <v/>
      </c>
      <c r="N752" t="str">
        <f>IFERROR(TRIM(INDEX('Verificação Peneiradores'!$AE$113:$AE$122,MATCH("*",'Verificação Peneiradores'!$AE$113:$AE$122,0))),"")</f>
        <v/>
      </c>
      <c r="O752" t="str">
        <f>IFERROR(TRIM(INDEX('Verificação Peneiradores'!$AD$113:$AD$122,MATCH("*",'Verificação Peneiradores'!$AD$113:$AD$122,0))),"")</f>
        <v/>
      </c>
      <c r="P752" t="str">
        <f>IF(COUNTIF('Verificação Peneiradores'!$J$116:$J$120,"SEM TAG")&gt;0,"Sem TAG de calibração; ","")&amp;IF('Verificação Peneiradores'!$J$116="NÃO OK","Condições das telas; ","")&amp;IF('Verificação Peneiradores'!$J$117="NÃO OK","Inclinação das telas; ","")&amp;IF('Verificação Peneiradores'!$J$118="NÃO OK","Vibração do peneirador; ","")&amp;IF('Verificação Peneiradores'!$J$119="NÃO OK","Travamento das peneiras; ","")&amp;IF('Verificação Peneiradores'!$J$120="NÃO OK","Calibração; ","")</f>
        <v/>
      </c>
      <c r="Q752" t="s">
        <v>1123</v>
      </c>
    </row>
    <row r="753">
      <c r="A753" t="s">
        <v>816</v>
      </c>
      <c r="B753" t="s">
        <v>667</v>
      </c>
      <c r="C753" s="912" t="str">
        <f>IF(MAX('Verificação Peneiradores'!$AC$113:$AC$122)=0,"",MAX('Verificação Peneiradores'!$AC$113:$AC$122))</f>
        <v/>
      </c>
      <c r="D753" t="str">
        <f>IF('Verificação Peneiradores'!$K$114&amp;""="","Circulares",TRIM('Verificação Peneiradores'!$K$114&amp;""))</f>
        <v>PN0500</v>
      </c>
      <c r="E753" t="str">
        <f>"Malha "&amp;'Verificação Peneiradores'!$K$113&amp;" mm ("&amp;"Circulares"&amp;")"</f>
        <v>Malha 0,5 mm (Circulares)</v>
      </c>
      <c r="F753" t="s">
        <v>817</v>
      </c>
      <c r="G753" t="str">
        <f>IF(COUNTA('Verificação Peneiradores'!$K$116:$K$120)=0,"",COUNTIF('Verificação Peneiradores'!$K$116:$K$120,"OK"))</f>
        <v/>
      </c>
      <c r="H753" t="str">
        <f>IF(COUNTA('Verificação Peneiradores'!$K$116:$K$120)=0,"",COUNTA('Verificação Peneiradores'!$K$116:$K$120))</f>
        <v/>
      </c>
      <c r="M753" t="str">
        <f>IF(COUNTA('Verificação Peneiradores'!$K$116:$K$120)=0,"",IF(COUNTIF('Verificação Peneiradores'!$K$116:$K$120,"NÃO OK")&gt;0,"Não conforme","Conforme"))</f>
        <v/>
      </c>
      <c r="N753" t="str">
        <f>IFERROR(TRIM(INDEX('Verificação Peneiradores'!$AE$113:$AE$122,MATCH("*",'Verificação Peneiradores'!$AE$113:$AE$122,0))),"")</f>
        <v/>
      </c>
      <c r="O753" t="str">
        <f>IFERROR(TRIM(INDEX('Verificação Peneiradores'!$AD$113:$AD$122,MATCH("*",'Verificação Peneiradores'!$AD$113:$AD$122,0))),"")</f>
        <v/>
      </c>
      <c r="P753" t="str">
        <f>IF(COUNTIF('Verificação Peneiradores'!$K$116:$K$120,"SEM TAG")&gt;0,"Sem TAG de calibração; ","")&amp;IF('Verificação Peneiradores'!$K$116="NÃO OK","Condições das telas; ","")&amp;IF('Verificação Peneiradores'!$K$117="NÃO OK","Inclinação das telas; ","")&amp;IF('Verificação Peneiradores'!$K$118="NÃO OK","Vibração do peneirador; ","")&amp;IF('Verificação Peneiradores'!$K$119="NÃO OK","Travamento das peneiras; ","")&amp;IF('Verificação Peneiradores'!$K$120="NÃO OK","Calibração; ","")</f>
        <v/>
      </c>
      <c r="Q753" t="s">
        <v>1124</v>
      </c>
    </row>
    <row r="754">
      <c r="A754" t="s">
        <v>816</v>
      </c>
      <c r="B754" t="s">
        <v>667</v>
      </c>
      <c r="C754" s="912" t="str">
        <f>IF(MAX('Verificação Peneiradores'!$AC$113:$AC$122)=0,"",MAX('Verificação Peneiradores'!$AC$113:$AC$122))</f>
        <v/>
      </c>
      <c r="D754" t="str">
        <f>IF('Verificação Peneiradores'!$L$114&amp;""="","Circulares",TRIM('Verificação Peneiradores'!$L$114&amp;""))</f>
        <v>PN0501</v>
      </c>
      <c r="E754" t="str">
        <f>"Malha "&amp;'Verificação Peneiradores'!$L$113&amp;" mm ("&amp;"Circulares"&amp;")"</f>
        <v>Malha 0,5 mm (Circulares)</v>
      </c>
      <c r="F754" t="s">
        <v>817</v>
      </c>
      <c r="G754" t="str">
        <f>IF(COUNTA('Verificação Peneiradores'!$L$116:$L$120)=0,"",COUNTIF('Verificação Peneiradores'!$L$116:$L$120,"OK"))</f>
        <v/>
      </c>
      <c r="H754" t="str">
        <f>IF(COUNTA('Verificação Peneiradores'!$L$116:$L$120)=0,"",COUNTA('Verificação Peneiradores'!$L$116:$L$120))</f>
        <v/>
      </c>
      <c r="M754" t="str">
        <f>IF(COUNTA('Verificação Peneiradores'!$L$116:$L$120)=0,"",IF(COUNTIF('Verificação Peneiradores'!$L$116:$L$120,"NÃO OK")&gt;0,"Não conforme","Conforme"))</f>
        <v/>
      </c>
      <c r="N754" t="str">
        <f>IFERROR(TRIM(INDEX('Verificação Peneiradores'!$AE$113:$AE$122,MATCH("*",'Verificação Peneiradores'!$AE$113:$AE$122,0))),"")</f>
        <v/>
      </c>
      <c r="O754" t="str">
        <f>IFERROR(TRIM(INDEX('Verificação Peneiradores'!$AD$113:$AD$122,MATCH("*",'Verificação Peneiradores'!$AD$113:$AD$122,0))),"")</f>
        <v/>
      </c>
      <c r="P754" t="str">
        <f>IF(COUNTIF('Verificação Peneiradores'!$L$116:$L$120,"SEM TAG")&gt;0,"Sem TAG de calibração; ","")&amp;IF('Verificação Peneiradores'!$L$116="NÃO OK","Condições das telas; ","")&amp;IF('Verificação Peneiradores'!$L$117="NÃO OK","Inclinação das telas; ","")&amp;IF('Verificação Peneiradores'!$L$118="NÃO OK","Vibração do peneirador; ","")&amp;IF('Verificação Peneiradores'!$L$119="NÃO OK","Travamento das peneiras; ","")&amp;IF('Verificação Peneiradores'!$L$120="NÃO OK","Calibração; ","")</f>
        <v/>
      </c>
      <c r="Q754" t="s">
        <v>1125</v>
      </c>
    </row>
    <row r="755">
      <c r="A755" t="s">
        <v>816</v>
      </c>
      <c r="B755" t="s">
        <v>667</v>
      </c>
      <c r="C755" s="912" t="str">
        <f>IF(MAX('Verificação Peneiradores'!$AC$113:$AC$122)=0,"",MAX('Verificação Peneiradores'!$AC$113:$AC$122))</f>
        <v/>
      </c>
      <c r="D755" t="str">
        <f>IF('Verificação Peneiradores'!$M$114&amp;""="","Peneirador 09",TRIM('Verificação Peneiradores'!$M$114&amp;""))</f>
        <v>PN478</v>
      </c>
      <c r="E755" t="str">
        <f>"Malha "&amp;'Verificação Peneiradores'!$M$113&amp;" mm ("&amp;"Peneirador 09"&amp;")"</f>
        <v>Malha 19 mm (Peneirador 09)</v>
      </c>
      <c r="F755" t="s">
        <v>817</v>
      </c>
      <c r="G755" t="str">
        <f>IF(COUNTA('Verificação Peneiradores'!$M$116:$M$120)=0,"",COUNTIF('Verificação Peneiradores'!$M$116:$M$120,"OK"))</f>
        <v/>
      </c>
      <c r="H755" t="str">
        <f>IF(COUNTA('Verificação Peneiradores'!$M$116:$M$120)=0,"",COUNTA('Verificação Peneiradores'!$M$116:$M$120))</f>
        <v/>
      </c>
      <c r="M755" t="str">
        <f>IF(COUNTA('Verificação Peneiradores'!$M$116:$M$120)=0,"",IF(COUNTIF('Verificação Peneiradores'!$M$116:$M$120,"NÃO OK")&gt;0,"Não conforme","Conforme"))</f>
        <v/>
      </c>
      <c r="N755" t="str">
        <f>IFERROR(TRIM(INDEX('Verificação Peneiradores'!$AE$113:$AE$122,MATCH("*",'Verificação Peneiradores'!$AE$113:$AE$122,0))),"")</f>
        <v/>
      </c>
      <c r="O755" t="str">
        <f>IFERROR(TRIM(INDEX('Verificação Peneiradores'!$AD$113:$AD$122,MATCH("*",'Verificação Peneiradores'!$AD$113:$AD$122,0))),"")</f>
        <v/>
      </c>
      <c r="P755" t="str">
        <f>IF(COUNTIF('Verificação Peneiradores'!$M$116:$M$120,"SEM TAG")&gt;0,"Sem TAG de calibração; ","")&amp;IF('Verificação Peneiradores'!$M$116="NÃO OK","Condições das telas; ","")&amp;IF('Verificação Peneiradores'!$M$117="NÃO OK","Inclinação das telas; ","")&amp;IF('Verificação Peneiradores'!$M$118="NÃO OK","Vibração do peneirador; ","")&amp;IF('Verificação Peneiradores'!$M$119="NÃO OK","Travamento das peneiras; ","")&amp;IF('Verificação Peneiradores'!$M$120="NÃO OK","Calibração; ","")</f>
        <v/>
      </c>
      <c r="Q755" t="s">
        <v>1126</v>
      </c>
    </row>
    <row r="756">
      <c r="A756" t="s">
        <v>816</v>
      </c>
      <c r="B756" t="s">
        <v>667</v>
      </c>
      <c r="C756" s="912" t="str">
        <f>IF(MAX('Verificação Peneiradores'!$AC$113:$AC$122)=0,"",MAX('Verificação Peneiradores'!$AC$113:$AC$122))</f>
        <v/>
      </c>
      <c r="D756" t="str">
        <f>IF('Verificação Peneiradores'!$N$114&amp;""="","Peneirador 09",TRIM('Verificação Peneiradores'!$N$114&amp;""))</f>
        <v>PN516</v>
      </c>
      <c r="E756" t="str">
        <f>"Malha "&amp;'Verificação Peneiradores'!$N$113&amp;" mm ("&amp;"Peneirador 09"&amp;")"</f>
        <v>Malha 16 mm (Peneirador 09)</v>
      </c>
      <c r="F756" t="s">
        <v>817</v>
      </c>
      <c r="G756" t="str">
        <f>IF(COUNTA('Verificação Peneiradores'!$N$116:$N$120)=0,"",COUNTIF('Verificação Peneiradores'!$N$116:$N$120,"OK"))</f>
        <v/>
      </c>
      <c r="H756" t="str">
        <f>IF(COUNTA('Verificação Peneiradores'!$N$116:$N$120)=0,"",COUNTA('Verificação Peneiradores'!$N$116:$N$120))</f>
        <v/>
      </c>
      <c r="M756" t="str">
        <f>IF(COUNTA('Verificação Peneiradores'!$N$116:$N$120)=0,"",IF(COUNTIF('Verificação Peneiradores'!$N$116:$N$120,"NÃO OK")&gt;0,"Não conforme","Conforme"))</f>
        <v/>
      </c>
      <c r="N756" t="str">
        <f>IFERROR(TRIM(INDEX('Verificação Peneiradores'!$AE$113:$AE$122,MATCH("*",'Verificação Peneiradores'!$AE$113:$AE$122,0))),"")</f>
        <v/>
      </c>
      <c r="O756" t="str">
        <f>IFERROR(TRIM(INDEX('Verificação Peneiradores'!$AD$113:$AD$122,MATCH("*",'Verificação Peneiradores'!$AD$113:$AD$122,0))),"")</f>
        <v/>
      </c>
      <c r="P756" t="str">
        <f>IF(COUNTIF('Verificação Peneiradores'!$N$116:$N$120,"SEM TAG")&gt;0,"Sem TAG de calibração; ","")&amp;IF('Verificação Peneiradores'!$N$116="NÃO OK","Condições das telas; ","")&amp;IF('Verificação Peneiradores'!$N$117="NÃO OK","Inclinação das telas; ","")&amp;IF('Verificação Peneiradores'!$N$118="NÃO OK","Vibração do peneirador; ","")&amp;IF('Verificação Peneiradores'!$N$119="NÃO OK","Travamento das peneiras; ","")&amp;IF('Verificação Peneiradores'!$N$120="NÃO OK","Calibração; ","")</f>
        <v/>
      </c>
      <c r="Q756" t="s">
        <v>1127</v>
      </c>
    </row>
    <row r="757">
      <c r="A757" t="s">
        <v>816</v>
      </c>
      <c r="B757" t="s">
        <v>667</v>
      </c>
      <c r="C757" s="912" t="str">
        <f>IF(MAX('Verificação Peneiradores'!$AC$113:$AC$122)=0,"",MAX('Verificação Peneiradores'!$AC$113:$AC$122))</f>
        <v/>
      </c>
      <c r="D757" t="str">
        <f>IF('Verificação Peneiradores'!$O$114&amp;""="","Peneirador 09",TRIM('Verificação Peneiradores'!$O$114&amp;""))</f>
        <v>PN650</v>
      </c>
      <c r="E757" t="str">
        <f>"Malha "&amp;'Verificação Peneiradores'!$O$113&amp;" mm ("&amp;"Peneirador 09"&amp;")"</f>
        <v>Malha 14 mm (Peneirador 09)</v>
      </c>
      <c r="F757" t="s">
        <v>817</v>
      </c>
      <c r="G757" t="str">
        <f>IF(COUNTA('Verificação Peneiradores'!$O$116:$O$120)=0,"",COUNTIF('Verificação Peneiradores'!$O$116:$O$120,"OK"))</f>
        <v/>
      </c>
      <c r="H757" t="str">
        <f>IF(COUNTA('Verificação Peneiradores'!$O$116:$O$120)=0,"",COUNTA('Verificação Peneiradores'!$O$116:$O$120))</f>
        <v/>
      </c>
      <c r="M757" t="str">
        <f>IF(COUNTA('Verificação Peneiradores'!$O$116:$O$120)=0,"",IF(COUNTIF('Verificação Peneiradores'!$O$116:$O$120,"NÃO OK")&gt;0,"Não conforme","Conforme"))</f>
        <v/>
      </c>
      <c r="N757" t="str">
        <f>IFERROR(TRIM(INDEX('Verificação Peneiradores'!$AE$113:$AE$122,MATCH("*",'Verificação Peneiradores'!$AE$113:$AE$122,0))),"")</f>
        <v/>
      </c>
      <c r="O757" t="str">
        <f>IFERROR(TRIM(INDEX('Verificação Peneiradores'!$AD$113:$AD$122,MATCH("*",'Verificação Peneiradores'!$AD$113:$AD$122,0))),"")</f>
        <v/>
      </c>
      <c r="P757" t="str">
        <f>IF(COUNTIF('Verificação Peneiradores'!$O$116:$O$120,"SEM TAG")&gt;0,"Sem TAG de calibração; ","")&amp;IF('Verificação Peneiradores'!$O$116="NÃO OK","Condições das telas; ","")&amp;IF('Verificação Peneiradores'!$O$117="NÃO OK","Inclinação das telas; ","")&amp;IF('Verificação Peneiradores'!$O$118="NÃO OK","Vibração do peneirador; ","")&amp;IF('Verificação Peneiradores'!$O$119="NÃO OK","Travamento das peneiras; ","")&amp;IF('Verificação Peneiradores'!$O$120="NÃO OK","Calibração; ","")</f>
        <v/>
      </c>
      <c r="Q757" t="s">
        <v>1128</v>
      </c>
    </row>
    <row r="758">
      <c r="A758" t="s">
        <v>816</v>
      </c>
      <c r="B758" t="s">
        <v>667</v>
      </c>
      <c r="C758" s="912" t="str">
        <f>IF(MAX('Verificação Peneiradores'!$AC$113:$AC$122)=0,"",MAX('Verificação Peneiradores'!$AC$113:$AC$122))</f>
        <v/>
      </c>
      <c r="D758" t="str">
        <f>IF('Verificação Peneiradores'!$P$114&amp;""="","Peneirador 09",TRIM('Verificação Peneiradores'!$P$114&amp;""))</f>
        <v>PN484</v>
      </c>
      <c r="E758" t="str">
        <f>"Malha "&amp;'Verificação Peneiradores'!$P$113&amp;" mm ("&amp;"Peneirador 09"&amp;")"</f>
        <v>Malha 12,5 mm (Peneirador 09)</v>
      </c>
      <c r="F758" t="s">
        <v>817</v>
      </c>
      <c r="G758" t="str">
        <f>IF(COUNTA('Verificação Peneiradores'!$P$116:$P$120)=0,"",COUNTIF('Verificação Peneiradores'!$P$116:$P$120,"OK"))</f>
        <v/>
      </c>
      <c r="H758" t="str">
        <f>IF(COUNTA('Verificação Peneiradores'!$P$116:$P$120)=0,"",COUNTA('Verificação Peneiradores'!$P$116:$P$120))</f>
        <v/>
      </c>
      <c r="M758" t="str">
        <f>IF(COUNTA('Verificação Peneiradores'!$P$116:$P$120)=0,"",IF(COUNTIF('Verificação Peneiradores'!$P$116:$P$120,"NÃO OK")&gt;0,"Não conforme","Conforme"))</f>
        <v/>
      </c>
      <c r="N758" t="str">
        <f>IFERROR(TRIM(INDEX('Verificação Peneiradores'!$AE$113:$AE$122,MATCH("*",'Verificação Peneiradores'!$AE$113:$AE$122,0))),"")</f>
        <v/>
      </c>
      <c r="O758" t="str">
        <f>IFERROR(TRIM(INDEX('Verificação Peneiradores'!$AD$113:$AD$122,MATCH("*",'Verificação Peneiradores'!$AD$113:$AD$122,0))),"")</f>
        <v/>
      </c>
      <c r="P758" t="str">
        <f>IF(COUNTIF('Verificação Peneiradores'!$P$116:$P$120,"SEM TAG")&gt;0,"Sem TAG de calibração; ","")&amp;IF('Verificação Peneiradores'!$P$116="NÃO OK","Condições das telas; ","")&amp;IF('Verificação Peneiradores'!$P$117="NÃO OK","Inclinação das telas; ","")&amp;IF('Verificação Peneiradores'!$P$118="NÃO OK","Vibração do peneirador; ","")&amp;IF('Verificação Peneiradores'!$P$119="NÃO OK","Travamento das peneiras; ","")&amp;IF('Verificação Peneiradores'!$P$120="NÃO OK","Calibração; ","")</f>
        <v/>
      </c>
      <c r="Q758" t="s">
        <v>1129</v>
      </c>
    </row>
    <row r="759">
      <c r="A759" t="s">
        <v>816</v>
      </c>
      <c r="B759" t="s">
        <v>667</v>
      </c>
      <c r="C759" s="912" t="str">
        <f>IF(MAX('Verificação Peneiradores'!$AC$113:$AC$122)=0,"",MAX('Verificação Peneiradores'!$AC$113:$AC$122))</f>
        <v/>
      </c>
      <c r="D759" t="str">
        <f>IF('Verificação Peneiradores'!$Q$114&amp;""="","Peneirador 09",TRIM('Verificação Peneiradores'!$Q$114&amp;""))</f>
        <v>PN558</v>
      </c>
      <c r="E759" t="str">
        <f>"Malha "&amp;'Verificação Peneiradores'!$Q$113&amp;" mm ("&amp;"Peneirador 09"&amp;")"</f>
        <v>Malha 9 mm (Peneirador 09)</v>
      </c>
      <c r="F759" t="s">
        <v>817</v>
      </c>
      <c r="G759" t="str">
        <f>IF(COUNTA('Verificação Peneiradores'!$Q$116:$Q$120)=0,"",COUNTIF('Verificação Peneiradores'!$Q$116:$Q$120,"OK"))</f>
        <v/>
      </c>
      <c r="H759" t="str">
        <f>IF(COUNTA('Verificação Peneiradores'!$Q$116:$Q$120)=0,"",COUNTA('Verificação Peneiradores'!$Q$116:$Q$120))</f>
        <v/>
      </c>
      <c r="M759" t="str">
        <f>IF(COUNTA('Verificação Peneiradores'!$Q$116:$Q$120)=0,"",IF(COUNTIF('Verificação Peneiradores'!$Q$116:$Q$120,"NÃO OK")&gt;0,"Não conforme","Conforme"))</f>
        <v/>
      </c>
      <c r="N759" t="str">
        <f>IFERROR(TRIM(INDEX('Verificação Peneiradores'!$AE$113:$AE$122,MATCH("*",'Verificação Peneiradores'!$AE$113:$AE$122,0))),"")</f>
        <v/>
      </c>
      <c r="O759" t="str">
        <f>IFERROR(TRIM(INDEX('Verificação Peneiradores'!$AD$113:$AD$122,MATCH("*",'Verificação Peneiradores'!$AD$113:$AD$122,0))),"")</f>
        <v/>
      </c>
      <c r="P759" t="str">
        <f>IF(COUNTIF('Verificação Peneiradores'!$Q$116:$Q$120,"SEM TAG")&gt;0,"Sem TAG de calibração; ","")&amp;IF('Verificação Peneiradores'!$Q$116="NÃO OK","Condições das telas; ","")&amp;IF('Verificação Peneiradores'!$Q$117="NÃO OK","Inclinação das telas; ","")&amp;IF('Verificação Peneiradores'!$Q$118="NÃO OK","Vibração do peneirador; ","")&amp;IF('Verificação Peneiradores'!$Q$119="NÃO OK","Travamento das peneiras; ","")&amp;IF('Verificação Peneiradores'!$Q$120="NÃO OK","Calibração; ","")</f>
        <v/>
      </c>
      <c r="Q759" t="s">
        <v>1130</v>
      </c>
    </row>
    <row r="760">
      <c r="A760" t="s">
        <v>816</v>
      </c>
      <c r="B760" t="s">
        <v>667</v>
      </c>
      <c r="C760" s="912" t="str">
        <f>IF(MAX('Verificação Peneiradores'!$AC$113:$AC$122)=0,"",MAX('Verificação Peneiradores'!$AC$113:$AC$122))</f>
        <v/>
      </c>
      <c r="D760" t="str">
        <f>IF('Verificação Peneiradores'!$R$114&amp;""="","Peneirador 09",TRIM('Verificação Peneiradores'!$R$114&amp;""))</f>
        <v>PN505</v>
      </c>
      <c r="E760" t="str">
        <f>"Malha "&amp;'Verificação Peneiradores'!$R$113&amp;" mm ("&amp;"Peneirador 09"&amp;")"</f>
        <v>Malha 8 mm (Peneirador 09)</v>
      </c>
      <c r="F760" t="s">
        <v>817</v>
      </c>
      <c r="G760" t="str">
        <f>IF(COUNTA('Verificação Peneiradores'!$R$116:$R$120)=0,"",COUNTIF('Verificação Peneiradores'!$R$116:$R$120,"OK"))</f>
        <v/>
      </c>
      <c r="H760" t="str">
        <f>IF(COUNTA('Verificação Peneiradores'!$R$116:$R$120)=0,"",COUNTA('Verificação Peneiradores'!$R$116:$R$120))</f>
        <v/>
      </c>
      <c r="M760" t="str">
        <f>IF(COUNTA('Verificação Peneiradores'!$R$116:$R$120)=0,"",IF(COUNTIF('Verificação Peneiradores'!$R$116:$R$120,"NÃO OK")&gt;0,"Não conforme","Conforme"))</f>
        <v/>
      </c>
      <c r="N760" t="str">
        <f>IFERROR(TRIM(INDEX('Verificação Peneiradores'!$AE$113:$AE$122,MATCH("*",'Verificação Peneiradores'!$AE$113:$AE$122,0))),"")</f>
        <v/>
      </c>
      <c r="O760" t="str">
        <f>IFERROR(TRIM(INDEX('Verificação Peneiradores'!$AD$113:$AD$122,MATCH("*",'Verificação Peneiradores'!$AD$113:$AD$122,0))),"")</f>
        <v/>
      </c>
      <c r="P760" t="str">
        <f>IF(COUNTIF('Verificação Peneiradores'!$R$116:$R$120,"SEM TAG")&gt;0,"Sem TAG de calibração; ","")&amp;IF('Verificação Peneiradores'!$R$116="NÃO OK","Condições das telas; ","")&amp;IF('Verificação Peneiradores'!$R$117="NÃO OK","Inclinação das telas; ","")&amp;IF('Verificação Peneiradores'!$R$118="NÃO OK","Vibração do peneirador; ","")&amp;IF('Verificação Peneiradores'!$R$119="NÃO OK","Travamento das peneiras; ","")&amp;IF('Verificação Peneiradores'!$R$120="NÃO OK","Calibração; ","")</f>
        <v/>
      </c>
      <c r="Q760" t="s">
        <v>1131</v>
      </c>
    </row>
    <row r="761">
      <c r="A761" t="s">
        <v>816</v>
      </c>
      <c r="B761" t="s">
        <v>667</v>
      </c>
      <c r="C761" s="912" t="str">
        <f>IF(MAX('Verificação Peneiradores'!$AC$113:$AC$122)=0,"",MAX('Verificação Peneiradores'!$AC$113:$AC$122))</f>
        <v/>
      </c>
      <c r="D761" t="str">
        <f>IF('Verificação Peneiradores'!$S$114&amp;""="","Peneirador 09",TRIM('Verificação Peneiradores'!$S$114&amp;""))</f>
        <v>PN631</v>
      </c>
      <c r="E761" t="str">
        <f>"Malha "&amp;'Verificação Peneiradores'!$S$113&amp;" mm ("&amp;"Peneirador 09"&amp;")"</f>
        <v>Malha 6,3 mm (Peneirador 09)</v>
      </c>
      <c r="F761" t="s">
        <v>817</v>
      </c>
      <c r="G761" t="str">
        <f>IF(COUNTA('Verificação Peneiradores'!$S$116:$S$120)=0,"",COUNTIF('Verificação Peneiradores'!$S$116:$S$120,"OK"))</f>
        <v/>
      </c>
      <c r="H761" t="str">
        <f>IF(COUNTA('Verificação Peneiradores'!$S$116:$S$120)=0,"",COUNTA('Verificação Peneiradores'!$S$116:$S$120))</f>
        <v/>
      </c>
      <c r="M761" t="str">
        <f>IF(COUNTA('Verificação Peneiradores'!$S$116:$S$120)=0,"",IF(COUNTIF('Verificação Peneiradores'!$S$116:$S$120,"NÃO OK")&gt;0,"Não conforme","Conforme"))</f>
        <v/>
      </c>
      <c r="N761" t="str">
        <f>IFERROR(TRIM(INDEX('Verificação Peneiradores'!$AE$113:$AE$122,MATCH("*",'Verificação Peneiradores'!$AE$113:$AE$122,0))),"")</f>
        <v/>
      </c>
      <c r="O761" t="str">
        <f>IFERROR(TRIM(INDEX('Verificação Peneiradores'!$AD$113:$AD$122,MATCH("*",'Verificação Peneiradores'!$AD$113:$AD$122,0))),"")</f>
        <v/>
      </c>
      <c r="P761" t="str">
        <f>IF(COUNTIF('Verificação Peneiradores'!$S$116:$S$120,"SEM TAG")&gt;0,"Sem TAG de calibração; ","")&amp;IF('Verificação Peneiradores'!$S$116="NÃO OK","Condições das telas; ","")&amp;IF('Verificação Peneiradores'!$S$117="NÃO OK","Inclinação das telas; ","")&amp;IF('Verificação Peneiradores'!$S$118="NÃO OK","Vibração do peneirador; ","")&amp;IF('Verificação Peneiradores'!$S$119="NÃO OK","Travamento das peneiras; ","")&amp;IF('Verificação Peneiradores'!$S$120="NÃO OK","Calibração; ","")</f>
        <v/>
      </c>
      <c r="Q761" t="s">
        <v>1132</v>
      </c>
    </row>
    <row r="762">
      <c r="A762" t="s">
        <v>816</v>
      </c>
      <c r="B762" t="s">
        <v>667</v>
      </c>
      <c r="C762" s="912" t="str">
        <f>IF(MAX('Verificação Peneiradores'!$AC$113:$AC$122)=0,"",MAX('Verificação Peneiradores'!$AC$113:$AC$122))</f>
        <v/>
      </c>
      <c r="D762" t="str">
        <f>IF('Verificação Peneiradores'!$T$114&amp;""="","Peneirador 05",TRIM('Verificação Peneiradores'!$T$114&amp;""))</f>
        <v>PN398</v>
      </c>
      <c r="E762" t="str">
        <f>"Malha "&amp;'Verificação Peneiradores'!$T$113&amp;" mm ("&amp;"Peneirador 05"&amp;")"</f>
        <v>Malha 19 mm (Peneirador 05)</v>
      </c>
      <c r="F762" t="s">
        <v>817</v>
      </c>
      <c r="G762" t="str">
        <f>IF(COUNTA('Verificação Peneiradores'!$T$116:$T$120)=0,"",COUNTIF('Verificação Peneiradores'!$T$116:$T$120,"OK"))</f>
        <v/>
      </c>
      <c r="H762" t="str">
        <f>IF(COUNTA('Verificação Peneiradores'!$T$116:$T$120)=0,"",COUNTA('Verificação Peneiradores'!$T$116:$T$120))</f>
        <v/>
      </c>
      <c r="M762" t="str">
        <f>IF(COUNTA('Verificação Peneiradores'!$T$116:$T$120)=0,"",IF(COUNTIF('Verificação Peneiradores'!$T$116:$T$120,"NÃO OK")&gt;0,"Não conforme","Conforme"))</f>
        <v/>
      </c>
      <c r="N762" t="str">
        <f>IFERROR(TRIM(INDEX('Verificação Peneiradores'!$AE$113:$AE$122,MATCH("*",'Verificação Peneiradores'!$AE$113:$AE$122,0))),"")</f>
        <v/>
      </c>
      <c r="O762" t="str">
        <f>IFERROR(TRIM(INDEX('Verificação Peneiradores'!$AD$113:$AD$122,MATCH("*",'Verificação Peneiradores'!$AD$113:$AD$122,0))),"")</f>
        <v/>
      </c>
      <c r="P762" t="str">
        <f>IF(COUNTIF('Verificação Peneiradores'!$T$116:$T$120,"SEM TAG")&gt;0,"Sem TAG de calibração; ","")&amp;IF('Verificação Peneiradores'!$T$116="NÃO OK","Condições das telas; ","")&amp;IF('Verificação Peneiradores'!$T$117="NÃO OK","Inclinação das telas; ","")&amp;IF('Verificação Peneiradores'!$T$118="NÃO OK","Vibração do peneirador; ","")&amp;IF('Verificação Peneiradores'!$T$119="NÃO OK","Travamento das peneiras; ","")&amp;IF('Verificação Peneiradores'!$T$120="NÃO OK","Calibração; ","")</f>
        <v/>
      </c>
      <c r="Q762" t="s">
        <v>1133</v>
      </c>
    </row>
    <row r="763">
      <c r="A763" t="s">
        <v>816</v>
      </c>
      <c r="B763" t="s">
        <v>667</v>
      </c>
      <c r="C763" s="912" t="str">
        <f>IF(MAX('Verificação Peneiradores'!$AC$113:$AC$122)=0,"",MAX('Verificação Peneiradores'!$AC$113:$AC$122))</f>
        <v/>
      </c>
      <c r="D763" t="str">
        <f>IF('Verificação Peneiradores'!$U$114&amp;""="","Peneirador 05",TRIM('Verificação Peneiradores'!$U$114&amp;""))</f>
        <v>PN664</v>
      </c>
      <c r="E763" t="str">
        <f>"Malha "&amp;'Verificação Peneiradores'!$U$113&amp;" mm ("&amp;"Peneirador 05"&amp;")"</f>
        <v>Malha 16 mm (Peneirador 05)</v>
      </c>
      <c r="F763" t="s">
        <v>817</v>
      </c>
      <c r="G763" t="str">
        <f>IF(COUNTA('Verificação Peneiradores'!$U$116:$U$120)=0,"",COUNTIF('Verificação Peneiradores'!$U$116:$U$120,"OK"))</f>
        <v/>
      </c>
      <c r="H763" t="str">
        <f>IF(COUNTA('Verificação Peneiradores'!$U$116:$U$120)=0,"",COUNTA('Verificação Peneiradores'!$U$116:$U$120))</f>
        <v/>
      </c>
      <c r="M763" t="str">
        <f>IF(COUNTA('Verificação Peneiradores'!$U$116:$U$120)=0,"",IF(COUNTIF('Verificação Peneiradores'!$U$116:$U$120,"NÃO OK")&gt;0,"Não conforme","Conforme"))</f>
        <v/>
      </c>
      <c r="N763" t="str">
        <f>IFERROR(TRIM(INDEX('Verificação Peneiradores'!$AE$113:$AE$122,MATCH("*",'Verificação Peneiradores'!$AE$113:$AE$122,0))),"")</f>
        <v/>
      </c>
      <c r="O763" t="str">
        <f>IFERROR(TRIM(INDEX('Verificação Peneiradores'!$AD$113:$AD$122,MATCH("*",'Verificação Peneiradores'!$AD$113:$AD$122,0))),"")</f>
        <v/>
      </c>
      <c r="P763" t="str">
        <f>IF(COUNTIF('Verificação Peneiradores'!$U$116:$U$120,"SEM TAG")&gt;0,"Sem TAG de calibração; ","")&amp;IF('Verificação Peneiradores'!$U$116="NÃO OK","Condições das telas; ","")&amp;IF('Verificação Peneiradores'!$U$117="NÃO OK","Inclinação das telas; ","")&amp;IF('Verificação Peneiradores'!$U$118="NÃO OK","Vibração do peneirador; ","")&amp;IF('Verificação Peneiradores'!$U$119="NÃO OK","Travamento das peneiras; ","")&amp;IF('Verificação Peneiradores'!$U$120="NÃO OK","Calibração; ","")</f>
        <v/>
      </c>
      <c r="Q763" t="s">
        <v>1134</v>
      </c>
    </row>
    <row r="764">
      <c r="A764" t="s">
        <v>816</v>
      </c>
      <c r="B764" t="s">
        <v>667</v>
      </c>
      <c r="C764" s="912" t="str">
        <f>IF(MAX('Verificação Peneiradores'!$AC$113:$AC$122)=0,"",MAX('Verificação Peneiradores'!$AC$113:$AC$122))</f>
        <v/>
      </c>
      <c r="D764" t="str">
        <f>IF('Verificação Peneiradores'!$V$114&amp;""="","Peneirador 05",TRIM('Verificação Peneiradores'!$V$114&amp;""))</f>
        <v>PN665</v>
      </c>
      <c r="E764" t="str">
        <f>"Malha "&amp;'Verificação Peneiradores'!$V$113&amp;" mm ("&amp;"Peneirador 05"&amp;")"</f>
        <v>Malha 14 mm (Peneirador 05)</v>
      </c>
      <c r="F764" t="s">
        <v>817</v>
      </c>
      <c r="G764" t="str">
        <f>IF(COUNTA('Verificação Peneiradores'!$V$116:$V$120)=0,"",COUNTIF('Verificação Peneiradores'!$V$116:$V$120,"OK"))</f>
        <v/>
      </c>
      <c r="H764" t="str">
        <f>IF(COUNTA('Verificação Peneiradores'!$V$116:$V$120)=0,"",COUNTA('Verificação Peneiradores'!$V$116:$V$120))</f>
        <v/>
      </c>
      <c r="M764" t="str">
        <f>IF(COUNTA('Verificação Peneiradores'!$V$116:$V$120)=0,"",IF(COUNTIF('Verificação Peneiradores'!$V$116:$V$120,"NÃO OK")&gt;0,"Não conforme","Conforme"))</f>
        <v/>
      </c>
      <c r="N764" t="str">
        <f>IFERROR(TRIM(INDEX('Verificação Peneiradores'!$AE$113:$AE$122,MATCH("*",'Verificação Peneiradores'!$AE$113:$AE$122,0))),"")</f>
        <v/>
      </c>
      <c r="O764" t="str">
        <f>IFERROR(TRIM(INDEX('Verificação Peneiradores'!$AD$113:$AD$122,MATCH("*",'Verificação Peneiradores'!$AD$113:$AD$122,0))),"")</f>
        <v/>
      </c>
      <c r="P764" t="str">
        <f>IF(COUNTIF('Verificação Peneiradores'!$V$116:$V$120,"SEM TAG")&gt;0,"Sem TAG de calibração; ","")&amp;IF('Verificação Peneiradores'!$V$116="NÃO OK","Condições das telas; ","")&amp;IF('Verificação Peneiradores'!$V$117="NÃO OK","Inclinação das telas; ","")&amp;IF('Verificação Peneiradores'!$V$118="NÃO OK","Vibração do peneirador; ","")&amp;IF('Verificação Peneiradores'!$V$119="NÃO OK","Travamento das peneiras; ","")&amp;IF('Verificação Peneiradores'!$V$120="NÃO OK","Calibração; ","")</f>
        <v/>
      </c>
      <c r="Q764" t="s">
        <v>1135</v>
      </c>
    </row>
    <row r="765">
      <c r="A765" t="s">
        <v>816</v>
      </c>
      <c r="B765" t="s">
        <v>667</v>
      </c>
      <c r="C765" s="912" t="str">
        <f>IF(MAX('Verificação Peneiradores'!$AC$113:$AC$122)=0,"",MAX('Verificação Peneiradores'!$AC$113:$AC$122))</f>
        <v/>
      </c>
      <c r="D765" t="str">
        <f>IF('Verificação Peneiradores'!$W$114&amp;""="","Peneirador 05",TRIM('Verificação Peneiradores'!$W$114&amp;""))</f>
        <v>PN666</v>
      </c>
      <c r="E765" t="str">
        <f>"Malha "&amp;'Verificação Peneiradores'!$W$113&amp;" mm ("&amp;"Peneirador 05"&amp;")"</f>
        <v>Malha 12,5 mm (Peneirador 05)</v>
      </c>
      <c r="F765" t="s">
        <v>817</v>
      </c>
      <c r="G765" t="str">
        <f>IF(COUNTA('Verificação Peneiradores'!$W$116:$W$120)=0,"",COUNTIF('Verificação Peneiradores'!$W$116:$W$120,"OK"))</f>
        <v/>
      </c>
      <c r="H765" t="str">
        <f>IF(COUNTA('Verificação Peneiradores'!$W$116:$W$120)=0,"",COUNTA('Verificação Peneiradores'!$W$116:$W$120))</f>
        <v/>
      </c>
      <c r="M765" t="str">
        <f>IF(COUNTA('Verificação Peneiradores'!$W$116:$W$120)=0,"",IF(COUNTIF('Verificação Peneiradores'!$W$116:$W$120,"NÃO OK")&gt;0,"Não conforme","Conforme"))</f>
        <v/>
      </c>
      <c r="N765" t="str">
        <f>IFERROR(TRIM(INDEX('Verificação Peneiradores'!$AE$113:$AE$122,MATCH("*",'Verificação Peneiradores'!$AE$113:$AE$122,0))),"")</f>
        <v/>
      </c>
      <c r="O765" t="str">
        <f>IFERROR(TRIM(INDEX('Verificação Peneiradores'!$AD$113:$AD$122,MATCH("*",'Verificação Peneiradores'!$AD$113:$AD$122,0))),"")</f>
        <v/>
      </c>
      <c r="P765" t="str">
        <f>IF(COUNTIF('Verificação Peneiradores'!$W$116:$W$120,"SEM TAG")&gt;0,"Sem TAG de calibração; ","")&amp;IF('Verificação Peneiradores'!$W$116="NÃO OK","Condições das telas; ","")&amp;IF('Verificação Peneiradores'!$W$117="NÃO OK","Inclinação das telas; ","")&amp;IF('Verificação Peneiradores'!$W$118="NÃO OK","Vibração do peneirador; ","")&amp;IF('Verificação Peneiradores'!$W$119="NÃO OK","Travamento das peneiras; ","")&amp;IF('Verificação Peneiradores'!$W$120="NÃO OK","Calibração; ","")</f>
        <v/>
      </c>
      <c r="Q765" t="s">
        <v>1136</v>
      </c>
    </row>
    <row r="766">
      <c r="A766" t="s">
        <v>816</v>
      </c>
      <c r="B766" t="s">
        <v>667</v>
      </c>
      <c r="C766" s="912" t="str">
        <f>IF(MAX('Verificação Peneiradores'!$AC$113:$AC$122)=0,"",MAX('Verificação Peneiradores'!$AC$113:$AC$122))</f>
        <v/>
      </c>
      <c r="D766" t="str">
        <f>IF('Verificação Peneiradores'!$X$114&amp;""="","Peneirador 05",TRIM('Verificação Peneiradores'!$X$114&amp;""))</f>
        <v>PN646</v>
      </c>
      <c r="E766" t="str">
        <f>"Malha "&amp;'Verificação Peneiradores'!$X$113&amp;" mm ("&amp;"Peneirador 05"&amp;")"</f>
        <v>Malha 9 mm (Peneirador 05)</v>
      </c>
      <c r="F766" t="s">
        <v>817</v>
      </c>
      <c r="G766" t="str">
        <f>IF(COUNTA('Verificação Peneiradores'!$X$116:$X$120)=0,"",COUNTIF('Verificação Peneiradores'!$X$116:$X$120,"OK"))</f>
        <v/>
      </c>
      <c r="H766" t="str">
        <f>IF(COUNTA('Verificação Peneiradores'!$X$116:$X$120)=0,"",COUNTA('Verificação Peneiradores'!$X$116:$X$120))</f>
        <v/>
      </c>
      <c r="M766" t="str">
        <f>IF(COUNTA('Verificação Peneiradores'!$X$116:$X$120)=0,"",IF(COUNTIF('Verificação Peneiradores'!$X$116:$X$120,"NÃO OK")&gt;0,"Não conforme","Conforme"))</f>
        <v/>
      </c>
      <c r="N766" t="str">
        <f>IFERROR(TRIM(INDEX('Verificação Peneiradores'!$AE$113:$AE$122,MATCH("*",'Verificação Peneiradores'!$AE$113:$AE$122,0))),"")</f>
        <v/>
      </c>
      <c r="O766" t="str">
        <f>IFERROR(TRIM(INDEX('Verificação Peneiradores'!$AD$113:$AD$122,MATCH("*",'Verificação Peneiradores'!$AD$113:$AD$122,0))),"")</f>
        <v/>
      </c>
      <c r="P766" t="str">
        <f>IF(COUNTIF('Verificação Peneiradores'!$X$116:$X$120,"SEM TAG")&gt;0,"Sem TAG de calibração; ","")&amp;IF('Verificação Peneiradores'!$X$116="NÃO OK","Condições das telas; ","")&amp;IF('Verificação Peneiradores'!$X$117="NÃO OK","Inclinação das telas; ","")&amp;IF('Verificação Peneiradores'!$X$118="NÃO OK","Vibração do peneirador; ","")&amp;IF('Verificação Peneiradores'!$X$119="NÃO OK","Travamento das peneiras; ","")&amp;IF('Verificação Peneiradores'!$X$120="NÃO OK","Calibração; ","")</f>
        <v/>
      </c>
      <c r="Q766" t="s">
        <v>1137</v>
      </c>
    </row>
    <row r="767">
      <c r="A767" t="s">
        <v>816</v>
      </c>
      <c r="B767" t="s">
        <v>667</v>
      </c>
      <c r="C767" s="912" t="str">
        <f>IF(MAX('Verificação Peneiradores'!$AC$113:$AC$122)=0,"",MAX('Verificação Peneiradores'!$AC$113:$AC$122))</f>
        <v/>
      </c>
      <c r="D767" t="str">
        <f>IF('Verificação Peneiradores'!$Y$114&amp;""="","Peneirador 05",TRIM('Verificação Peneiradores'!$Y$114&amp;""))</f>
        <v>PN647</v>
      </c>
      <c r="E767" t="str">
        <f>"Malha "&amp;'Verificação Peneiradores'!$Y$113&amp;" mm ("&amp;"Peneirador 05"&amp;")"</f>
        <v>Malha 8 mm (Peneirador 05)</v>
      </c>
      <c r="F767" t="s">
        <v>817</v>
      </c>
      <c r="G767" t="str">
        <f>IF(COUNTA('Verificação Peneiradores'!$Y$116:$Y$120)=0,"",COUNTIF('Verificação Peneiradores'!$Y$116:$Y$120,"OK"))</f>
        <v/>
      </c>
      <c r="H767" t="str">
        <f>IF(COUNTA('Verificação Peneiradores'!$Y$116:$Y$120)=0,"",COUNTA('Verificação Peneiradores'!$Y$116:$Y$120))</f>
        <v/>
      </c>
      <c r="M767" t="str">
        <f>IF(COUNTA('Verificação Peneiradores'!$Y$116:$Y$120)=0,"",IF(COUNTIF('Verificação Peneiradores'!$Y$116:$Y$120,"NÃO OK")&gt;0,"Não conforme","Conforme"))</f>
        <v/>
      </c>
      <c r="N767" t="str">
        <f>IFERROR(TRIM(INDEX('Verificação Peneiradores'!$AE$113:$AE$122,MATCH("*",'Verificação Peneiradores'!$AE$113:$AE$122,0))),"")</f>
        <v/>
      </c>
      <c r="O767" t="str">
        <f>IFERROR(TRIM(INDEX('Verificação Peneiradores'!$AD$113:$AD$122,MATCH("*",'Verificação Peneiradores'!$AD$113:$AD$122,0))),"")</f>
        <v/>
      </c>
      <c r="P767" t="str">
        <f>IF(COUNTIF('Verificação Peneiradores'!$Y$116:$Y$120,"SEM TAG")&gt;0,"Sem TAG de calibração; ","")&amp;IF('Verificação Peneiradores'!$Y$116="NÃO OK","Condições das telas; ","")&amp;IF('Verificação Peneiradores'!$Y$117="NÃO OK","Inclinação das telas; ","")&amp;IF('Verificação Peneiradores'!$Y$118="NÃO OK","Vibração do peneirador; ","")&amp;IF('Verificação Peneiradores'!$Y$119="NÃO OK","Travamento das peneiras; ","")&amp;IF('Verificação Peneiradores'!$Y$120="NÃO OK","Calibração; ","")</f>
        <v/>
      </c>
      <c r="Q767" t="s">
        <v>1138</v>
      </c>
    </row>
    <row r="768">
      <c r="A768" t="s">
        <v>816</v>
      </c>
      <c r="B768" t="s">
        <v>667</v>
      </c>
      <c r="C768" s="912" t="str">
        <f>IF(MAX('Verificação Peneiradores'!$AC$113:$AC$122)=0,"",MAX('Verificação Peneiradores'!$AC$113:$AC$122))</f>
        <v/>
      </c>
      <c r="D768" t="str">
        <f>IF('Verificação Peneiradores'!$Z$114&amp;""="","Peneirador 05",TRIM('Verificação Peneiradores'!$Z$114&amp;""))</f>
        <v>PN648</v>
      </c>
      <c r="E768" t="str">
        <f>"Malha "&amp;'Verificação Peneiradores'!$Z$113&amp;" mm ("&amp;"Peneirador 05"&amp;")"</f>
        <v>Malha 6,3 mm (Peneirador 05)</v>
      </c>
      <c r="F768" t="s">
        <v>817</v>
      </c>
      <c r="G768" t="str">
        <f>IF(COUNTA('Verificação Peneiradores'!$Z$116:$Z$120)=0,"",COUNTIF('Verificação Peneiradores'!$Z$116:$Z$120,"OK"))</f>
        <v/>
      </c>
      <c r="H768" t="str">
        <f>IF(COUNTA('Verificação Peneiradores'!$Z$116:$Z$120)=0,"",COUNTA('Verificação Peneiradores'!$Z$116:$Z$120))</f>
        <v/>
      </c>
      <c r="M768" t="str">
        <f>IF(COUNTA('Verificação Peneiradores'!$Z$116:$Z$120)=0,"",IF(COUNTIF('Verificação Peneiradores'!$Z$116:$Z$120,"NÃO OK")&gt;0,"Não conforme","Conforme"))</f>
        <v/>
      </c>
      <c r="N768" t="str">
        <f>IFERROR(TRIM(INDEX('Verificação Peneiradores'!$AE$113:$AE$122,MATCH("*",'Verificação Peneiradores'!$AE$113:$AE$122,0))),"")</f>
        <v/>
      </c>
      <c r="O768" t="str">
        <f>IFERROR(TRIM(INDEX('Verificação Peneiradores'!$AD$113:$AD$122,MATCH("*",'Verificação Peneiradores'!$AD$113:$AD$122,0))),"")</f>
        <v/>
      </c>
      <c r="P768" t="str">
        <f>IF(COUNTIF('Verificação Peneiradores'!$Z$116:$Z$120,"SEM TAG")&gt;0,"Sem TAG de calibração; ","")&amp;IF('Verificação Peneiradores'!$Z$116="NÃO OK","Condições das telas; ","")&amp;IF('Verificação Peneiradores'!$Z$117="NÃO OK","Inclinação das telas; ","")&amp;IF('Verificação Peneiradores'!$Z$118="NÃO OK","Vibração do peneirador; ","")&amp;IF('Verificação Peneiradores'!$Z$119="NÃO OK","Travamento das peneiras; ","")&amp;IF('Verificação Peneiradores'!$Z$120="NÃO OK","Calibração; ","")</f>
        <v/>
      </c>
      <c r="Q768" t="s">
        <v>1139</v>
      </c>
    </row>
    <row r="769">
      <c r="A769" t="s">
        <v>816</v>
      </c>
      <c r="B769" t="s">
        <v>667</v>
      </c>
      <c r="C769" s="912" t="str">
        <f>IF(MAX('Verificação Peneiradores'!$AC$113:$AC$122)=0,"",MAX('Verificação Peneiradores'!$AC$113:$AC$122))</f>
        <v/>
      </c>
      <c r="D769" t="str">
        <f>IF('Verificação Peneiradores'!$AA$114&amp;""="","Peneirador 06",TRIM('Verificação Peneiradores'!$AA$114&amp;""))</f>
        <v>PN649</v>
      </c>
      <c r="E769" t="str">
        <f>"Malha "&amp;'Verificação Peneiradores'!$AA$113&amp;" mm ("&amp;"Peneirador 06"&amp;")"</f>
        <v>Malha 6,3 mm (Peneirador 06)</v>
      </c>
      <c r="F769" t="s">
        <v>817</v>
      </c>
      <c r="G769" t="str">
        <f>IF(COUNTA('Verificação Peneiradores'!$AA$116:$AA$120)=0,"",COUNTIF('Verificação Peneiradores'!$AA$116:$AA$120,"OK"))</f>
        <v/>
      </c>
      <c r="H769" t="str">
        <f>IF(COUNTA('Verificação Peneiradores'!$AA$116:$AA$120)=0,"",COUNTA('Verificação Peneiradores'!$AA$116:$AA$120))</f>
        <v/>
      </c>
      <c r="M769" t="str">
        <f>IF(COUNTA('Verificação Peneiradores'!$AA$116:$AA$120)=0,"",IF(COUNTIF('Verificação Peneiradores'!$AA$116:$AA$120,"NÃO OK")&gt;0,"Não conforme","Conforme"))</f>
        <v/>
      </c>
      <c r="N769" t="str">
        <f>IFERROR(TRIM(INDEX('Verificação Peneiradores'!$AE$113:$AE$122,MATCH("*",'Verificação Peneiradores'!$AE$113:$AE$122,0))),"")</f>
        <v/>
      </c>
      <c r="O769" t="str">
        <f>IFERROR(TRIM(INDEX('Verificação Peneiradores'!$AD$113:$AD$122,MATCH("*",'Verificação Peneiradores'!$AD$113:$AD$122,0))),"")</f>
        <v/>
      </c>
      <c r="P769" t="str">
        <f>IF(COUNTIF('Verificação Peneiradores'!$AA$116:$AA$120,"SEM TAG")&gt;0,"Sem TAG de calibração; ","")&amp;IF('Verificação Peneiradores'!$AA$116="NÃO OK","Condições das telas; ","")&amp;IF('Verificação Peneiradores'!$AA$117="NÃO OK","Inclinação das telas; ","")&amp;IF('Verificação Peneiradores'!$AA$118="NÃO OK","Vibração do peneirador; ","")&amp;IF('Verificação Peneiradores'!$AA$119="NÃO OK","Travamento das peneiras; ","")&amp;IF('Verificação Peneiradores'!$AA$120="NÃO OK","Calibração; ","")</f>
        <v/>
      </c>
      <c r="Q769" t="s">
        <v>1140</v>
      </c>
    </row>
    <row r="770">
      <c r="A770" t="s">
        <v>816</v>
      </c>
      <c r="B770" t="s">
        <v>667</v>
      </c>
      <c r="C770" s="912" t="str">
        <f>IF(MAX('Verificação Peneiradores'!$AC$113:$AC$122)=0,"",MAX('Verificação Peneiradores'!$AC$113:$AC$122))</f>
        <v/>
      </c>
      <c r="D770" t="str">
        <f>IF('Verificação Peneiradores'!$AB$114&amp;""="","Peneirador 06",TRIM('Verificação Peneiradores'!$AB$114&amp;""))</f>
        <v>N/CONT</v>
      </c>
      <c r="E770" t="str">
        <f>"Malha "&amp;'Verificação Peneiradores'!$AB$113&amp;" mm ("&amp;"Peneirador 06"&amp;")"</f>
        <v>Malha 10 mm (Peneirador 06)</v>
      </c>
      <c r="F770" t="s">
        <v>817</v>
      </c>
      <c r="G770" t="str">
        <f>IF(COUNTA('Verificação Peneiradores'!$AB$116:$AB$120)=0,"",COUNTIF('Verificação Peneiradores'!$AB$116:$AB$120,"OK"))</f>
        <v/>
      </c>
      <c r="H770" t="str">
        <f>IF(COUNTA('Verificação Peneiradores'!$AB$116:$AB$120)=0,"",COUNTA('Verificação Peneiradores'!$AB$116:$AB$120))</f>
        <v/>
      </c>
      <c r="M770" t="str">
        <f>IF(COUNTA('Verificação Peneiradores'!$AB$116:$AB$120)=0,"",IF(COUNTIF('Verificação Peneiradores'!$AB$116:$AB$120,"NÃO OK")&gt;0,"Não conforme","Conforme"))</f>
        <v/>
      </c>
      <c r="N770" t="str">
        <f>IFERROR(TRIM(INDEX('Verificação Peneiradores'!$AE$113:$AE$122,MATCH("*",'Verificação Peneiradores'!$AE$113:$AE$122,0))),"")</f>
        <v/>
      </c>
      <c r="O770" t="str">
        <f>IFERROR(TRIM(INDEX('Verificação Peneiradores'!$AD$113:$AD$122,MATCH("*",'Verificação Peneiradores'!$AD$113:$AD$122,0))),"")</f>
        <v/>
      </c>
      <c r="P770" t="str">
        <f>IF(COUNTIF('Verificação Peneiradores'!$AB$116:$AB$120,"SEM TAG")&gt;0,"Sem TAG de calibração; ","")&amp;IF('Verificação Peneiradores'!$AB$116="NÃO OK","Condições das telas; ","")&amp;IF('Verificação Peneiradores'!$AB$117="NÃO OK","Inclinação das telas; ","")&amp;IF('Verificação Peneiradores'!$AB$118="NÃO OK","Vibração do peneirador; ","")&amp;IF('Verificação Peneiradores'!$AB$119="NÃO OK","Travamento das peneiras; ","")&amp;IF('Verificação Peneiradores'!$AB$120="NÃO OK","Calibração; ","")</f>
        <v/>
      </c>
      <c r="Q770" t="s">
        <v>1141</v>
      </c>
    </row>
    <row r="771">
      <c r="A771" t="s">
        <v>816</v>
      </c>
      <c r="B771" t="s">
        <v>667</v>
      </c>
      <c r="C771" s="912" t="str">
        <f>IF(MAX('Verificação Peneiradores'!$AC$123:$AC$132)=0,"",MAX('Verificação Peneiradores'!$AC$123:$AC$132))</f>
        <v/>
      </c>
      <c r="D771" t="str">
        <f>IF('Verificação Peneiradores'!$B$124&amp;""="","Circulares",TRIM('Verificação Peneiradores'!$B$124&amp;""))</f>
        <v>PN0423</v>
      </c>
      <c r="E771" t="str">
        <f>"Malha "&amp;'Verificação Peneiradores'!$B$123&amp;" mm ("&amp;"Circulares"&amp;")"</f>
        <v>Malha 19 mm (Circulares)</v>
      </c>
      <c r="F771" t="s">
        <v>817</v>
      </c>
      <c r="G771" t="str">
        <f>IF(COUNTA('Verificação Peneiradores'!$B$126:$B$130)=0,"",COUNTIF('Verificação Peneiradores'!$B$126:$B$130,"OK"))</f>
        <v/>
      </c>
      <c r="H771" t="str">
        <f>IF(COUNTA('Verificação Peneiradores'!$B$126:$B$130)=0,"",COUNTA('Verificação Peneiradores'!$B$126:$B$130))</f>
        <v/>
      </c>
      <c r="M771" t="str">
        <f>IF(COUNTA('Verificação Peneiradores'!$B$126:$B$130)=0,"",IF(COUNTIF('Verificação Peneiradores'!$B$126:$B$130,"NÃO OK")&gt;0,"Não conforme","Conforme"))</f>
        <v/>
      </c>
      <c r="N771" t="str">
        <f>IFERROR(TRIM(INDEX('Verificação Peneiradores'!$AE$123:$AE$132,MATCH("*",'Verificação Peneiradores'!$AE$123:$AE$132,0))),"")</f>
        <v/>
      </c>
      <c r="O771" t="str">
        <f>IFERROR(TRIM(INDEX('Verificação Peneiradores'!$AD$123:$AD$132,MATCH("*",'Verificação Peneiradores'!$AD$123:$AD$132,0))),"")</f>
        <v/>
      </c>
      <c r="P771" t="str">
        <f>IF(COUNTIF('Verificação Peneiradores'!$B$126:$B$130,"SEM TAG")&gt;0,"Sem TAG de calibração; ","")&amp;IF('Verificação Peneiradores'!$B$126="NÃO OK","Condições das telas; ","")&amp;IF('Verificação Peneiradores'!$B$127="NÃO OK","Inclinação das telas; ","")&amp;IF('Verificação Peneiradores'!$B$128="NÃO OK","Vibração do peneirador; ","")&amp;IF('Verificação Peneiradores'!$B$129="NÃO OK","Travamento das peneiras; ","")&amp;IF('Verificação Peneiradores'!$B$130="NÃO OK","Calibração; ","")</f>
        <v/>
      </c>
      <c r="Q771" t="s">
        <v>1142</v>
      </c>
    </row>
    <row r="772">
      <c r="A772" t="s">
        <v>816</v>
      </c>
      <c r="B772" t="s">
        <v>667</v>
      </c>
      <c r="C772" s="912" t="str">
        <f>IF(MAX('Verificação Peneiradores'!$AC$123:$AC$132)=0,"",MAX('Verificação Peneiradores'!$AC$123:$AC$132))</f>
        <v/>
      </c>
      <c r="D772" t="str">
        <f>IF('Verificação Peneiradores'!$C$124&amp;""="","Circulares",TRIM('Verificação Peneiradores'!$C$124&amp;""))</f>
        <v>PN0482</v>
      </c>
      <c r="E772" t="str">
        <f>"Malha "&amp;'Verificação Peneiradores'!$C$123&amp;" mm ("&amp;"Circulares"&amp;")"</f>
        <v>Malha 16 mm (Circulares)</v>
      </c>
      <c r="F772" t="s">
        <v>817</v>
      </c>
      <c r="G772" t="str">
        <f>IF(COUNTA('Verificação Peneiradores'!$C$126:$C$130)=0,"",COUNTIF('Verificação Peneiradores'!$C$126:$C$130,"OK"))</f>
        <v/>
      </c>
      <c r="H772" t="str">
        <f>IF(COUNTA('Verificação Peneiradores'!$C$126:$C$130)=0,"",COUNTA('Verificação Peneiradores'!$C$126:$C$130))</f>
        <v/>
      </c>
      <c r="M772" t="str">
        <f>IF(COUNTA('Verificação Peneiradores'!$C$126:$C$130)=0,"",IF(COUNTIF('Verificação Peneiradores'!$C$126:$C$130,"NÃO OK")&gt;0,"Não conforme","Conforme"))</f>
        <v/>
      </c>
      <c r="N772" t="str">
        <f>IFERROR(TRIM(INDEX('Verificação Peneiradores'!$AE$123:$AE$132,MATCH("*",'Verificação Peneiradores'!$AE$123:$AE$132,0))),"")</f>
        <v/>
      </c>
      <c r="O772" t="str">
        <f>IFERROR(TRIM(INDEX('Verificação Peneiradores'!$AD$123:$AD$132,MATCH("*",'Verificação Peneiradores'!$AD$123:$AD$132,0))),"")</f>
        <v/>
      </c>
      <c r="P772" t="str">
        <f>IF(COUNTIF('Verificação Peneiradores'!$C$126:$C$130,"SEM TAG")&gt;0,"Sem TAG de calibração; ","")&amp;IF('Verificação Peneiradores'!$C$126="NÃO OK","Condições das telas; ","")&amp;IF('Verificação Peneiradores'!$C$127="NÃO OK","Inclinação das telas; ","")&amp;IF('Verificação Peneiradores'!$C$128="NÃO OK","Vibração do peneirador; ","")&amp;IF('Verificação Peneiradores'!$C$129="NÃO OK","Travamento das peneiras; ","")&amp;IF('Verificação Peneiradores'!$C$130="NÃO OK","Calibração; ","")</f>
        <v/>
      </c>
      <c r="Q772" t="s">
        <v>1143</v>
      </c>
    </row>
    <row r="773">
      <c r="A773" t="s">
        <v>816</v>
      </c>
      <c r="B773" t="s">
        <v>667</v>
      </c>
      <c r="C773" s="912" t="str">
        <f>IF(MAX('Verificação Peneiradores'!$AC$123:$AC$132)=0,"",MAX('Verificação Peneiradores'!$AC$123:$AC$132))</f>
        <v/>
      </c>
      <c r="D773" t="str">
        <f>IF('Verificação Peneiradores'!$D$124&amp;""="","Circulares",TRIM('Verificação Peneiradores'!$D$124&amp;""))</f>
        <v>PN 614</v>
      </c>
      <c r="E773" t="str">
        <f>"Malha "&amp;'Verificação Peneiradores'!$D$123&amp;" mm ("&amp;"Circulares"&amp;")"</f>
        <v>Malha 12,5 mm (Circulares)</v>
      </c>
      <c r="F773" t="s">
        <v>817</v>
      </c>
      <c r="G773" t="str">
        <f>IF(COUNTA('Verificação Peneiradores'!$D$126:$D$130)=0,"",COUNTIF('Verificação Peneiradores'!$D$126:$D$130,"OK"))</f>
        <v/>
      </c>
      <c r="H773" t="str">
        <f>IF(COUNTA('Verificação Peneiradores'!$D$126:$D$130)=0,"",COUNTA('Verificação Peneiradores'!$D$126:$D$130))</f>
        <v/>
      </c>
      <c r="M773" t="str">
        <f>IF(COUNTA('Verificação Peneiradores'!$D$126:$D$130)=0,"",IF(COUNTIF('Verificação Peneiradores'!$D$126:$D$130,"NÃO OK")&gt;0,"Não conforme","Conforme"))</f>
        <v/>
      </c>
      <c r="N773" t="str">
        <f>IFERROR(TRIM(INDEX('Verificação Peneiradores'!$AE$123:$AE$132,MATCH("*",'Verificação Peneiradores'!$AE$123:$AE$132,0))),"")</f>
        <v/>
      </c>
      <c r="O773" t="str">
        <f>IFERROR(TRIM(INDEX('Verificação Peneiradores'!$AD$123:$AD$132,MATCH("*",'Verificação Peneiradores'!$AD$123:$AD$132,0))),"")</f>
        <v/>
      </c>
      <c r="P773" t="str">
        <f>IF(COUNTIF('Verificação Peneiradores'!$D$126:$D$130,"SEM TAG")&gt;0,"Sem TAG de calibração; ","")&amp;IF('Verificação Peneiradores'!$D$126="NÃO OK","Condições das telas; ","")&amp;IF('Verificação Peneiradores'!$D$127="NÃO OK","Inclinação das telas; ","")&amp;IF('Verificação Peneiradores'!$D$128="NÃO OK","Vibração do peneirador; ","")&amp;IF('Verificação Peneiradores'!$D$129="NÃO OK","Travamento das peneiras; ","")&amp;IF('Verificação Peneiradores'!$D$130="NÃO OK","Calibração; ","")</f>
        <v/>
      </c>
      <c r="Q773" t="s">
        <v>1144</v>
      </c>
    </row>
    <row r="774">
      <c r="A774" t="s">
        <v>816</v>
      </c>
      <c r="B774" t="s">
        <v>667</v>
      </c>
      <c r="C774" s="912" t="str">
        <f>IF(MAX('Verificação Peneiradores'!$AC$123:$AC$132)=0,"",MAX('Verificação Peneiradores'!$AC$123:$AC$132))</f>
        <v/>
      </c>
      <c r="D774" t="str">
        <f>IF('Verificação Peneiradores'!$E$124&amp;""="","Circulares",TRIM('Verificação Peneiradores'!$E$124&amp;""))</f>
        <v>PN 303</v>
      </c>
      <c r="E774" t="str">
        <f>"Malha "&amp;'Verificação Peneiradores'!$E$123&amp;" mm ("&amp;"Circulares"&amp;")"</f>
        <v>Malha 10 mm (Circulares)</v>
      </c>
      <c r="F774" t="s">
        <v>817</v>
      </c>
      <c r="G774" t="str">
        <f>IF(COUNTA('Verificação Peneiradores'!$E$126:$E$130)=0,"",COUNTIF('Verificação Peneiradores'!$E$126:$E$130,"OK"))</f>
        <v/>
      </c>
      <c r="H774" t="str">
        <f>IF(COUNTA('Verificação Peneiradores'!$E$126:$E$130)=0,"",COUNTA('Verificação Peneiradores'!$E$126:$E$130))</f>
        <v/>
      </c>
      <c r="M774" t="str">
        <f>IF(COUNTA('Verificação Peneiradores'!$E$126:$E$130)=0,"",IF(COUNTIF('Verificação Peneiradores'!$E$126:$E$130,"NÃO OK")&gt;0,"Não conforme","Conforme"))</f>
        <v/>
      </c>
      <c r="N774" t="str">
        <f>IFERROR(TRIM(INDEX('Verificação Peneiradores'!$AE$123:$AE$132,MATCH("*",'Verificação Peneiradores'!$AE$123:$AE$132,0))),"")</f>
        <v/>
      </c>
      <c r="O774" t="str">
        <f>IFERROR(TRIM(INDEX('Verificação Peneiradores'!$AD$123:$AD$132,MATCH("*",'Verificação Peneiradores'!$AD$123:$AD$132,0))),"")</f>
        <v/>
      </c>
      <c r="P774" t="str">
        <f>IF(COUNTIF('Verificação Peneiradores'!$E$126:$E$130,"SEM TAG")&gt;0,"Sem TAG de calibração; ","")&amp;IF('Verificação Peneiradores'!$E$126="NÃO OK","Condições das telas; ","")&amp;IF('Verificação Peneiradores'!$E$127="NÃO OK","Inclinação das telas; ","")&amp;IF('Verificação Peneiradores'!$E$128="NÃO OK","Vibração do peneirador; ","")&amp;IF('Verificação Peneiradores'!$E$129="NÃO OK","Travamento das peneiras; ","")&amp;IF('Verificação Peneiradores'!$E$130="NÃO OK","Calibração; ","")</f>
        <v/>
      </c>
      <c r="Q774" t="s">
        <v>1145</v>
      </c>
    </row>
    <row r="775">
      <c r="A775" t="s">
        <v>816</v>
      </c>
      <c r="B775" t="s">
        <v>667</v>
      </c>
      <c r="C775" s="912" t="str">
        <f>IF(MAX('Verificação Peneiradores'!$AC$123:$AC$132)=0,"",MAX('Verificação Peneiradores'!$AC$123:$AC$132))</f>
        <v/>
      </c>
      <c r="D775" t="str">
        <f>IF('Verificação Peneiradores'!$F$124&amp;""="","Circulares",TRIM('Verificação Peneiradores'!$F$124&amp;""))</f>
        <v>PN431</v>
      </c>
      <c r="E775" t="str">
        <f>"Malha "&amp;'Verificação Peneiradores'!$F$123&amp;" mm ("&amp;"Circulares"&amp;")"</f>
        <v>Malha 9 mm (Circulares)</v>
      </c>
      <c r="F775" t="s">
        <v>817</v>
      </c>
      <c r="G775" t="str">
        <f>IF(COUNTA('Verificação Peneiradores'!$F$126:$F$130)=0,"",COUNTIF('Verificação Peneiradores'!$F$126:$F$130,"OK"))</f>
        <v/>
      </c>
      <c r="H775" t="str">
        <f>IF(COUNTA('Verificação Peneiradores'!$F$126:$F$130)=0,"",COUNTA('Verificação Peneiradores'!$F$126:$F$130))</f>
        <v/>
      </c>
      <c r="M775" t="str">
        <f>IF(COUNTA('Verificação Peneiradores'!$F$126:$F$130)=0,"",IF(COUNTIF('Verificação Peneiradores'!$F$126:$F$130,"NÃO OK")&gt;0,"Não conforme","Conforme"))</f>
        <v/>
      </c>
      <c r="N775" t="str">
        <f>IFERROR(TRIM(INDEX('Verificação Peneiradores'!$AE$123:$AE$132,MATCH("*",'Verificação Peneiradores'!$AE$123:$AE$132,0))),"")</f>
        <v/>
      </c>
      <c r="O775" t="str">
        <f>IFERROR(TRIM(INDEX('Verificação Peneiradores'!$AD$123:$AD$132,MATCH("*",'Verificação Peneiradores'!$AD$123:$AD$132,0))),"")</f>
        <v/>
      </c>
      <c r="P775" t="str">
        <f>IF(COUNTIF('Verificação Peneiradores'!$F$126:$F$130,"SEM TAG")&gt;0,"Sem TAG de calibração; ","")&amp;IF('Verificação Peneiradores'!$F$126="NÃO OK","Condições das telas; ","")&amp;IF('Verificação Peneiradores'!$F$127="NÃO OK","Inclinação das telas; ","")&amp;IF('Verificação Peneiradores'!$F$128="NÃO OK","Vibração do peneirador; ","")&amp;IF('Verificação Peneiradores'!$F$129="NÃO OK","Travamento das peneiras; ","")&amp;IF('Verificação Peneiradores'!$F$130="NÃO OK","Calibração; ","")</f>
        <v/>
      </c>
      <c r="Q775" t="s">
        <v>1146</v>
      </c>
    </row>
    <row r="776">
      <c r="A776" t="s">
        <v>816</v>
      </c>
      <c r="B776" t="s">
        <v>667</v>
      </c>
      <c r="C776" s="912" t="str">
        <f>IF(MAX('Verificação Peneiradores'!$AC$123:$AC$132)=0,"",MAX('Verificação Peneiradores'!$AC$123:$AC$132))</f>
        <v/>
      </c>
      <c r="D776" t="str">
        <f>IF('Verificação Peneiradores'!$G$124&amp;""="","Circulares",TRIM('Verificação Peneiradores'!$G$124&amp;""))</f>
        <v>PN432</v>
      </c>
      <c r="E776" t="str">
        <f>"Malha "&amp;'Verificação Peneiradores'!$G$123&amp;" mm ("&amp;"Circulares"&amp;")"</f>
        <v>Malha 8 mm (Circulares)</v>
      </c>
      <c r="F776" t="s">
        <v>817</v>
      </c>
      <c r="G776" t="str">
        <f>IF(COUNTA('Verificação Peneiradores'!$G$126:$G$130)=0,"",COUNTIF('Verificação Peneiradores'!$G$126:$G$130,"OK"))</f>
        <v/>
      </c>
      <c r="H776" t="str">
        <f>IF(COUNTA('Verificação Peneiradores'!$G$126:$G$130)=0,"",COUNTA('Verificação Peneiradores'!$G$126:$G$130))</f>
        <v/>
      </c>
      <c r="M776" t="str">
        <f>IF(COUNTA('Verificação Peneiradores'!$G$126:$G$130)=0,"",IF(COUNTIF('Verificação Peneiradores'!$G$126:$G$130,"NÃO OK")&gt;0,"Não conforme","Conforme"))</f>
        <v/>
      </c>
      <c r="N776" t="str">
        <f>IFERROR(TRIM(INDEX('Verificação Peneiradores'!$AE$123:$AE$132,MATCH("*",'Verificação Peneiradores'!$AE$123:$AE$132,0))),"")</f>
        <v/>
      </c>
      <c r="O776" t="str">
        <f>IFERROR(TRIM(INDEX('Verificação Peneiradores'!$AD$123:$AD$132,MATCH("*",'Verificação Peneiradores'!$AD$123:$AD$132,0))),"")</f>
        <v/>
      </c>
      <c r="P776" t="str">
        <f>IF(COUNTIF('Verificação Peneiradores'!$G$126:$G$130,"SEM TAG")&gt;0,"Sem TAG de calibração; ","")&amp;IF('Verificação Peneiradores'!$G$126="NÃO OK","Condições das telas; ","")&amp;IF('Verificação Peneiradores'!$G$127="NÃO OK","Inclinação das telas; ","")&amp;IF('Verificação Peneiradores'!$G$128="NÃO OK","Vibração do peneirador; ","")&amp;IF('Verificação Peneiradores'!$G$129="NÃO OK","Travamento das peneiras; ","")&amp;IF('Verificação Peneiradores'!$G$130="NÃO OK","Calibração; ","")</f>
        <v/>
      </c>
      <c r="Q776" t="s">
        <v>1147</v>
      </c>
    </row>
    <row r="777">
      <c r="A777" t="s">
        <v>816</v>
      </c>
      <c r="B777" t="s">
        <v>667</v>
      </c>
      <c r="C777" s="912" t="str">
        <f>IF(MAX('Verificação Peneiradores'!$AC$123:$AC$132)=0,"",MAX('Verificação Peneiradores'!$AC$123:$AC$132))</f>
        <v/>
      </c>
      <c r="D777" t="str">
        <f>IF('Verificação Peneiradores'!$H$124&amp;""="","Circulares",TRIM('Verificação Peneiradores'!$H$124&amp;""))</f>
        <v>PN0430</v>
      </c>
      <c r="E777" t="str">
        <f>"Malha "&amp;'Verificação Peneiradores'!$H$123&amp;" mm ("&amp;"Circulares"&amp;")"</f>
        <v>Malha 6,3 mm (Circulares)</v>
      </c>
      <c r="F777" t="s">
        <v>817</v>
      </c>
      <c r="G777" t="str">
        <f>IF(COUNTA('Verificação Peneiradores'!$H$126:$H$130)=0,"",COUNTIF('Verificação Peneiradores'!$H$126:$H$130,"OK"))</f>
        <v/>
      </c>
      <c r="H777" t="str">
        <f>IF(COUNTA('Verificação Peneiradores'!$H$126:$H$130)=0,"",COUNTA('Verificação Peneiradores'!$H$126:$H$130))</f>
        <v/>
      </c>
      <c r="M777" t="str">
        <f>IF(COUNTA('Verificação Peneiradores'!$H$126:$H$130)=0,"",IF(COUNTIF('Verificação Peneiradores'!$H$126:$H$130,"NÃO OK")&gt;0,"Não conforme","Conforme"))</f>
        <v/>
      </c>
      <c r="N777" t="str">
        <f>IFERROR(TRIM(INDEX('Verificação Peneiradores'!$AE$123:$AE$132,MATCH("*",'Verificação Peneiradores'!$AE$123:$AE$132,0))),"")</f>
        <v/>
      </c>
      <c r="O777" t="str">
        <f>IFERROR(TRIM(INDEX('Verificação Peneiradores'!$AD$123:$AD$132,MATCH("*",'Verificação Peneiradores'!$AD$123:$AD$132,0))),"")</f>
        <v/>
      </c>
      <c r="P777" t="str">
        <f>IF(COUNTIF('Verificação Peneiradores'!$H$126:$H$130,"SEM TAG")&gt;0,"Sem TAG de calibração; ","")&amp;IF('Verificação Peneiradores'!$H$126="NÃO OK","Condições das telas; ","")&amp;IF('Verificação Peneiradores'!$H$127="NÃO OK","Inclinação das telas; ","")&amp;IF('Verificação Peneiradores'!$H$128="NÃO OK","Vibração do peneirador; ","")&amp;IF('Verificação Peneiradores'!$H$129="NÃO OK","Travamento das peneiras; ","")&amp;IF('Verificação Peneiradores'!$H$130="NÃO OK","Calibração; ","")</f>
        <v/>
      </c>
      <c r="Q777" t="s">
        <v>1148</v>
      </c>
    </row>
    <row r="778">
      <c r="A778" t="s">
        <v>816</v>
      </c>
      <c r="B778" t="s">
        <v>667</v>
      </c>
      <c r="C778" s="912" t="str">
        <f>IF(MAX('Verificação Peneiradores'!$AC$123:$AC$132)=0,"",MAX('Verificação Peneiradores'!$AC$123:$AC$132))</f>
        <v/>
      </c>
      <c r="D778" t="str">
        <f>IF('Verificação Peneiradores'!$I$124&amp;""="","Circulares",TRIM('Verificação Peneiradores'!$I$124&amp;""))</f>
        <v>PN0425</v>
      </c>
      <c r="E778" t="str">
        <f>"Malha "&amp;'Verificação Peneiradores'!$I$123&amp;" mm ("&amp;"Circulares"&amp;")"</f>
        <v>Malha 5 mm (Circulares)</v>
      </c>
      <c r="F778" t="s">
        <v>817</v>
      </c>
      <c r="G778" t="str">
        <f>IF(COUNTA('Verificação Peneiradores'!$I$126:$I$130)=0,"",COUNTIF('Verificação Peneiradores'!$I$126:$I$130,"OK"))</f>
        <v/>
      </c>
      <c r="H778" t="str">
        <f>IF(COUNTA('Verificação Peneiradores'!$I$126:$I$130)=0,"",COUNTA('Verificação Peneiradores'!$I$126:$I$130))</f>
        <v/>
      </c>
      <c r="M778" t="str">
        <f>IF(COUNTA('Verificação Peneiradores'!$I$126:$I$130)=0,"",IF(COUNTIF('Verificação Peneiradores'!$I$126:$I$130,"NÃO OK")&gt;0,"Não conforme","Conforme"))</f>
        <v/>
      </c>
      <c r="N778" t="str">
        <f>IFERROR(TRIM(INDEX('Verificação Peneiradores'!$AE$123:$AE$132,MATCH("*",'Verificação Peneiradores'!$AE$123:$AE$132,0))),"")</f>
        <v/>
      </c>
      <c r="O778" t="str">
        <f>IFERROR(TRIM(INDEX('Verificação Peneiradores'!$AD$123:$AD$132,MATCH("*",'Verificação Peneiradores'!$AD$123:$AD$132,0))),"")</f>
        <v/>
      </c>
      <c r="P778" t="str">
        <f>IF(COUNTIF('Verificação Peneiradores'!$I$126:$I$130,"SEM TAG")&gt;0,"Sem TAG de calibração; ","")&amp;IF('Verificação Peneiradores'!$I$126="NÃO OK","Condições das telas; ","")&amp;IF('Verificação Peneiradores'!$I$127="NÃO OK","Inclinação das telas; ","")&amp;IF('Verificação Peneiradores'!$I$128="NÃO OK","Vibração do peneirador; ","")&amp;IF('Verificação Peneiradores'!$I$129="NÃO OK","Travamento das peneiras; ","")&amp;IF('Verificação Peneiradores'!$I$130="NÃO OK","Calibração; ","")</f>
        <v/>
      </c>
      <c r="Q778" t="s">
        <v>1149</v>
      </c>
    </row>
    <row r="779">
      <c r="A779" t="s">
        <v>816</v>
      </c>
      <c r="B779" t="s">
        <v>667</v>
      </c>
      <c r="C779" s="912" t="str">
        <f>IF(MAX('Verificação Peneiradores'!$AC$123:$AC$132)=0,"",MAX('Verificação Peneiradores'!$AC$123:$AC$132))</f>
        <v/>
      </c>
      <c r="D779" t="str">
        <f>IF('Verificação Peneiradores'!$J$124&amp;""="","Circulares",TRIM('Verificação Peneiradores'!$J$124&amp;""))</f>
        <v>PN0,46</v>
      </c>
      <c r="E779" t="str">
        <f>"Malha "&amp;'Verificação Peneiradores'!$J$123&amp;" mm ("&amp;"Circulares"&amp;")"</f>
        <v>Malha 3,15 mm (Circulares)</v>
      </c>
      <c r="F779" t="s">
        <v>817</v>
      </c>
      <c r="G779" t="str">
        <f>IF(COUNTA('Verificação Peneiradores'!$J$126:$J$130)=0,"",COUNTIF('Verificação Peneiradores'!$J$126:$J$130,"OK"))</f>
        <v/>
      </c>
      <c r="H779" t="str">
        <f>IF(COUNTA('Verificação Peneiradores'!$J$126:$J$130)=0,"",COUNTA('Verificação Peneiradores'!$J$126:$J$130))</f>
        <v/>
      </c>
      <c r="M779" t="str">
        <f>IF(COUNTA('Verificação Peneiradores'!$J$126:$J$130)=0,"",IF(COUNTIF('Verificação Peneiradores'!$J$126:$J$130,"NÃO OK")&gt;0,"Não conforme","Conforme"))</f>
        <v/>
      </c>
      <c r="N779" t="str">
        <f>IFERROR(TRIM(INDEX('Verificação Peneiradores'!$AE$123:$AE$132,MATCH("*",'Verificação Peneiradores'!$AE$123:$AE$132,0))),"")</f>
        <v/>
      </c>
      <c r="O779" t="str">
        <f>IFERROR(TRIM(INDEX('Verificação Peneiradores'!$AD$123:$AD$132,MATCH("*",'Verificação Peneiradores'!$AD$123:$AD$132,0))),"")</f>
        <v/>
      </c>
      <c r="P779" t="str">
        <f>IF(COUNTIF('Verificação Peneiradores'!$J$126:$J$130,"SEM TAG")&gt;0,"Sem TAG de calibração; ","")&amp;IF('Verificação Peneiradores'!$J$126="NÃO OK","Condições das telas; ","")&amp;IF('Verificação Peneiradores'!$J$127="NÃO OK","Inclinação das telas; ","")&amp;IF('Verificação Peneiradores'!$J$128="NÃO OK","Vibração do peneirador; ","")&amp;IF('Verificação Peneiradores'!$J$129="NÃO OK","Travamento das peneiras; ","")&amp;IF('Verificação Peneiradores'!$J$130="NÃO OK","Calibração; ","")</f>
        <v/>
      </c>
      <c r="Q779" t="s">
        <v>1150</v>
      </c>
    </row>
    <row r="780">
      <c r="A780" t="s">
        <v>816</v>
      </c>
      <c r="B780" t="s">
        <v>667</v>
      </c>
      <c r="C780" s="912" t="str">
        <f>IF(MAX('Verificação Peneiradores'!$AC$123:$AC$132)=0,"",MAX('Verificação Peneiradores'!$AC$123:$AC$132))</f>
        <v/>
      </c>
      <c r="D780" t="str">
        <f>IF('Verificação Peneiradores'!$K$124&amp;""="","Circulares",TRIM('Verificação Peneiradores'!$K$124&amp;""))</f>
        <v>PN0500</v>
      </c>
      <c r="E780" t="str">
        <f>"Malha "&amp;'Verificação Peneiradores'!$K$123&amp;" mm ("&amp;"Circulares"&amp;")"</f>
        <v>Malha 0,5 mm (Circulares)</v>
      </c>
      <c r="F780" t="s">
        <v>817</v>
      </c>
      <c r="G780" t="str">
        <f>IF(COUNTA('Verificação Peneiradores'!$K$126:$K$130)=0,"",COUNTIF('Verificação Peneiradores'!$K$126:$K$130,"OK"))</f>
        <v/>
      </c>
      <c r="H780" t="str">
        <f>IF(COUNTA('Verificação Peneiradores'!$K$126:$K$130)=0,"",COUNTA('Verificação Peneiradores'!$K$126:$K$130))</f>
        <v/>
      </c>
      <c r="M780" t="str">
        <f>IF(COUNTA('Verificação Peneiradores'!$K$126:$K$130)=0,"",IF(COUNTIF('Verificação Peneiradores'!$K$126:$K$130,"NÃO OK")&gt;0,"Não conforme","Conforme"))</f>
        <v/>
      </c>
      <c r="N780" t="str">
        <f>IFERROR(TRIM(INDEX('Verificação Peneiradores'!$AE$123:$AE$132,MATCH("*",'Verificação Peneiradores'!$AE$123:$AE$132,0))),"")</f>
        <v/>
      </c>
      <c r="O780" t="str">
        <f>IFERROR(TRIM(INDEX('Verificação Peneiradores'!$AD$123:$AD$132,MATCH("*",'Verificação Peneiradores'!$AD$123:$AD$132,0))),"")</f>
        <v/>
      </c>
      <c r="P780" t="str">
        <f>IF(COUNTIF('Verificação Peneiradores'!$K$126:$K$130,"SEM TAG")&gt;0,"Sem TAG de calibração; ","")&amp;IF('Verificação Peneiradores'!$K$126="NÃO OK","Condições das telas; ","")&amp;IF('Verificação Peneiradores'!$K$127="NÃO OK","Inclinação das telas; ","")&amp;IF('Verificação Peneiradores'!$K$128="NÃO OK","Vibração do peneirador; ","")&amp;IF('Verificação Peneiradores'!$K$129="NÃO OK","Travamento das peneiras; ","")&amp;IF('Verificação Peneiradores'!$K$130="NÃO OK","Calibração; ","")</f>
        <v/>
      </c>
      <c r="Q780" t="s">
        <v>1151</v>
      </c>
    </row>
    <row r="781">
      <c r="A781" t="s">
        <v>816</v>
      </c>
      <c r="B781" t="s">
        <v>667</v>
      </c>
      <c r="C781" s="912" t="str">
        <f>IF(MAX('Verificação Peneiradores'!$AC$123:$AC$132)=0,"",MAX('Verificação Peneiradores'!$AC$123:$AC$132))</f>
        <v/>
      </c>
      <c r="D781" t="str">
        <f>IF('Verificação Peneiradores'!$L$124&amp;""="","Circulares",TRIM('Verificação Peneiradores'!$L$124&amp;""))</f>
        <v>PN0501</v>
      </c>
      <c r="E781" t="str">
        <f>"Malha "&amp;'Verificação Peneiradores'!$L$123&amp;" mm ("&amp;"Circulares"&amp;")"</f>
        <v>Malha 0,5 mm (Circulares)</v>
      </c>
      <c r="F781" t="s">
        <v>817</v>
      </c>
      <c r="G781" t="str">
        <f>IF(COUNTA('Verificação Peneiradores'!$L$126:$L$130)=0,"",COUNTIF('Verificação Peneiradores'!$L$126:$L$130,"OK"))</f>
        <v/>
      </c>
      <c r="H781" t="str">
        <f>IF(COUNTA('Verificação Peneiradores'!$L$126:$L$130)=0,"",COUNTA('Verificação Peneiradores'!$L$126:$L$130))</f>
        <v/>
      </c>
      <c r="M781" t="str">
        <f>IF(COUNTA('Verificação Peneiradores'!$L$126:$L$130)=0,"",IF(COUNTIF('Verificação Peneiradores'!$L$126:$L$130,"NÃO OK")&gt;0,"Não conforme","Conforme"))</f>
        <v/>
      </c>
      <c r="N781" t="str">
        <f>IFERROR(TRIM(INDEX('Verificação Peneiradores'!$AE$123:$AE$132,MATCH("*",'Verificação Peneiradores'!$AE$123:$AE$132,0))),"")</f>
        <v/>
      </c>
      <c r="O781" t="str">
        <f>IFERROR(TRIM(INDEX('Verificação Peneiradores'!$AD$123:$AD$132,MATCH("*",'Verificação Peneiradores'!$AD$123:$AD$132,0))),"")</f>
        <v/>
      </c>
      <c r="P781" t="str">
        <f>IF(COUNTIF('Verificação Peneiradores'!$L$126:$L$130,"SEM TAG")&gt;0,"Sem TAG de calibração; ","")&amp;IF('Verificação Peneiradores'!$L$126="NÃO OK","Condições das telas; ","")&amp;IF('Verificação Peneiradores'!$L$127="NÃO OK","Inclinação das telas; ","")&amp;IF('Verificação Peneiradores'!$L$128="NÃO OK","Vibração do peneirador; ","")&amp;IF('Verificação Peneiradores'!$L$129="NÃO OK","Travamento das peneiras; ","")&amp;IF('Verificação Peneiradores'!$L$130="NÃO OK","Calibração; ","")</f>
        <v/>
      </c>
      <c r="Q781" t="s">
        <v>1152</v>
      </c>
    </row>
    <row r="782">
      <c r="A782" t="s">
        <v>816</v>
      </c>
      <c r="B782" t="s">
        <v>667</v>
      </c>
      <c r="C782" s="912" t="str">
        <f>IF(MAX('Verificação Peneiradores'!$AC$123:$AC$132)=0,"",MAX('Verificação Peneiradores'!$AC$123:$AC$132))</f>
        <v/>
      </c>
      <c r="D782" t="str">
        <f>IF('Verificação Peneiradores'!$M$124&amp;""="","Peneirador 09",TRIM('Verificação Peneiradores'!$M$124&amp;""))</f>
        <v>Peneirador 09</v>
      </c>
      <c r="E782" t="str">
        <f>"Malha "&amp;'Verificação Peneiradores'!$M$123&amp;" mm ("&amp;"Peneirador 09"&amp;")"</f>
        <v>Malha 19 mm (Peneirador 09)</v>
      </c>
      <c r="F782" t="s">
        <v>817</v>
      </c>
      <c r="G782" t="str">
        <f>IF(COUNTA('Verificação Peneiradores'!$M$126:$M$130)=0,"",COUNTIF('Verificação Peneiradores'!$M$126:$M$130,"OK"))</f>
        <v/>
      </c>
      <c r="H782" t="str">
        <f>IF(COUNTA('Verificação Peneiradores'!$M$126:$M$130)=0,"",COUNTA('Verificação Peneiradores'!$M$126:$M$130))</f>
        <v/>
      </c>
      <c r="M782" t="str">
        <f>IF(COUNTA('Verificação Peneiradores'!$M$126:$M$130)=0,"",IF(COUNTIF('Verificação Peneiradores'!$M$126:$M$130,"NÃO OK")&gt;0,"Não conforme","Conforme"))</f>
        <v/>
      </c>
      <c r="N782" t="str">
        <f>IFERROR(TRIM(INDEX('Verificação Peneiradores'!$AE$123:$AE$132,MATCH("*",'Verificação Peneiradores'!$AE$123:$AE$132,0))),"")</f>
        <v/>
      </c>
      <c r="O782" t="str">
        <f>IFERROR(TRIM(INDEX('Verificação Peneiradores'!$AD$123:$AD$132,MATCH("*",'Verificação Peneiradores'!$AD$123:$AD$132,0))),"")</f>
        <v/>
      </c>
      <c r="P782" t="str">
        <f>IF(COUNTIF('Verificação Peneiradores'!$M$126:$M$130,"SEM TAG")&gt;0,"Sem TAG de calibração; ","")&amp;IF('Verificação Peneiradores'!$M$126="NÃO OK","Condições das telas; ","")&amp;IF('Verificação Peneiradores'!$M$127="NÃO OK","Inclinação das telas; ","")&amp;IF('Verificação Peneiradores'!$M$128="NÃO OK","Vibração do peneirador; ","")&amp;IF('Verificação Peneiradores'!$M$129="NÃO OK","Travamento das peneiras; ","")&amp;IF('Verificação Peneiradores'!$M$130="NÃO OK","Calibração; ","")</f>
        <v/>
      </c>
      <c r="Q782" t="s">
        <v>1153</v>
      </c>
    </row>
    <row r="783">
      <c r="A783" t="s">
        <v>816</v>
      </c>
      <c r="B783" t="s">
        <v>667</v>
      </c>
      <c r="C783" s="912" t="str">
        <f>IF(MAX('Verificação Peneiradores'!$AC$123:$AC$132)=0,"",MAX('Verificação Peneiradores'!$AC$123:$AC$132))</f>
        <v/>
      </c>
      <c r="D783" t="str">
        <f>IF('Verificação Peneiradores'!$N$124&amp;""="","Peneirador 09",TRIM('Verificação Peneiradores'!$N$124&amp;""))</f>
        <v>Peneirador 09</v>
      </c>
      <c r="E783" t="str">
        <f>"Malha "&amp;'Verificação Peneiradores'!$N$123&amp;" mm ("&amp;"Peneirador 09"&amp;")"</f>
        <v>Malha 16 mm (Peneirador 09)</v>
      </c>
      <c r="F783" t="s">
        <v>817</v>
      </c>
      <c r="G783" t="str">
        <f>IF(COUNTA('Verificação Peneiradores'!$N$126:$N$130)=0,"",COUNTIF('Verificação Peneiradores'!$N$126:$N$130,"OK"))</f>
        <v/>
      </c>
      <c r="H783" t="str">
        <f>IF(COUNTA('Verificação Peneiradores'!$N$126:$N$130)=0,"",COUNTA('Verificação Peneiradores'!$N$126:$N$130))</f>
        <v/>
      </c>
      <c r="M783" t="str">
        <f>IF(COUNTA('Verificação Peneiradores'!$N$126:$N$130)=0,"",IF(COUNTIF('Verificação Peneiradores'!$N$126:$N$130,"NÃO OK")&gt;0,"Não conforme","Conforme"))</f>
        <v/>
      </c>
      <c r="N783" t="str">
        <f>IFERROR(TRIM(INDEX('Verificação Peneiradores'!$AE$123:$AE$132,MATCH("*",'Verificação Peneiradores'!$AE$123:$AE$132,0))),"")</f>
        <v/>
      </c>
      <c r="O783" t="str">
        <f>IFERROR(TRIM(INDEX('Verificação Peneiradores'!$AD$123:$AD$132,MATCH("*",'Verificação Peneiradores'!$AD$123:$AD$132,0))),"")</f>
        <v/>
      </c>
      <c r="P783" t="str">
        <f>IF(COUNTIF('Verificação Peneiradores'!$N$126:$N$130,"SEM TAG")&gt;0,"Sem TAG de calibração; ","")&amp;IF('Verificação Peneiradores'!$N$126="NÃO OK","Condições das telas; ","")&amp;IF('Verificação Peneiradores'!$N$127="NÃO OK","Inclinação das telas; ","")&amp;IF('Verificação Peneiradores'!$N$128="NÃO OK","Vibração do peneirador; ","")&amp;IF('Verificação Peneiradores'!$N$129="NÃO OK","Travamento das peneiras; ","")&amp;IF('Verificação Peneiradores'!$N$130="NÃO OK","Calibração; ","")</f>
        <v/>
      </c>
      <c r="Q783" t="s">
        <v>1154</v>
      </c>
    </row>
    <row r="784">
      <c r="A784" t="s">
        <v>816</v>
      </c>
      <c r="B784" t="s">
        <v>667</v>
      </c>
      <c r="C784" s="912" t="str">
        <f>IF(MAX('Verificação Peneiradores'!$AC$123:$AC$132)=0,"",MAX('Verificação Peneiradores'!$AC$123:$AC$132))</f>
        <v/>
      </c>
      <c r="D784" t="str">
        <f>IF('Verificação Peneiradores'!$O$124&amp;""="","Peneirador 09",TRIM('Verificação Peneiradores'!$O$124&amp;""))</f>
        <v>Peneirador 09</v>
      </c>
      <c r="E784" t="str">
        <f>"Malha "&amp;'Verificação Peneiradores'!$O$123&amp;" mm ("&amp;"Peneirador 09"&amp;")"</f>
        <v>Malha 14 mm (Peneirador 09)</v>
      </c>
      <c r="F784" t="s">
        <v>817</v>
      </c>
      <c r="G784" t="str">
        <f>IF(COUNTA('Verificação Peneiradores'!$O$126:$O$130)=0,"",COUNTIF('Verificação Peneiradores'!$O$126:$O$130,"OK"))</f>
        <v/>
      </c>
      <c r="H784" t="str">
        <f>IF(COUNTA('Verificação Peneiradores'!$O$126:$O$130)=0,"",COUNTA('Verificação Peneiradores'!$O$126:$O$130))</f>
        <v/>
      </c>
      <c r="M784" t="str">
        <f>IF(COUNTA('Verificação Peneiradores'!$O$126:$O$130)=0,"",IF(COUNTIF('Verificação Peneiradores'!$O$126:$O$130,"NÃO OK")&gt;0,"Não conforme","Conforme"))</f>
        <v/>
      </c>
      <c r="N784" t="str">
        <f>IFERROR(TRIM(INDEX('Verificação Peneiradores'!$AE$123:$AE$132,MATCH("*",'Verificação Peneiradores'!$AE$123:$AE$132,0))),"")</f>
        <v/>
      </c>
      <c r="O784" t="str">
        <f>IFERROR(TRIM(INDEX('Verificação Peneiradores'!$AD$123:$AD$132,MATCH("*",'Verificação Peneiradores'!$AD$123:$AD$132,0))),"")</f>
        <v/>
      </c>
      <c r="P784" t="str">
        <f>IF(COUNTIF('Verificação Peneiradores'!$O$126:$O$130,"SEM TAG")&gt;0,"Sem TAG de calibração; ","")&amp;IF('Verificação Peneiradores'!$O$126="NÃO OK","Condições das telas; ","")&amp;IF('Verificação Peneiradores'!$O$127="NÃO OK","Inclinação das telas; ","")&amp;IF('Verificação Peneiradores'!$O$128="NÃO OK","Vibração do peneirador; ","")&amp;IF('Verificação Peneiradores'!$O$129="NÃO OK","Travamento das peneiras; ","")&amp;IF('Verificação Peneiradores'!$O$130="NÃO OK","Calibração; ","")</f>
        <v/>
      </c>
      <c r="Q784" t="s">
        <v>1155</v>
      </c>
    </row>
    <row r="785">
      <c r="A785" t="s">
        <v>816</v>
      </c>
      <c r="B785" t="s">
        <v>667</v>
      </c>
      <c r="C785" s="912" t="str">
        <f>IF(MAX('Verificação Peneiradores'!$AC$123:$AC$132)=0,"",MAX('Verificação Peneiradores'!$AC$123:$AC$132))</f>
        <v/>
      </c>
      <c r="D785" t="str">
        <f>IF('Verificação Peneiradores'!$P$124&amp;""="","Peneirador 09",TRIM('Verificação Peneiradores'!$P$124&amp;""))</f>
        <v>Peneirador 09</v>
      </c>
      <c r="E785" t="str">
        <f>"Malha "&amp;'Verificação Peneiradores'!$P$123&amp;" mm ("&amp;"Peneirador 09"&amp;")"</f>
        <v>Malha 12,5 mm (Peneirador 09)</v>
      </c>
      <c r="F785" t="s">
        <v>817</v>
      </c>
      <c r="G785" t="str">
        <f>IF(COUNTA('Verificação Peneiradores'!$P$126:$P$130)=0,"",COUNTIF('Verificação Peneiradores'!$P$126:$P$130,"OK"))</f>
        <v/>
      </c>
      <c r="H785" t="str">
        <f>IF(COUNTA('Verificação Peneiradores'!$P$126:$P$130)=0,"",COUNTA('Verificação Peneiradores'!$P$126:$P$130))</f>
        <v/>
      </c>
      <c r="M785" t="str">
        <f>IF(COUNTA('Verificação Peneiradores'!$P$126:$P$130)=0,"",IF(COUNTIF('Verificação Peneiradores'!$P$126:$P$130,"NÃO OK")&gt;0,"Não conforme","Conforme"))</f>
        <v/>
      </c>
      <c r="N785" t="str">
        <f>IFERROR(TRIM(INDEX('Verificação Peneiradores'!$AE$123:$AE$132,MATCH("*",'Verificação Peneiradores'!$AE$123:$AE$132,0))),"")</f>
        <v/>
      </c>
      <c r="O785" t="str">
        <f>IFERROR(TRIM(INDEX('Verificação Peneiradores'!$AD$123:$AD$132,MATCH("*",'Verificação Peneiradores'!$AD$123:$AD$132,0))),"")</f>
        <v/>
      </c>
      <c r="P785" t="str">
        <f>IF(COUNTIF('Verificação Peneiradores'!$P$126:$P$130,"SEM TAG")&gt;0,"Sem TAG de calibração; ","")&amp;IF('Verificação Peneiradores'!$P$126="NÃO OK","Condições das telas; ","")&amp;IF('Verificação Peneiradores'!$P$127="NÃO OK","Inclinação das telas; ","")&amp;IF('Verificação Peneiradores'!$P$128="NÃO OK","Vibração do peneirador; ","")&amp;IF('Verificação Peneiradores'!$P$129="NÃO OK","Travamento das peneiras; ","")&amp;IF('Verificação Peneiradores'!$P$130="NÃO OK","Calibração; ","")</f>
        <v/>
      </c>
      <c r="Q785" t="s">
        <v>1156</v>
      </c>
    </row>
    <row r="786">
      <c r="A786" t="s">
        <v>816</v>
      </c>
      <c r="B786" t="s">
        <v>667</v>
      </c>
      <c r="C786" s="912" t="str">
        <f>IF(MAX('Verificação Peneiradores'!$AC$123:$AC$132)=0,"",MAX('Verificação Peneiradores'!$AC$123:$AC$132))</f>
        <v/>
      </c>
      <c r="D786" t="str">
        <f>IF('Verificação Peneiradores'!$Q$124&amp;""="","Peneirador 09",TRIM('Verificação Peneiradores'!$Q$124&amp;""))</f>
        <v>Peneirador 09</v>
      </c>
      <c r="E786" t="str">
        <f>"Malha "&amp;'Verificação Peneiradores'!$Q$123&amp;" mm ("&amp;"Peneirador 09"&amp;")"</f>
        <v>Malha 9 mm (Peneirador 09)</v>
      </c>
      <c r="F786" t="s">
        <v>817</v>
      </c>
      <c r="G786" t="str">
        <f>IF(COUNTA('Verificação Peneiradores'!$Q$126:$Q$130)=0,"",COUNTIF('Verificação Peneiradores'!$Q$126:$Q$130,"OK"))</f>
        <v/>
      </c>
      <c r="H786" t="str">
        <f>IF(COUNTA('Verificação Peneiradores'!$Q$126:$Q$130)=0,"",COUNTA('Verificação Peneiradores'!$Q$126:$Q$130))</f>
        <v/>
      </c>
      <c r="M786" t="str">
        <f>IF(COUNTA('Verificação Peneiradores'!$Q$126:$Q$130)=0,"",IF(COUNTIF('Verificação Peneiradores'!$Q$126:$Q$130,"NÃO OK")&gt;0,"Não conforme","Conforme"))</f>
        <v/>
      </c>
      <c r="N786" t="str">
        <f>IFERROR(TRIM(INDEX('Verificação Peneiradores'!$AE$123:$AE$132,MATCH("*",'Verificação Peneiradores'!$AE$123:$AE$132,0))),"")</f>
        <v/>
      </c>
      <c r="O786" t="str">
        <f>IFERROR(TRIM(INDEX('Verificação Peneiradores'!$AD$123:$AD$132,MATCH("*",'Verificação Peneiradores'!$AD$123:$AD$132,0))),"")</f>
        <v/>
      </c>
      <c r="P786" t="str">
        <f>IF(COUNTIF('Verificação Peneiradores'!$Q$126:$Q$130,"SEM TAG")&gt;0,"Sem TAG de calibração; ","")&amp;IF('Verificação Peneiradores'!$Q$126="NÃO OK","Condições das telas; ","")&amp;IF('Verificação Peneiradores'!$Q$127="NÃO OK","Inclinação das telas; ","")&amp;IF('Verificação Peneiradores'!$Q$128="NÃO OK","Vibração do peneirador; ","")&amp;IF('Verificação Peneiradores'!$Q$129="NÃO OK","Travamento das peneiras; ","")&amp;IF('Verificação Peneiradores'!$Q$130="NÃO OK","Calibração; ","")</f>
        <v/>
      </c>
      <c r="Q786" t="s">
        <v>1157</v>
      </c>
    </row>
    <row r="787">
      <c r="A787" t="s">
        <v>816</v>
      </c>
      <c r="B787" t="s">
        <v>667</v>
      </c>
      <c r="C787" s="912" t="str">
        <f>IF(MAX('Verificação Peneiradores'!$AC$123:$AC$132)=0,"",MAX('Verificação Peneiradores'!$AC$123:$AC$132))</f>
        <v/>
      </c>
      <c r="D787" t="str">
        <f>IF('Verificação Peneiradores'!$R$124&amp;""="","Peneirador 09",TRIM('Verificação Peneiradores'!$R$124&amp;""))</f>
        <v>Peneirador 09</v>
      </c>
      <c r="E787" t="str">
        <f>"Malha "&amp;'Verificação Peneiradores'!$R$123&amp;" mm ("&amp;"Peneirador 09"&amp;")"</f>
        <v>Malha 8 mm (Peneirador 09)</v>
      </c>
      <c r="F787" t="s">
        <v>817</v>
      </c>
      <c r="G787" t="str">
        <f>IF(COUNTA('Verificação Peneiradores'!$R$126:$R$130)=0,"",COUNTIF('Verificação Peneiradores'!$R$126:$R$130,"OK"))</f>
        <v/>
      </c>
      <c r="H787" t="str">
        <f>IF(COUNTA('Verificação Peneiradores'!$R$126:$R$130)=0,"",COUNTA('Verificação Peneiradores'!$R$126:$R$130))</f>
        <v/>
      </c>
      <c r="M787" t="str">
        <f>IF(COUNTA('Verificação Peneiradores'!$R$126:$R$130)=0,"",IF(COUNTIF('Verificação Peneiradores'!$R$126:$R$130,"NÃO OK")&gt;0,"Não conforme","Conforme"))</f>
        <v/>
      </c>
      <c r="N787" t="str">
        <f>IFERROR(TRIM(INDEX('Verificação Peneiradores'!$AE$123:$AE$132,MATCH("*",'Verificação Peneiradores'!$AE$123:$AE$132,0))),"")</f>
        <v/>
      </c>
      <c r="O787" t="str">
        <f>IFERROR(TRIM(INDEX('Verificação Peneiradores'!$AD$123:$AD$132,MATCH("*",'Verificação Peneiradores'!$AD$123:$AD$132,0))),"")</f>
        <v/>
      </c>
      <c r="P787" t="str">
        <f>IF(COUNTIF('Verificação Peneiradores'!$R$126:$R$130,"SEM TAG")&gt;0,"Sem TAG de calibração; ","")&amp;IF('Verificação Peneiradores'!$R$126="NÃO OK","Condições das telas; ","")&amp;IF('Verificação Peneiradores'!$R$127="NÃO OK","Inclinação das telas; ","")&amp;IF('Verificação Peneiradores'!$R$128="NÃO OK","Vibração do peneirador; ","")&amp;IF('Verificação Peneiradores'!$R$129="NÃO OK","Travamento das peneiras; ","")&amp;IF('Verificação Peneiradores'!$R$130="NÃO OK","Calibração; ","")</f>
        <v/>
      </c>
      <c r="Q787" t="s">
        <v>1158</v>
      </c>
    </row>
    <row r="788">
      <c r="A788" t="s">
        <v>816</v>
      </c>
      <c r="B788" t="s">
        <v>667</v>
      </c>
      <c r="C788" s="912" t="str">
        <f>IF(MAX('Verificação Peneiradores'!$AC$123:$AC$132)=0,"",MAX('Verificação Peneiradores'!$AC$123:$AC$132))</f>
        <v/>
      </c>
      <c r="D788" t="str">
        <f>IF('Verificação Peneiradores'!$S$124&amp;""="","Peneirador 09",TRIM('Verificação Peneiradores'!$S$124&amp;""))</f>
        <v>Peneirador 09</v>
      </c>
      <c r="E788" t="str">
        <f>"Malha "&amp;'Verificação Peneiradores'!$S$123&amp;" mm ("&amp;"Peneirador 09"&amp;")"</f>
        <v>Malha 6,3 mm (Peneirador 09)</v>
      </c>
      <c r="F788" t="s">
        <v>817</v>
      </c>
      <c r="G788" t="str">
        <f>IF(COUNTA('Verificação Peneiradores'!$S$126:$S$130)=0,"",COUNTIF('Verificação Peneiradores'!$S$126:$S$130,"OK"))</f>
        <v/>
      </c>
      <c r="H788" t="str">
        <f>IF(COUNTA('Verificação Peneiradores'!$S$126:$S$130)=0,"",COUNTA('Verificação Peneiradores'!$S$126:$S$130))</f>
        <v/>
      </c>
      <c r="M788" t="str">
        <f>IF(COUNTA('Verificação Peneiradores'!$S$126:$S$130)=0,"",IF(COUNTIF('Verificação Peneiradores'!$S$126:$S$130,"NÃO OK")&gt;0,"Não conforme","Conforme"))</f>
        <v/>
      </c>
      <c r="N788" t="str">
        <f>IFERROR(TRIM(INDEX('Verificação Peneiradores'!$AE$123:$AE$132,MATCH("*",'Verificação Peneiradores'!$AE$123:$AE$132,0))),"")</f>
        <v/>
      </c>
      <c r="O788" t="str">
        <f>IFERROR(TRIM(INDEX('Verificação Peneiradores'!$AD$123:$AD$132,MATCH("*",'Verificação Peneiradores'!$AD$123:$AD$132,0))),"")</f>
        <v/>
      </c>
      <c r="P788" t="str">
        <f>IF(COUNTIF('Verificação Peneiradores'!$S$126:$S$130,"SEM TAG")&gt;0,"Sem TAG de calibração; ","")&amp;IF('Verificação Peneiradores'!$S$126="NÃO OK","Condições das telas; ","")&amp;IF('Verificação Peneiradores'!$S$127="NÃO OK","Inclinação das telas; ","")&amp;IF('Verificação Peneiradores'!$S$128="NÃO OK","Vibração do peneirador; ","")&amp;IF('Verificação Peneiradores'!$S$129="NÃO OK","Travamento das peneiras; ","")&amp;IF('Verificação Peneiradores'!$S$130="NÃO OK","Calibração; ","")</f>
        <v/>
      </c>
      <c r="Q788" t="s">
        <v>1159</v>
      </c>
    </row>
    <row r="789">
      <c r="A789" t="s">
        <v>816</v>
      </c>
      <c r="B789" t="s">
        <v>667</v>
      </c>
      <c r="C789" s="912" t="str">
        <f>IF(MAX('Verificação Peneiradores'!$AC$123:$AC$132)=0,"",MAX('Verificação Peneiradores'!$AC$123:$AC$132))</f>
        <v/>
      </c>
      <c r="D789" t="str">
        <f>IF('Verificação Peneiradores'!$T$124&amp;""="","Peneirador 05",TRIM('Verificação Peneiradores'!$T$124&amp;""))</f>
        <v>Peneirador 05</v>
      </c>
      <c r="E789" t="str">
        <f>"Malha "&amp;'Verificação Peneiradores'!$T$123&amp;" mm ("&amp;"Peneirador 05"&amp;")"</f>
        <v>Malha 19 mm (Peneirador 05)</v>
      </c>
      <c r="F789" t="s">
        <v>817</v>
      </c>
      <c r="G789" t="str">
        <f>IF(COUNTA('Verificação Peneiradores'!$T$126:$T$130)=0,"",COUNTIF('Verificação Peneiradores'!$T$126:$T$130,"OK"))</f>
        <v/>
      </c>
      <c r="H789" t="str">
        <f>IF(COUNTA('Verificação Peneiradores'!$T$126:$T$130)=0,"",COUNTA('Verificação Peneiradores'!$T$126:$T$130))</f>
        <v/>
      </c>
      <c r="M789" t="str">
        <f>IF(COUNTA('Verificação Peneiradores'!$T$126:$T$130)=0,"",IF(COUNTIF('Verificação Peneiradores'!$T$126:$T$130,"NÃO OK")&gt;0,"Não conforme","Conforme"))</f>
        <v/>
      </c>
      <c r="N789" t="str">
        <f>IFERROR(TRIM(INDEX('Verificação Peneiradores'!$AE$123:$AE$132,MATCH("*",'Verificação Peneiradores'!$AE$123:$AE$132,0))),"")</f>
        <v/>
      </c>
      <c r="O789" t="str">
        <f>IFERROR(TRIM(INDEX('Verificação Peneiradores'!$AD$123:$AD$132,MATCH("*",'Verificação Peneiradores'!$AD$123:$AD$132,0))),"")</f>
        <v/>
      </c>
      <c r="P789" t="str">
        <f>IF(COUNTIF('Verificação Peneiradores'!$T$126:$T$130,"SEM TAG")&gt;0,"Sem TAG de calibração; ","")&amp;IF('Verificação Peneiradores'!$T$126="NÃO OK","Condições das telas; ","")&amp;IF('Verificação Peneiradores'!$T$127="NÃO OK","Inclinação das telas; ","")&amp;IF('Verificação Peneiradores'!$T$128="NÃO OK","Vibração do peneirador; ","")&amp;IF('Verificação Peneiradores'!$T$129="NÃO OK","Travamento das peneiras; ","")&amp;IF('Verificação Peneiradores'!$T$130="NÃO OK","Calibração; ","")</f>
        <v/>
      </c>
      <c r="Q789" t="s">
        <v>1160</v>
      </c>
    </row>
    <row r="790">
      <c r="A790" t="s">
        <v>816</v>
      </c>
      <c r="B790" t="s">
        <v>667</v>
      </c>
      <c r="C790" s="912" t="str">
        <f>IF(MAX('Verificação Peneiradores'!$AC$123:$AC$132)=0,"",MAX('Verificação Peneiradores'!$AC$123:$AC$132))</f>
        <v/>
      </c>
      <c r="D790" t="str">
        <f>IF('Verificação Peneiradores'!$U$124&amp;""="","Peneirador 05",TRIM('Verificação Peneiradores'!$U$124&amp;""))</f>
        <v>Peneirador 05</v>
      </c>
      <c r="E790" t="str">
        <f>"Malha "&amp;'Verificação Peneiradores'!$U$123&amp;" mm ("&amp;"Peneirador 05"&amp;")"</f>
        <v>Malha 16 mm (Peneirador 05)</v>
      </c>
      <c r="F790" t="s">
        <v>817</v>
      </c>
      <c r="G790" t="str">
        <f>IF(COUNTA('Verificação Peneiradores'!$U$126:$U$130)=0,"",COUNTIF('Verificação Peneiradores'!$U$126:$U$130,"OK"))</f>
        <v/>
      </c>
      <c r="H790" t="str">
        <f>IF(COUNTA('Verificação Peneiradores'!$U$126:$U$130)=0,"",COUNTA('Verificação Peneiradores'!$U$126:$U$130))</f>
        <v/>
      </c>
      <c r="M790" t="str">
        <f>IF(COUNTA('Verificação Peneiradores'!$U$126:$U$130)=0,"",IF(COUNTIF('Verificação Peneiradores'!$U$126:$U$130,"NÃO OK")&gt;0,"Não conforme","Conforme"))</f>
        <v/>
      </c>
      <c r="N790" t="str">
        <f>IFERROR(TRIM(INDEX('Verificação Peneiradores'!$AE$123:$AE$132,MATCH("*",'Verificação Peneiradores'!$AE$123:$AE$132,0))),"")</f>
        <v/>
      </c>
      <c r="O790" t="str">
        <f>IFERROR(TRIM(INDEX('Verificação Peneiradores'!$AD$123:$AD$132,MATCH("*",'Verificação Peneiradores'!$AD$123:$AD$132,0))),"")</f>
        <v/>
      </c>
      <c r="P790" t="str">
        <f>IF(COUNTIF('Verificação Peneiradores'!$U$126:$U$130,"SEM TAG")&gt;0,"Sem TAG de calibração; ","")&amp;IF('Verificação Peneiradores'!$U$126="NÃO OK","Condições das telas; ","")&amp;IF('Verificação Peneiradores'!$U$127="NÃO OK","Inclinação das telas; ","")&amp;IF('Verificação Peneiradores'!$U$128="NÃO OK","Vibração do peneirador; ","")&amp;IF('Verificação Peneiradores'!$U$129="NÃO OK","Travamento das peneiras; ","")&amp;IF('Verificação Peneiradores'!$U$130="NÃO OK","Calibração; ","")</f>
        <v/>
      </c>
      <c r="Q790" t="s">
        <v>1161</v>
      </c>
    </row>
    <row r="791">
      <c r="A791" t="s">
        <v>816</v>
      </c>
      <c r="B791" t="s">
        <v>667</v>
      </c>
      <c r="C791" s="912" t="str">
        <f>IF(MAX('Verificação Peneiradores'!$AC$123:$AC$132)=0,"",MAX('Verificação Peneiradores'!$AC$123:$AC$132))</f>
        <v/>
      </c>
      <c r="D791" t="str">
        <f>IF('Verificação Peneiradores'!$V$124&amp;""="","Peneirador 05",TRIM('Verificação Peneiradores'!$V$124&amp;""))</f>
        <v>Peneirador 05</v>
      </c>
      <c r="E791" t="str">
        <f>"Malha "&amp;'Verificação Peneiradores'!$V$123&amp;" mm ("&amp;"Peneirador 05"&amp;")"</f>
        <v>Malha 14 mm (Peneirador 05)</v>
      </c>
      <c r="F791" t="s">
        <v>817</v>
      </c>
      <c r="G791" t="str">
        <f>IF(COUNTA('Verificação Peneiradores'!$V$126:$V$130)=0,"",COUNTIF('Verificação Peneiradores'!$V$126:$V$130,"OK"))</f>
        <v/>
      </c>
      <c r="H791" t="str">
        <f>IF(COUNTA('Verificação Peneiradores'!$V$126:$V$130)=0,"",COUNTA('Verificação Peneiradores'!$V$126:$V$130))</f>
        <v/>
      </c>
      <c r="M791" t="str">
        <f>IF(COUNTA('Verificação Peneiradores'!$V$126:$V$130)=0,"",IF(COUNTIF('Verificação Peneiradores'!$V$126:$V$130,"NÃO OK")&gt;0,"Não conforme","Conforme"))</f>
        <v/>
      </c>
      <c r="N791" t="str">
        <f>IFERROR(TRIM(INDEX('Verificação Peneiradores'!$AE$123:$AE$132,MATCH("*",'Verificação Peneiradores'!$AE$123:$AE$132,0))),"")</f>
        <v/>
      </c>
      <c r="O791" t="str">
        <f>IFERROR(TRIM(INDEX('Verificação Peneiradores'!$AD$123:$AD$132,MATCH("*",'Verificação Peneiradores'!$AD$123:$AD$132,0))),"")</f>
        <v/>
      </c>
      <c r="P791" t="str">
        <f>IF(COUNTIF('Verificação Peneiradores'!$V$126:$V$130,"SEM TAG")&gt;0,"Sem TAG de calibração; ","")&amp;IF('Verificação Peneiradores'!$V$126="NÃO OK","Condições das telas; ","")&amp;IF('Verificação Peneiradores'!$V$127="NÃO OK","Inclinação das telas; ","")&amp;IF('Verificação Peneiradores'!$V$128="NÃO OK","Vibração do peneirador; ","")&amp;IF('Verificação Peneiradores'!$V$129="NÃO OK","Travamento das peneiras; ","")&amp;IF('Verificação Peneiradores'!$V$130="NÃO OK","Calibração; ","")</f>
        <v/>
      </c>
      <c r="Q791" t="s">
        <v>1162</v>
      </c>
    </row>
    <row r="792">
      <c r="A792" t="s">
        <v>816</v>
      </c>
      <c r="B792" t="s">
        <v>667</v>
      </c>
      <c r="C792" s="912" t="str">
        <f>IF(MAX('Verificação Peneiradores'!$AC$123:$AC$132)=0,"",MAX('Verificação Peneiradores'!$AC$123:$AC$132))</f>
        <v/>
      </c>
      <c r="D792" t="str">
        <f>IF('Verificação Peneiradores'!$W$124&amp;""="","Peneirador 05",TRIM('Verificação Peneiradores'!$W$124&amp;""))</f>
        <v>Peneirador 05</v>
      </c>
      <c r="E792" t="str">
        <f>"Malha "&amp;'Verificação Peneiradores'!$W$123&amp;" mm ("&amp;"Peneirador 05"&amp;")"</f>
        <v>Malha 12,5 mm (Peneirador 05)</v>
      </c>
      <c r="F792" t="s">
        <v>817</v>
      </c>
      <c r="G792" t="str">
        <f>IF(COUNTA('Verificação Peneiradores'!$W$126:$W$130)=0,"",COUNTIF('Verificação Peneiradores'!$W$126:$W$130,"OK"))</f>
        <v/>
      </c>
      <c r="H792" t="str">
        <f>IF(COUNTA('Verificação Peneiradores'!$W$126:$W$130)=0,"",COUNTA('Verificação Peneiradores'!$W$126:$W$130))</f>
        <v/>
      </c>
      <c r="M792" t="str">
        <f>IF(COUNTA('Verificação Peneiradores'!$W$126:$W$130)=0,"",IF(COUNTIF('Verificação Peneiradores'!$W$126:$W$130,"NÃO OK")&gt;0,"Não conforme","Conforme"))</f>
        <v/>
      </c>
      <c r="N792" t="str">
        <f>IFERROR(TRIM(INDEX('Verificação Peneiradores'!$AE$123:$AE$132,MATCH("*",'Verificação Peneiradores'!$AE$123:$AE$132,0))),"")</f>
        <v/>
      </c>
      <c r="O792" t="str">
        <f>IFERROR(TRIM(INDEX('Verificação Peneiradores'!$AD$123:$AD$132,MATCH("*",'Verificação Peneiradores'!$AD$123:$AD$132,0))),"")</f>
        <v/>
      </c>
      <c r="P792" t="str">
        <f>IF(COUNTIF('Verificação Peneiradores'!$W$126:$W$130,"SEM TAG")&gt;0,"Sem TAG de calibração; ","")&amp;IF('Verificação Peneiradores'!$W$126="NÃO OK","Condições das telas; ","")&amp;IF('Verificação Peneiradores'!$W$127="NÃO OK","Inclinação das telas; ","")&amp;IF('Verificação Peneiradores'!$W$128="NÃO OK","Vibração do peneirador; ","")&amp;IF('Verificação Peneiradores'!$W$129="NÃO OK","Travamento das peneiras; ","")&amp;IF('Verificação Peneiradores'!$W$130="NÃO OK","Calibração; ","")</f>
        <v/>
      </c>
      <c r="Q792" t="s">
        <v>1163</v>
      </c>
    </row>
    <row r="793">
      <c r="A793" t="s">
        <v>816</v>
      </c>
      <c r="B793" t="s">
        <v>667</v>
      </c>
      <c r="C793" s="912" t="str">
        <f>IF(MAX('Verificação Peneiradores'!$AC$123:$AC$132)=0,"",MAX('Verificação Peneiradores'!$AC$123:$AC$132))</f>
        <v/>
      </c>
      <c r="D793" t="str">
        <f>IF('Verificação Peneiradores'!$X$124&amp;""="","Peneirador 05",TRIM('Verificação Peneiradores'!$X$124&amp;""))</f>
        <v>Peneirador 05</v>
      </c>
      <c r="E793" t="str">
        <f>"Malha "&amp;'Verificação Peneiradores'!$X$123&amp;" mm ("&amp;"Peneirador 05"&amp;")"</f>
        <v>Malha 9 mm (Peneirador 05)</v>
      </c>
      <c r="F793" t="s">
        <v>817</v>
      </c>
      <c r="G793" t="str">
        <f>IF(COUNTA('Verificação Peneiradores'!$X$126:$X$130)=0,"",COUNTIF('Verificação Peneiradores'!$X$126:$X$130,"OK"))</f>
        <v/>
      </c>
      <c r="H793" t="str">
        <f>IF(COUNTA('Verificação Peneiradores'!$X$126:$X$130)=0,"",COUNTA('Verificação Peneiradores'!$X$126:$X$130))</f>
        <v/>
      </c>
      <c r="M793" t="str">
        <f>IF(COUNTA('Verificação Peneiradores'!$X$126:$X$130)=0,"",IF(COUNTIF('Verificação Peneiradores'!$X$126:$X$130,"NÃO OK")&gt;0,"Não conforme","Conforme"))</f>
        <v/>
      </c>
      <c r="N793" t="str">
        <f>IFERROR(TRIM(INDEX('Verificação Peneiradores'!$AE$123:$AE$132,MATCH("*",'Verificação Peneiradores'!$AE$123:$AE$132,0))),"")</f>
        <v/>
      </c>
      <c r="O793" t="str">
        <f>IFERROR(TRIM(INDEX('Verificação Peneiradores'!$AD$123:$AD$132,MATCH("*",'Verificação Peneiradores'!$AD$123:$AD$132,0))),"")</f>
        <v/>
      </c>
      <c r="P793" t="str">
        <f>IF(COUNTIF('Verificação Peneiradores'!$X$126:$X$130,"SEM TAG")&gt;0,"Sem TAG de calibração; ","")&amp;IF('Verificação Peneiradores'!$X$126="NÃO OK","Condições das telas; ","")&amp;IF('Verificação Peneiradores'!$X$127="NÃO OK","Inclinação das telas; ","")&amp;IF('Verificação Peneiradores'!$X$128="NÃO OK","Vibração do peneirador; ","")&amp;IF('Verificação Peneiradores'!$X$129="NÃO OK","Travamento das peneiras; ","")&amp;IF('Verificação Peneiradores'!$X$130="NÃO OK","Calibração; ","")</f>
        <v/>
      </c>
      <c r="Q793" t="s">
        <v>1164</v>
      </c>
    </row>
    <row r="794">
      <c r="A794" t="s">
        <v>816</v>
      </c>
      <c r="B794" t="s">
        <v>667</v>
      </c>
      <c r="C794" s="912" t="str">
        <f>IF(MAX('Verificação Peneiradores'!$AC$123:$AC$132)=0,"",MAX('Verificação Peneiradores'!$AC$123:$AC$132))</f>
        <v/>
      </c>
      <c r="D794" t="str">
        <f>IF('Verificação Peneiradores'!$Y$124&amp;""="","Peneirador 05",TRIM('Verificação Peneiradores'!$Y$124&amp;""))</f>
        <v>Peneirador 05</v>
      </c>
      <c r="E794" t="str">
        <f>"Malha "&amp;'Verificação Peneiradores'!$Y$123&amp;" mm ("&amp;"Peneirador 05"&amp;")"</f>
        <v>Malha 8 mm (Peneirador 05)</v>
      </c>
      <c r="F794" t="s">
        <v>817</v>
      </c>
      <c r="G794" t="str">
        <f>IF(COUNTA('Verificação Peneiradores'!$Y$126:$Y$130)=0,"",COUNTIF('Verificação Peneiradores'!$Y$126:$Y$130,"OK"))</f>
        <v/>
      </c>
      <c r="H794" t="str">
        <f>IF(COUNTA('Verificação Peneiradores'!$Y$126:$Y$130)=0,"",COUNTA('Verificação Peneiradores'!$Y$126:$Y$130))</f>
        <v/>
      </c>
      <c r="M794" t="str">
        <f>IF(COUNTA('Verificação Peneiradores'!$Y$126:$Y$130)=0,"",IF(COUNTIF('Verificação Peneiradores'!$Y$126:$Y$130,"NÃO OK")&gt;0,"Não conforme","Conforme"))</f>
        <v/>
      </c>
      <c r="N794" t="str">
        <f>IFERROR(TRIM(INDEX('Verificação Peneiradores'!$AE$123:$AE$132,MATCH("*",'Verificação Peneiradores'!$AE$123:$AE$132,0))),"")</f>
        <v/>
      </c>
      <c r="O794" t="str">
        <f>IFERROR(TRIM(INDEX('Verificação Peneiradores'!$AD$123:$AD$132,MATCH("*",'Verificação Peneiradores'!$AD$123:$AD$132,0))),"")</f>
        <v/>
      </c>
      <c r="P794" t="str">
        <f>IF(COUNTIF('Verificação Peneiradores'!$Y$126:$Y$130,"SEM TAG")&gt;0,"Sem TAG de calibração; ","")&amp;IF('Verificação Peneiradores'!$Y$126="NÃO OK","Condições das telas; ","")&amp;IF('Verificação Peneiradores'!$Y$127="NÃO OK","Inclinação das telas; ","")&amp;IF('Verificação Peneiradores'!$Y$128="NÃO OK","Vibração do peneirador; ","")&amp;IF('Verificação Peneiradores'!$Y$129="NÃO OK","Travamento das peneiras; ","")&amp;IF('Verificação Peneiradores'!$Y$130="NÃO OK","Calibração; ","")</f>
        <v/>
      </c>
      <c r="Q794" t="s">
        <v>1165</v>
      </c>
    </row>
    <row r="795">
      <c r="A795" t="s">
        <v>816</v>
      </c>
      <c r="B795" t="s">
        <v>667</v>
      </c>
      <c r="C795" s="912" t="str">
        <f>IF(MAX('Verificação Peneiradores'!$AC$123:$AC$132)=0,"",MAX('Verificação Peneiradores'!$AC$123:$AC$132))</f>
        <v/>
      </c>
      <c r="D795" t="str">
        <f>IF('Verificação Peneiradores'!$Z$124&amp;""="","Peneirador 05",TRIM('Verificação Peneiradores'!$Z$124&amp;""))</f>
        <v>Peneirador 05</v>
      </c>
      <c r="E795" t="str">
        <f>"Malha "&amp;'Verificação Peneiradores'!$Z$123&amp;" mm ("&amp;"Peneirador 05"&amp;")"</f>
        <v>Malha 6,3 mm (Peneirador 05)</v>
      </c>
      <c r="F795" t="s">
        <v>817</v>
      </c>
      <c r="G795" t="str">
        <f>IF(COUNTA('Verificação Peneiradores'!$Z$126:$Z$130)=0,"",COUNTIF('Verificação Peneiradores'!$Z$126:$Z$130,"OK"))</f>
        <v/>
      </c>
      <c r="H795" t="str">
        <f>IF(COUNTA('Verificação Peneiradores'!$Z$126:$Z$130)=0,"",COUNTA('Verificação Peneiradores'!$Z$126:$Z$130))</f>
        <v/>
      </c>
      <c r="M795" t="str">
        <f>IF(COUNTA('Verificação Peneiradores'!$Z$126:$Z$130)=0,"",IF(COUNTIF('Verificação Peneiradores'!$Z$126:$Z$130,"NÃO OK")&gt;0,"Não conforme","Conforme"))</f>
        <v/>
      </c>
      <c r="N795" t="str">
        <f>IFERROR(TRIM(INDEX('Verificação Peneiradores'!$AE$123:$AE$132,MATCH("*",'Verificação Peneiradores'!$AE$123:$AE$132,0))),"")</f>
        <v/>
      </c>
      <c r="O795" t="str">
        <f>IFERROR(TRIM(INDEX('Verificação Peneiradores'!$AD$123:$AD$132,MATCH("*",'Verificação Peneiradores'!$AD$123:$AD$132,0))),"")</f>
        <v/>
      </c>
      <c r="P795" t="str">
        <f>IF(COUNTIF('Verificação Peneiradores'!$Z$126:$Z$130,"SEM TAG")&gt;0,"Sem TAG de calibração; ","")&amp;IF('Verificação Peneiradores'!$Z$126="NÃO OK","Condições das telas; ","")&amp;IF('Verificação Peneiradores'!$Z$127="NÃO OK","Inclinação das telas; ","")&amp;IF('Verificação Peneiradores'!$Z$128="NÃO OK","Vibração do peneirador; ","")&amp;IF('Verificação Peneiradores'!$Z$129="NÃO OK","Travamento das peneiras; ","")&amp;IF('Verificação Peneiradores'!$Z$130="NÃO OK","Calibração; ","")</f>
        <v/>
      </c>
      <c r="Q795" t="s">
        <v>1166</v>
      </c>
    </row>
    <row r="796">
      <c r="A796" t="s">
        <v>816</v>
      </c>
      <c r="B796" t="s">
        <v>667</v>
      </c>
      <c r="C796" s="912" t="str">
        <f>IF(MAX('Verificação Peneiradores'!$AC$123:$AC$132)=0,"",MAX('Verificação Peneiradores'!$AC$123:$AC$132))</f>
        <v/>
      </c>
      <c r="D796" t="str">
        <f>IF('Verificação Peneiradores'!$AA$124&amp;""="","Peneirador 06",TRIM('Verificação Peneiradores'!$AA$124&amp;""))</f>
        <v>Peneirador 06</v>
      </c>
      <c r="E796" t="str">
        <f>"Malha "&amp;'Verificação Peneiradores'!$AA$123&amp;" mm ("&amp;"Peneirador 06"&amp;")"</f>
        <v>Malha 6,3 mm (Peneirador 06)</v>
      </c>
      <c r="F796" t="s">
        <v>817</v>
      </c>
      <c r="G796" t="str">
        <f>IF(COUNTA('Verificação Peneiradores'!$AA$126:$AA$130)=0,"",COUNTIF('Verificação Peneiradores'!$AA$126:$AA$130,"OK"))</f>
        <v/>
      </c>
      <c r="H796" t="str">
        <f>IF(COUNTA('Verificação Peneiradores'!$AA$126:$AA$130)=0,"",COUNTA('Verificação Peneiradores'!$AA$126:$AA$130))</f>
        <v/>
      </c>
      <c r="M796" t="str">
        <f>IF(COUNTA('Verificação Peneiradores'!$AA$126:$AA$130)=0,"",IF(COUNTIF('Verificação Peneiradores'!$AA$126:$AA$130,"NÃO OK")&gt;0,"Não conforme","Conforme"))</f>
        <v/>
      </c>
      <c r="N796" t="str">
        <f>IFERROR(TRIM(INDEX('Verificação Peneiradores'!$AE$123:$AE$132,MATCH("*",'Verificação Peneiradores'!$AE$123:$AE$132,0))),"")</f>
        <v/>
      </c>
      <c r="O796" t="str">
        <f>IFERROR(TRIM(INDEX('Verificação Peneiradores'!$AD$123:$AD$132,MATCH("*",'Verificação Peneiradores'!$AD$123:$AD$132,0))),"")</f>
        <v/>
      </c>
      <c r="P796" t="str">
        <f>IF(COUNTIF('Verificação Peneiradores'!$AA$126:$AA$130,"SEM TAG")&gt;0,"Sem TAG de calibração; ","")&amp;IF('Verificação Peneiradores'!$AA$126="NÃO OK","Condições das telas; ","")&amp;IF('Verificação Peneiradores'!$AA$127="NÃO OK","Inclinação das telas; ","")&amp;IF('Verificação Peneiradores'!$AA$128="NÃO OK","Vibração do peneirador; ","")&amp;IF('Verificação Peneiradores'!$AA$129="NÃO OK","Travamento das peneiras; ","")&amp;IF('Verificação Peneiradores'!$AA$130="NÃO OK","Calibração; ","")</f>
        <v/>
      </c>
      <c r="Q796" t="s">
        <v>1167</v>
      </c>
    </row>
    <row r="797">
      <c r="A797" t="s">
        <v>816</v>
      </c>
      <c r="B797" t="s">
        <v>667</v>
      </c>
      <c r="C797" s="912" t="str">
        <f>IF(MAX('Verificação Peneiradores'!$AC$123:$AC$132)=0,"",MAX('Verificação Peneiradores'!$AC$123:$AC$132))</f>
        <v/>
      </c>
      <c r="D797" t="str">
        <f>IF('Verificação Peneiradores'!$AB$124&amp;""="","Peneirador 06",TRIM('Verificação Peneiradores'!$AB$124&amp;""))</f>
        <v>Peneirador 06</v>
      </c>
      <c r="E797" t="str">
        <f>"Malha "&amp;'Verificação Peneiradores'!$AB$123&amp;" mm ("&amp;"Peneirador 06"&amp;")"</f>
        <v>Malha 10 mm (Peneirador 06)</v>
      </c>
      <c r="F797" t="s">
        <v>817</v>
      </c>
      <c r="G797" t="str">
        <f>IF(COUNTA('Verificação Peneiradores'!$AB$126:$AB$130)=0,"",COUNTIF('Verificação Peneiradores'!$AB$126:$AB$130,"OK"))</f>
        <v/>
      </c>
      <c r="H797" t="str">
        <f>IF(COUNTA('Verificação Peneiradores'!$AB$126:$AB$130)=0,"",COUNTA('Verificação Peneiradores'!$AB$126:$AB$130))</f>
        <v/>
      </c>
      <c r="M797" t="str">
        <f>IF(COUNTA('Verificação Peneiradores'!$AB$126:$AB$130)=0,"",IF(COUNTIF('Verificação Peneiradores'!$AB$126:$AB$130,"NÃO OK")&gt;0,"Não conforme","Conforme"))</f>
        <v/>
      </c>
      <c r="N797" t="str">
        <f>IFERROR(TRIM(INDEX('Verificação Peneiradores'!$AE$123:$AE$132,MATCH("*",'Verificação Peneiradores'!$AE$123:$AE$132,0))),"")</f>
        <v/>
      </c>
      <c r="O797" t="str">
        <f>IFERROR(TRIM(INDEX('Verificação Peneiradores'!$AD$123:$AD$132,MATCH("*",'Verificação Peneiradores'!$AD$123:$AD$132,0))),"")</f>
        <v/>
      </c>
      <c r="P797" t="str">
        <f>IF(COUNTIF('Verificação Peneiradores'!$AB$126:$AB$130,"SEM TAG")&gt;0,"Sem TAG de calibração; ","")&amp;IF('Verificação Peneiradores'!$AB$126="NÃO OK","Condições das telas; ","")&amp;IF('Verificação Peneiradores'!$AB$127="NÃO OK","Inclinação das telas; ","")&amp;IF('Verificação Peneiradores'!$AB$128="NÃO OK","Vibração do peneirador; ","")&amp;IF('Verificação Peneiradores'!$AB$129="NÃO OK","Travamento das peneiras; ","")&amp;IF('Verificação Peneiradores'!$AB$130="NÃO OK","Calibração; ","")</f>
        <v/>
      </c>
      <c r="Q797" t="s">
        <v>1168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sheetPr>
    <tabColor rgb="FF003A70"/>
  </sheetPr>
  <dimension ref="A1:I22"/>
  <sheetViews>
    <sheetView workbookViewId="0">
      <pane ySplit="1" topLeftCell="A2" activePane="bottomLeft" state="frozen"/>
      <selection pane="bottomLeft" activeCell="A2" sqref="A2"/>
    </sheetView>
  </sheetViews>
  <sheetFormatPr defaultRowHeight="15"/>
  <cols>
    <col min="1" max="1" width="8" customWidth="1"/>
    <col min="2" max="2" width="20" customWidth="1"/>
    <col min="3" max="3" width="22" customWidth="1"/>
    <col min="4" max="4" width="10" customWidth="1"/>
    <col min="5" max="5" width="10" customWidth="1"/>
    <col min="6" max="6" width="13" customWidth="1"/>
    <col min="7" max="7" width="13" customWidth="1"/>
    <col min="8" max="8" width="12" customWidth="1"/>
    <col min="9" max="9" width="70" customWidth="1"/>
  </cols>
  <sheetData>
    <row r="1">
      <c r="A1" s="913" t="s">
        <v>1169</v>
      </c>
      <c r="B1" s="913" t="s">
        <v>333</v>
      </c>
      <c r="C1" s="913" t="s">
        <v>335</v>
      </c>
      <c r="D1" s="913" t="s">
        <v>336</v>
      </c>
      <c r="E1" s="913" t="s">
        <v>1170</v>
      </c>
      <c r="F1" s="913" t="s">
        <v>339</v>
      </c>
      <c r="G1" s="913" t="s">
        <v>340</v>
      </c>
      <c r="H1" s="913" t="s">
        <v>341</v>
      </c>
      <c r="I1" s="913" t="s">
        <v>1171</v>
      </c>
    </row>
    <row r="2">
      <c r="A2" t="s">
        <v>1172</v>
      </c>
      <c r="B2" t="s">
        <v>344</v>
      </c>
      <c r="C2" t="s">
        <v>346</v>
      </c>
      <c r="D2" t="s">
        <v>347</v>
      </c>
      <c r="E2">
        <v>25</v>
      </c>
      <c r="F2">
        <v>24</v>
      </c>
      <c r="G2">
        <v>26</v>
      </c>
      <c r="I2" t="s">
        <v>1173</v>
      </c>
    </row>
    <row r="3">
      <c r="A3" t="s">
        <v>1174</v>
      </c>
      <c r="B3" t="s">
        <v>399</v>
      </c>
      <c r="C3" t="s">
        <v>1175</v>
      </c>
      <c r="D3" t="s">
        <v>402</v>
      </c>
      <c r="E3">
        <v>88.4</v>
      </c>
      <c r="F3">
        <v>87.4</v>
      </c>
      <c r="G3">
        <v>89.4</v>
      </c>
      <c r="I3" t="s">
        <v>1176</v>
      </c>
    </row>
    <row r="4">
      <c r="A4" t="s">
        <v>1177</v>
      </c>
      <c r="B4" t="s">
        <v>451</v>
      </c>
      <c r="C4" t="s">
        <v>452</v>
      </c>
      <c r="D4" t="s">
        <v>453</v>
      </c>
      <c r="E4">
        <v>2030</v>
      </c>
      <c r="F4">
        <v>1986</v>
      </c>
      <c r="G4">
        <v>2074</v>
      </c>
      <c r="I4" t="s">
        <v>1178</v>
      </c>
    </row>
    <row r="5">
      <c r="A5" t="s">
        <v>1179</v>
      </c>
      <c r="B5" t="s">
        <v>451</v>
      </c>
      <c r="C5" t="s">
        <v>67</v>
      </c>
      <c r="D5" t="s">
        <v>453</v>
      </c>
      <c r="E5">
        <v>2120</v>
      </c>
      <c r="F5">
        <v>2076</v>
      </c>
      <c r="G5">
        <v>2164</v>
      </c>
      <c r="I5" t="s">
        <v>1180</v>
      </c>
    </row>
    <row r="6">
      <c r="A6" t="s">
        <v>1181</v>
      </c>
      <c r="B6" t="s">
        <v>451</v>
      </c>
      <c r="C6" t="s">
        <v>68</v>
      </c>
      <c r="D6" t="s">
        <v>453</v>
      </c>
      <c r="E6">
        <v>2030</v>
      </c>
      <c r="F6">
        <v>1986</v>
      </c>
      <c r="G6">
        <v>2074</v>
      </c>
      <c r="I6" t="s">
        <v>1182</v>
      </c>
    </row>
    <row r="7">
      <c r="A7" t="s">
        <v>1183</v>
      </c>
      <c r="B7" t="s">
        <v>653</v>
      </c>
      <c r="C7" t="s">
        <v>656</v>
      </c>
      <c r="D7" t="s">
        <v>453</v>
      </c>
      <c r="H7">
        <v>300</v>
      </c>
      <c r="I7" t="s">
        <v>1184</v>
      </c>
    </row>
    <row r="8">
      <c r="A8" t="s">
        <v>1185</v>
      </c>
      <c r="B8" t="s">
        <v>662</v>
      </c>
      <c r="C8" t="s">
        <v>1186</v>
      </c>
      <c r="D8" t="s">
        <v>665</v>
      </c>
      <c r="E8">
        <v>355</v>
      </c>
      <c r="H8">
        <v>20</v>
      </c>
      <c r="I8" t="s">
        <v>1187</v>
      </c>
    </row>
    <row r="9">
      <c r="A9" t="s">
        <v>1188</v>
      </c>
      <c r="B9" t="s">
        <v>662</v>
      </c>
      <c r="C9" t="s">
        <v>1189</v>
      </c>
      <c r="D9" t="s">
        <v>665</v>
      </c>
      <c r="E9">
        <v>310</v>
      </c>
      <c r="H9">
        <v>20</v>
      </c>
      <c r="I9" t="s">
        <v>1190</v>
      </c>
    </row>
    <row r="10">
      <c r="A10" t="s">
        <v>1191</v>
      </c>
      <c r="B10" t="s">
        <v>662</v>
      </c>
      <c r="C10" t="s">
        <v>1192</v>
      </c>
      <c r="D10" t="s">
        <v>669</v>
      </c>
      <c r="E10">
        <v>15</v>
      </c>
      <c r="F10">
        <v>13</v>
      </c>
      <c r="G10">
        <v>17</v>
      </c>
      <c r="I10" t="s">
        <v>1193</v>
      </c>
    </row>
    <row r="11">
      <c r="A11" t="s">
        <v>1194</v>
      </c>
      <c r="B11" t="s">
        <v>747</v>
      </c>
      <c r="C11" t="s">
        <v>749</v>
      </c>
      <c r="D11" t="s">
        <v>402</v>
      </c>
      <c r="H11">
        <v>0.3</v>
      </c>
      <c r="I11" t="s">
        <v>1195</v>
      </c>
    </row>
    <row r="12">
      <c r="A12" t="s">
        <v>1196</v>
      </c>
      <c r="B12" t="s">
        <v>747</v>
      </c>
      <c r="C12" t="s">
        <v>751</v>
      </c>
      <c r="D12" t="s">
        <v>752</v>
      </c>
      <c r="H12">
        <v>0.15</v>
      </c>
      <c r="I12" t="s">
        <v>1197</v>
      </c>
    </row>
    <row r="13">
      <c r="A13" t="s">
        <v>1198</v>
      </c>
      <c r="B13" t="s">
        <v>761</v>
      </c>
      <c r="C13" t="s">
        <v>761</v>
      </c>
      <c r="D13" t="s">
        <v>402</v>
      </c>
      <c r="H13">
        <v>0.05</v>
      </c>
      <c r="I13" t="s">
        <v>1199</v>
      </c>
    </row>
    <row r="14">
      <c r="A14" t="s">
        <v>1200</v>
      </c>
      <c r="B14" t="s">
        <v>807</v>
      </c>
      <c r="C14" t="s">
        <v>809</v>
      </c>
      <c r="D14" t="s">
        <v>402</v>
      </c>
      <c r="H14">
        <v>0.5</v>
      </c>
      <c r="I14" t="s">
        <v>1201</v>
      </c>
    </row>
    <row r="16">
      <c r="A16" s="913" t="s">
        <v>1202</v>
      </c>
    </row>
    <row r="17">
      <c r="A17" t="s">
        <v>1203</v>
      </c>
    </row>
    <row r="18">
      <c r="A18" t="s">
        <v>1204</v>
      </c>
    </row>
    <row r="19">
      <c r="A19" t="s">
        <v>1205</v>
      </c>
    </row>
    <row r="20">
      <c r="A20" t="s">
        <v>1206</v>
      </c>
    </row>
    <row r="21">
      <c r="A21" t="s">
        <v>1207</v>
      </c>
    </row>
    <row r="22">
      <c r="A22" t="s">
        <v>1208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1c91f2ec-2fe4-4235-b76f-e7299123b051" xsi:nil="true"/>
    <TaxCatchAll xmlns="6c8adc58-3f4b-4d73-b7e9-e37f814a4073" xsi:nil="true"/>
    <lcf76f155ced4ddcb4097134ff3c332f xmlns="1c91f2ec-2fe4-4235-b76f-e7299123b05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DB000C5CE334A84EB97DF2840DAE0D88" ma:contentTypeVersion="20" ma:contentTypeDescription="Crie um novo documento." ma:contentTypeScope="" ma:versionID="b44f897f4ae5604aafd6c37fd473679f">
  <xsd:schema xmlns:xsd="http://www.w3.org/2001/XMLSchema" xmlns:xs="http://www.w3.org/2001/XMLSchema" xmlns:p="http://schemas.microsoft.com/office/2006/metadata/properties" xmlns:ns2="1c91f2ec-2fe4-4235-b76f-e7299123b051" xmlns:ns3="6c8adc58-3f4b-4d73-b7e9-e37f814a4073" targetNamespace="http://schemas.microsoft.com/office/2006/metadata/properties" ma:root="true" ma:fieldsID="4520c23b79f2e052504986f8f097b457" ns2:_="" ns3:_="">
    <xsd:import namespace="1c91f2ec-2fe4-4235-b76f-e7299123b051"/>
    <xsd:import namespace="6c8adc58-3f4b-4d73-b7e9-e37f814a407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_Flow_SignoffStatus"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91f2ec-2fe4-4235-b76f-e7299123b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9373520c-de82-4a18-8927-c2c43c78801d"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Status de liberação" ma:internalName="Status_x0020_de_x0020_libera_x00e7__x00e3_o">
      <xsd:simpleType>
        <xsd:restriction base="dms:Text"/>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8adc58-3f4b-4d73-b7e9-e37f814a4073" elementFormDefault="qualified">
    <xsd:import namespace="http://schemas.microsoft.com/office/2006/documentManagement/types"/>
    <xsd:import namespace="http://schemas.microsoft.com/office/infopath/2007/PartnerControls"/>
    <xsd:element name="SharedWithUsers" ma:index="1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14d77371-edb3-49c0-97e8-166199b17372}" ma:internalName="TaxCatchAll" ma:showField="CatchAllData" ma:web="6c8adc58-3f4b-4d73-b7e9-e37f814a407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779E8A1-8C3F-4833-A7B4-11D3ED03D429}"/>
</file>

<file path=customXml/itemProps2.xml><?xml version="1.0" encoding="utf-8"?>
<ds:datastoreItem xmlns:ds="http://schemas.openxmlformats.org/officeDocument/2006/customXml" ds:itemID="{37507800-EFB8-4DCB-A57E-42DC91DC86DC}"/>
</file>

<file path=customXml/itemProps3.xml><?xml version="1.0" encoding="utf-8"?>
<ds:datastoreItem xmlns:ds="http://schemas.openxmlformats.org/officeDocument/2006/customXml" ds:itemID="{3420FF32-E6D8-4058-83CC-16D795FD2BFE}"/>
</file>

<file path=docProps/app.xml><?xml version="1.0" encoding="utf-8"?>
<Properties xmlns="http://schemas.openxmlformats.org/officeDocument/2006/extended-properties" xmlns:vt="http://schemas.openxmlformats.org/officeDocument/2006/docPropsVTypes">
  <Application>Microsoft Excel Online</Application>
  <Manager/>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Cliente</dc:creator>
  <cp:keywords/>
  <dc:description/>
  <cp:lastModifiedBy>Julio Cesar Da Silva Marques Filho</cp:lastModifiedBy>
  <cp:revision/>
  <dcterms:created xsi:type="dcterms:W3CDTF">2012-07-27T00:30:55Z</dcterms:created>
  <dcterms:modified xsi:type="dcterms:W3CDTF">2026-09-23T19:24:03Z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0x010100DB000C5CE334A84EB97DF2840DAE0D88</vt:lpwstr>
  </property>
  <property fmtid="{D5CDD505-2E9C-101B-9397-08002B2CF9AE}" pid="3" name="MediaServiceImageTags">
    <vt:lpwstr/>
  </property>
</Properties>
</file>