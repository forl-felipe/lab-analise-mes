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sico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<sst xmlns="http://schemas.openxmlformats.org/spreadsheetml/2006/main" count="143" uniqueCount="67">
  <si>
    <t xml:space="preserve">Largura da tela no editor, em unidades. O padrão do Aspen é 50; só altere se a tela tiver outro tamanho.</t>
  </si>
  <si>
    <t xml:space="preserve">Fator de conversão (calculado)</t>
  </si>
  <si>
    <t xml:space="preserve">Nº</t>
  </si>
  <si>
    <t xml:space="preserve">Objeto</t>
  </si>
  <si>
    <t xml:space="preserve">Ferramenta</t>
  </si>
  <si>
    <t xml:space="preserve">Tag</t>
  </si>
  <si>
    <t xml:space="preserve">Mapa</t>
  </si>
  <si>
    <t xml:space="preserve">Atributo</t>
  </si>
  <si>
    <t xml:space="preserve">X (tela 50)</t>
  </si>
  <si>
    <t xml:space="preserve">Y (tela 50)</t>
  </si>
  <si>
    <t xml:space="preserve">Largura (tela 50)</t>
  </si>
  <si>
    <t xml:space="preserve">Altura (tela 50)</t>
  </si>
  <si>
    <t xml:space="preserve">X no editor</t>
  </si>
  <si>
    <t xml:space="preserve">Y no editor</t>
  </si>
  <si>
    <t xml:space="preserve">Largura no editor</t>
  </si>
  <si>
    <t xml:space="preserve">Altura no editor</t>
  </si>
  <si>
    <t xml:space="preserve">Tela</t>
  </si>
  <si>
    <t xml:space="preserve">Tela inteira (referência)</t>
  </si>
  <si>
    <t xml:space="preserve">-</t>
  </si>
  <si>
    <t xml:space="preserve">Última atualização (cabeçalho)</t>
  </si>
  <si>
    <t xml:space="preserve">Campo de dados</t>
  </si>
  <si>
    <t xml:space="preserve">307-GI-001</t>
  </si>
  <si>
    <t xml:space="preserve">IP_ANALOGMAP</t>
  </si>
  <si>
    <t xml:space="preserve">`VAL` no arquivo: trocar pelo atributo de data e hora (Parte B)</t>
  </si>
  <si>
    <t xml:space="preserve">Média prensa automática: valor</t>
  </si>
  <si>
    <t xml:space="preserve">VAL</t>
  </si>
  <si>
    <t xml:space="preserve">Média prensa automática: minitendência</t>
  </si>
  <si>
    <t xml:space="preserve">Tendência (plot)</t>
  </si>
  <si>
    <t xml:space="preserve">Média prensa automática: atualizado às</t>
  </si>
  <si>
    <t xml:space="preserve">Média prensa automática: qualidade</t>
  </si>
  <si>
    <t xml:space="preserve">`VAL` no arquivo: trocar pelo atributo de qualidade (Parte B)</t>
  </si>
  <si>
    <t xml:space="preserve">Desvio padrão: valor</t>
  </si>
  <si>
    <t xml:space="preserve">307-GI-002</t>
  </si>
  <si>
    <t xml:space="preserve">Desvio padrão: minitendência</t>
  </si>
  <si>
    <t xml:space="preserve">Desvio padrão: atualizado às</t>
  </si>
  <si>
    <t xml:space="preserve">Desvio padrão: qualidade</t>
  </si>
  <si>
    <t xml:space="preserve">Composto 2 h: prensa automática</t>
  </si>
  <si>
    <t xml:space="preserve">307-GI-001-C2H</t>
  </si>
  <si>
    <t xml:space="preserve">Composto 2 h: laboratório (MES)</t>
  </si>
  <si>
    <t xml:space="preserve">M4710050020-0031-HHLFU</t>
  </si>
  <si>
    <t xml:space="preserve">IP_MESVALOR</t>
  </si>
  <si>
    <t xml:space="preserve">Composto 2 h: fim da janela</t>
  </si>
  <si>
    <t xml:space="preserve">Composto 2 h: diferença prensa menos laboratório</t>
  </si>
  <si>
    <t xml:space="preserve">307-GI-001-DIF2H</t>
  </si>
  <si>
    <t xml:space="preserve">Tendência: composto da prensa x composto do laboratório</t>
  </si>
  <si>
    <t xml:space="preserve">307-GI-001, 307-GI-001-C2H e M4710050020-0031-HHLFU</t>
  </si>
  <si>
    <t xml:space="preserve">Cortes do composto: hora do corte 1</t>
  </si>
  <si>
    <t xml:space="preserve">307-GI-001-CORTE1</t>
  </si>
  <si>
    <t xml:space="preserve">Cortes do composto: hora do corte 2</t>
  </si>
  <si>
    <t xml:space="preserve">307-GI-001-CORTE2</t>
  </si>
  <si>
    <t xml:space="preserve">Cortes do composto: hora do corte 3</t>
  </si>
  <si>
    <t xml:space="preserve">307-GI-001-CORTE3</t>
  </si>
  <si>
    <t xml:space="preserve">Cortes do composto: hora do corte 4</t>
  </si>
  <si>
    <t xml:space="preserve">307-GI-001-CORTE4</t>
  </si>
  <si>
    <t xml:space="preserve">Cortes do composto: resultado do corte 1</t>
  </si>
  <si>
    <t xml:space="preserve">Cortes do composto: resultado do corte 2</t>
  </si>
  <si>
    <t xml:space="preserve">Cortes do composto: resultado do corte 3</t>
  </si>
  <si>
    <t xml:space="preserve">Cortes do composto: resultado do corte 4</t>
  </si>
  <si>
    <t xml:space="preserve">Faixa abaixo de 200 kgf/pelota</t>
  </si>
  <si>
    <t xml:space="preserve">307-QI-003</t>
  </si>
  <si>
    <t xml:space="preserve">IP_DISCRETEMAP no arquivo: **conferir** (Parte B)</t>
  </si>
  <si>
    <t xml:space="preserve">Faixa abaixo de 150 kgf/pelota</t>
  </si>
  <si>
    <t xml:space="preserve">307-QI-002</t>
  </si>
  <si>
    <t xml:space="preserve">Faixa abaixo de 100 kgf/pelota</t>
  </si>
  <si>
    <t xml:space="preserve">307-QI-001</t>
  </si>
  <si>
    <t xml:space="preserve">Composto 2 h: cortes com resultado na janela</t>
  </si>
  <si>
    <t xml:space="preserve">307-GI-001-N2H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</si>
</sst>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0"/>
    <numFmt numFmtId="166" formatCode="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2630"/>
        <bgColor rgb="FF3333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6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5" min="5" style="0" width="22"/>
    <col collapsed="false" customWidth="true" hidden="false" outlineLevel="0" max="6" min="6" style="0" width="30"/>
    <col collapsed="false" customWidth="true" hidden="false" outlineLevel="0" max="8" min="7" style="0" width="8"/>
    <col collapsed="false" customWidth="true" hidden="false" outlineLevel="0" max="12" min="9" style="0" width="10"/>
    <col collapsed="false" customWidth="true" hidden="false" outlineLevel="0" max="14" min="13" style="0" width="12"/>
  </cols>
  <sheetData>
    <row r="1" customFormat="false" ht="15" hidden="false" customHeight="false" outlineLevel="0" collapsed="false">
      <c r="A1" s="1" t="s">
        <v>0</v>
      </c>
      <c r="F1" s="2" t="n">
        <v>50</v>
      </c>
    </row>
    <row r="2" customFormat="false" ht="15" hidden="false" customHeight="false" outlineLevel="0" collapsed="false">
      <c r="A2" s="3" t="s">
        <v>1</v>
      </c>
      <c r="F2" s="4" t="n">
        <f aca="false">F1/50</f>
        <v>1</v>
      </c>
    </row>
    <row r="4" customFormat="false" ht="26.85" hidden="false" customHeight="fals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</row>
    <row r="5" customFormat="false" ht="15" hidden="false" customHeight="false" outlineLevel="0" collapsed="false">
      <c r="A5" s="3" t="s">
        <v>16</v>
      </c>
      <c r="B5" s="3" t="s">
        <v>17</v>
      </c>
      <c r="C5" s="3" t="s">
        <v>18</v>
      </c>
      <c r="D5" s="3"/>
      <c r="E5" s="3"/>
      <c r="F5" s="3"/>
      <c r="G5" s="6" t="n">
        <v>0</v>
      </c>
      <c r="H5" s="6" t="n">
        <v>0</v>
      </c>
      <c r="I5" s="6" t="n">
        <v>50</v>
      </c>
      <c r="J5" s="6" t="n">
        <v>35</v>
      </c>
      <c r="K5" s="7" t="n">
        <f aca="false">ROUND(G5*$F$2,2)</f>
        <v>0</v>
      </c>
      <c r="L5" s="7" t="n">
        <f aca="false">ROUND(H5*$F$2,2)</f>
        <v>0</v>
      </c>
      <c r="M5" s="7" t="n">
        <f aca="false">ROUND(I5*$F$2,2)</f>
        <v>50</v>
      </c>
      <c r="N5" s="7" t="n">
        <f aca="false">ROUND(J5*$F$2,2)</f>
        <v>35</v>
      </c>
    </row>
    <row r="6" customFormat="false" ht="15" hidden="false" customHeight="false" outlineLevel="0" collapsed="false">
      <c r="A6" s="3" t="n">
        <v>1</v>
      </c>
      <c r="B6" s="3" t="s">
        <v>19</v>
      </c>
      <c r="C6" s="3" t="s">
        <v>20</v>
      </c>
      <c r="D6" s="3" t="s">
        <v>21</v>
      </c>
      <c r="E6" s="3" t="s">
        <v>22</v>
      </c>
      <c r="F6" s="3" t="s">
        <v>23</v>
      </c>
      <c r="G6" s="6" t="n">
        <v>42.75</v>
      </c>
      <c r="H6" s="6" t="n">
        <v>1.03</v>
      </c>
      <c r="I6" s="6" t="n">
        <v>6.25</v>
      </c>
      <c r="J6" s="6" t="n">
        <v>0.81</v>
      </c>
      <c r="K6" s="7" t="n">
        <f aca="false">ROUND(G6*$F$2,2)</f>
        <v>42.75</v>
      </c>
      <c r="L6" s="7" t="n">
        <f aca="false">ROUND(H6*$F$2,2)</f>
        <v>1.03</v>
      </c>
      <c r="M6" s="7" t="n">
        <f aca="false">ROUND(I6*$F$2,2)</f>
        <v>6.25</v>
      </c>
      <c r="N6" s="7" t="n">
        <f aca="false">ROUND(J6*$F$2,2)</f>
        <v>0.81</v>
      </c>
    </row>
    <row r="7" customFormat="false" ht="15" hidden="false" customHeight="false" outlineLevel="0" collapsed="false">
      <c r="A7" s="3" t="n">
        <v>2</v>
      </c>
      <c r="B7" s="3" t="s">
        <v>24</v>
      </c>
      <c r="C7" s="3" t="s">
        <v>20</v>
      </c>
      <c r="D7" s="3" t="s">
        <v>21</v>
      </c>
      <c r="E7" s="3" t="s">
        <v>22</v>
      </c>
      <c r="F7" s="3" t="s">
        <v>25</v>
      </c>
      <c r="G7" s="6" t="n">
        <v>1.78</v>
      </c>
      <c r="H7" s="6" t="n">
        <v>5.47</v>
      </c>
      <c r="I7" s="6" t="n">
        <v>6.41</v>
      </c>
      <c r="J7" s="6" t="n">
        <v>2.63</v>
      </c>
      <c r="K7" s="7" t="n">
        <f aca="false">ROUND(G7*$F$2,2)</f>
        <v>1.78</v>
      </c>
      <c r="L7" s="7" t="n">
        <f aca="false">ROUND(H7*$F$2,2)</f>
        <v>5.47</v>
      </c>
      <c r="M7" s="7" t="n">
        <f aca="false">ROUND(I7*$F$2,2)</f>
        <v>6.41</v>
      </c>
      <c r="N7" s="7" t="n">
        <f aca="false">ROUND(J7*$F$2,2)</f>
        <v>2.63</v>
      </c>
    </row>
    <row r="8" customFormat="false" ht="15" hidden="false" customHeight="false" outlineLevel="0" collapsed="false">
      <c r="A8" s="3" t="n">
        <v>3</v>
      </c>
      <c r="B8" s="3" t="s">
        <v>26</v>
      </c>
      <c r="C8" s="3" t="s">
        <v>27</v>
      </c>
      <c r="D8" s="3" t="s">
        <v>21</v>
      </c>
      <c r="E8" s="3"/>
      <c r="F8" s="3"/>
      <c r="G8" s="6" t="n">
        <v>11.66</v>
      </c>
      <c r="H8" s="6" t="n">
        <v>5.97</v>
      </c>
      <c r="I8" s="6" t="n">
        <v>4.38</v>
      </c>
      <c r="J8" s="6" t="n">
        <v>2.81</v>
      </c>
      <c r="K8" s="7" t="n">
        <f aca="false">ROUND(G8*$F$2,2)</f>
        <v>11.66</v>
      </c>
      <c r="L8" s="7" t="n">
        <f aca="false">ROUND(H8*$F$2,2)</f>
        <v>5.97</v>
      </c>
      <c r="M8" s="7" t="n">
        <f aca="false">ROUND(I8*$F$2,2)</f>
        <v>4.38</v>
      </c>
      <c r="N8" s="7" t="n">
        <f aca="false">ROUND(J8*$F$2,2)</f>
        <v>2.81</v>
      </c>
    </row>
    <row r="9" customFormat="false" ht="15" hidden="false" customHeight="false" outlineLevel="0" collapsed="false">
      <c r="A9" s="3" t="n">
        <v>4</v>
      </c>
      <c r="B9" s="3" t="s">
        <v>28</v>
      </c>
      <c r="C9" s="3" t="s">
        <v>20</v>
      </c>
      <c r="D9" s="3" t="s">
        <v>21</v>
      </c>
      <c r="E9" s="3" t="s">
        <v>22</v>
      </c>
      <c r="F9" s="3" t="s">
        <v>23</v>
      </c>
      <c r="G9" s="6" t="n">
        <v>4.66</v>
      </c>
      <c r="H9" s="6" t="n">
        <v>9.69</v>
      </c>
      <c r="I9" s="6" t="n">
        <v>5.16</v>
      </c>
      <c r="J9" s="6" t="n">
        <v>0.69</v>
      </c>
      <c r="K9" s="7" t="n">
        <f aca="false">ROUND(G9*$F$2,2)</f>
        <v>4.66</v>
      </c>
      <c r="L9" s="7" t="n">
        <f aca="false">ROUND(H9*$F$2,2)</f>
        <v>9.69</v>
      </c>
      <c r="M9" s="7" t="n">
        <f aca="false">ROUND(I9*$F$2,2)</f>
        <v>5.16</v>
      </c>
      <c r="N9" s="7" t="n">
        <f aca="false">ROUND(J9*$F$2,2)</f>
        <v>0.69</v>
      </c>
    </row>
    <row r="10" customFormat="false" ht="15" hidden="false" customHeight="false" outlineLevel="0" collapsed="false">
      <c r="A10" s="3" t="n">
        <v>5</v>
      </c>
      <c r="B10" s="3" t="s">
        <v>29</v>
      </c>
      <c r="C10" s="3" t="s">
        <v>20</v>
      </c>
      <c r="D10" s="3" t="s">
        <v>21</v>
      </c>
      <c r="E10" s="3" t="s">
        <v>22</v>
      </c>
      <c r="F10" s="3" t="s">
        <v>30</v>
      </c>
      <c r="G10" s="6" t="n">
        <v>12.75</v>
      </c>
      <c r="H10" s="6" t="n">
        <v>9.69</v>
      </c>
      <c r="I10" s="6" t="n">
        <v>2.5</v>
      </c>
      <c r="J10" s="6" t="n">
        <v>0.69</v>
      </c>
      <c r="K10" s="7" t="n">
        <f aca="false">ROUND(G10*$F$2,2)</f>
        <v>12.75</v>
      </c>
      <c r="L10" s="7" t="n">
        <f aca="false">ROUND(H10*$F$2,2)</f>
        <v>9.69</v>
      </c>
      <c r="M10" s="7" t="n">
        <f aca="false">ROUND(I10*$F$2,2)</f>
        <v>2.5</v>
      </c>
      <c r="N10" s="7" t="n">
        <f aca="false">ROUND(J10*$F$2,2)</f>
        <v>0.69</v>
      </c>
    </row>
    <row r="11" customFormat="false" ht="15" hidden="false" customHeight="false" outlineLevel="0" collapsed="false">
      <c r="A11" s="3" t="n">
        <v>6</v>
      </c>
      <c r="B11" s="3" t="s">
        <v>31</v>
      </c>
      <c r="C11" s="3" t="s">
        <v>20</v>
      </c>
      <c r="D11" s="3" t="s">
        <v>32</v>
      </c>
      <c r="E11" s="3" t="s">
        <v>22</v>
      </c>
      <c r="F11" s="3" t="s">
        <v>25</v>
      </c>
      <c r="G11" s="6" t="n">
        <v>18.22</v>
      </c>
      <c r="H11" s="6" t="n">
        <v>5.47</v>
      </c>
      <c r="I11" s="6" t="n">
        <v>6.41</v>
      </c>
      <c r="J11" s="6" t="n">
        <v>2.63</v>
      </c>
      <c r="K11" s="7" t="n">
        <f aca="false">ROUND(G11*$F$2,2)</f>
        <v>18.22</v>
      </c>
      <c r="L11" s="7" t="n">
        <f aca="false">ROUND(H11*$F$2,2)</f>
        <v>5.47</v>
      </c>
      <c r="M11" s="7" t="n">
        <f aca="false">ROUND(I11*$F$2,2)</f>
        <v>6.41</v>
      </c>
      <c r="N11" s="7" t="n">
        <f aca="false">ROUND(J11*$F$2,2)</f>
        <v>2.63</v>
      </c>
    </row>
    <row r="12" customFormat="false" ht="15" hidden="false" customHeight="false" outlineLevel="0" collapsed="false">
      <c r="A12" s="3" t="n">
        <v>7</v>
      </c>
      <c r="B12" s="3" t="s">
        <v>33</v>
      </c>
      <c r="C12" s="3" t="s">
        <v>27</v>
      </c>
      <c r="D12" s="3" t="s">
        <v>32</v>
      </c>
      <c r="E12" s="3"/>
      <c r="F12" s="3"/>
      <c r="G12" s="6" t="n">
        <v>28.09</v>
      </c>
      <c r="H12" s="6" t="n">
        <v>5.97</v>
      </c>
      <c r="I12" s="6" t="n">
        <v>4.38</v>
      </c>
      <c r="J12" s="6" t="n">
        <v>2.81</v>
      </c>
      <c r="K12" s="7" t="n">
        <f aca="false">ROUND(G12*$F$2,2)</f>
        <v>28.09</v>
      </c>
      <c r="L12" s="7" t="n">
        <f aca="false">ROUND(H12*$F$2,2)</f>
        <v>5.97</v>
      </c>
      <c r="M12" s="7" t="n">
        <f aca="false">ROUND(I12*$F$2,2)</f>
        <v>4.38</v>
      </c>
      <c r="N12" s="7" t="n">
        <f aca="false">ROUND(J12*$F$2,2)</f>
        <v>2.81</v>
      </c>
    </row>
    <row r="13" customFormat="false" ht="15" hidden="false" customHeight="false" outlineLevel="0" collapsed="false">
      <c r="A13" s="3" t="n">
        <v>8</v>
      </c>
      <c r="B13" s="3" t="s">
        <v>34</v>
      </c>
      <c r="C13" s="3" t="s">
        <v>20</v>
      </c>
      <c r="D13" s="3" t="s">
        <v>32</v>
      </c>
      <c r="E13" s="3" t="s">
        <v>22</v>
      </c>
      <c r="F13" s="3" t="s">
        <v>23</v>
      </c>
      <c r="G13" s="6" t="n">
        <v>21.1</v>
      </c>
      <c r="H13" s="6" t="n">
        <v>9.69</v>
      </c>
      <c r="I13" s="6" t="n">
        <v>5.16</v>
      </c>
      <c r="J13" s="6" t="n">
        <v>0.69</v>
      </c>
      <c r="K13" s="7" t="n">
        <f aca="false">ROUND(G13*$F$2,2)</f>
        <v>21.1</v>
      </c>
      <c r="L13" s="7" t="n">
        <f aca="false">ROUND(H13*$F$2,2)</f>
        <v>9.69</v>
      </c>
      <c r="M13" s="7" t="n">
        <f aca="false">ROUND(I13*$F$2,2)</f>
        <v>5.16</v>
      </c>
      <c r="N13" s="7" t="n">
        <f aca="false">ROUND(J13*$F$2,2)</f>
        <v>0.69</v>
      </c>
    </row>
    <row r="14" customFormat="false" ht="15" hidden="false" customHeight="false" outlineLevel="0" collapsed="false">
      <c r="A14" s="3" t="n">
        <v>9</v>
      </c>
      <c r="B14" s="3" t="s">
        <v>35</v>
      </c>
      <c r="C14" s="3" t="s">
        <v>20</v>
      </c>
      <c r="D14" s="3" t="s">
        <v>32</v>
      </c>
      <c r="E14" s="3" t="s">
        <v>22</v>
      </c>
      <c r="F14" s="3" t="s">
        <v>30</v>
      </c>
      <c r="G14" s="6" t="n">
        <v>29.18</v>
      </c>
      <c r="H14" s="6" t="n">
        <v>9.69</v>
      </c>
      <c r="I14" s="6" t="n">
        <v>2.5</v>
      </c>
      <c r="J14" s="6" t="n">
        <v>0.69</v>
      </c>
      <c r="K14" s="7" t="n">
        <f aca="false">ROUND(G14*$F$2,2)</f>
        <v>29.18</v>
      </c>
      <c r="L14" s="7" t="n">
        <f aca="false">ROUND(H14*$F$2,2)</f>
        <v>9.69</v>
      </c>
      <c r="M14" s="7" t="n">
        <f aca="false">ROUND(I14*$F$2,2)</f>
        <v>2.5</v>
      </c>
      <c r="N14" s="7" t="n">
        <f aca="false">ROUND(J14*$F$2,2)</f>
        <v>0.69</v>
      </c>
    </row>
    <row r="15" customFormat="false" ht="15" hidden="false" customHeight="false" outlineLevel="0" collapsed="false">
      <c r="A15" s="3" t="n">
        <v>10</v>
      </c>
      <c r="B15" s="3" t="s">
        <v>36</v>
      </c>
      <c r="C15" s="3" t="s">
        <v>20</v>
      </c>
      <c r="D15" s="3" t="s">
        <v>37</v>
      </c>
      <c r="E15" s="3" t="s">
        <v>22</v>
      </c>
      <c r="F15" s="3" t="s">
        <v>25</v>
      </c>
      <c r="G15" s="6" t="n">
        <v>34.66</v>
      </c>
      <c r="H15" s="6" t="n">
        <v>5.97</v>
      </c>
      <c r="I15" s="6" t="n">
        <v>5.63</v>
      </c>
      <c r="J15" s="6" t="n">
        <v>2.19</v>
      </c>
      <c r="K15" s="7" t="n">
        <f aca="false">ROUND(G15*$F$2,2)</f>
        <v>34.66</v>
      </c>
      <c r="L15" s="7" t="n">
        <f aca="false">ROUND(H15*$F$2,2)</f>
        <v>5.97</v>
      </c>
      <c r="M15" s="7" t="n">
        <f aca="false">ROUND(I15*$F$2,2)</f>
        <v>5.63</v>
      </c>
      <c r="N15" s="7" t="n">
        <f aca="false">ROUND(J15*$F$2,2)</f>
        <v>2.19</v>
      </c>
    </row>
    <row r="16" customFormat="false" ht="15" hidden="false" customHeight="false" outlineLevel="0" collapsed="false">
      <c r="A16" s="3" t="n">
        <v>11</v>
      </c>
      <c r="B16" s="3" t="s">
        <v>38</v>
      </c>
      <c r="C16" s="3" t="s">
        <v>20</v>
      </c>
      <c r="D16" s="3" t="s">
        <v>39</v>
      </c>
      <c r="E16" s="3" t="s">
        <v>40</v>
      </c>
      <c r="F16" s="3" t="s">
        <v>25</v>
      </c>
      <c r="G16" s="6" t="n">
        <v>43.71</v>
      </c>
      <c r="H16" s="6" t="n">
        <v>5.97</v>
      </c>
      <c r="I16" s="6" t="n">
        <v>4.06</v>
      </c>
      <c r="J16" s="6" t="n">
        <v>2.19</v>
      </c>
      <c r="K16" s="7" t="n">
        <f aca="false">ROUND(G16*$F$2,2)</f>
        <v>43.71</v>
      </c>
      <c r="L16" s="7" t="n">
        <f aca="false">ROUND(H16*$F$2,2)</f>
        <v>5.97</v>
      </c>
      <c r="M16" s="7" t="n">
        <f aca="false">ROUND(I16*$F$2,2)</f>
        <v>4.06</v>
      </c>
      <c r="N16" s="7" t="n">
        <f aca="false">ROUND(J16*$F$2,2)</f>
        <v>2.19</v>
      </c>
    </row>
    <row r="17" customFormat="false" ht="15" hidden="false" customHeight="false" outlineLevel="0" collapsed="false">
      <c r="A17" s="3" t="n">
        <v>12</v>
      </c>
      <c r="B17" s="3" t="s">
        <v>41</v>
      </c>
      <c r="C17" s="3" t="s">
        <v>20</v>
      </c>
      <c r="D17" s="3" t="s">
        <v>37</v>
      </c>
      <c r="E17" s="3" t="s">
        <v>22</v>
      </c>
      <c r="F17" s="3" t="s">
        <v>23</v>
      </c>
      <c r="G17" s="6" t="n">
        <v>37.53</v>
      </c>
      <c r="H17" s="6" t="n">
        <v>9.06</v>
      </c>
      <c r="I17" s="6" t="n">
        <v>3.94</v>
      </c>
      <c r="J17" s="6" t="n">
        <v>0.69</v>
      </c>
      <c r="K17" s="7" t="n">
        <f aca="false">ROUND(G17*$F$2,2)</f>
        <v>37.53</v>
      </c>
      <c r="L17" s="7" t="n">
        <f aca="false">ROUND(H17*$F$2,2)</f>
        <v>9.06</v>
      </c>
      <c r="M17" s="7" t="n">
        <f aca="false">ROUND(I17*$F$2,2)</f>
        <v>3.94</v>
      </c>
      <c r="N17" s="7" t="n">
        <f aca="false">ROUND(J17*$F$2,2)</f>
        <v>0.69</v>
      </c>
    </row>
    <row r="18" customFormat="false" ht="15" hidden="false" customHeight="false" outlineLevel="0" collapsed="false">
      <c r="A18" s="3" t="n">
        <v>13</v>
      </c>
      <c r="B18" s="3" t="s">
        <v>42</v>
      </c>
      <c r="C18" s="3" t="s">
        <v>20</v>
      </c>
      <c r="D18" s="3" t="s">
        <v>43</v>
      </c>
      <c r="E18" s="3" t="s">
        <v>22</v>
      </c>
      <c r="F18" s="3" t="s">
        <v>25</v>
      </c>
      <c r="G18" s="6" t="n">
        <v>44.03</v>
      </c>
      <c r="H18" s="6" t="n">
        <v>9.06</v>
      </c>
      <c r="I18" s="6" t="n">
        <v>1.75</v>
      </c>
      <c r="J18" s="6" t="n">
        <v>0.69</v>
      </c>
      <c r="K18" s="7" t="n">
        <f aca="false">ROUND(G18*$F$2,2)</f>
        <v>44.03</v>
      </c>
      <c r="L18" s="7" t="n">
        <f aca="false">ROUND(H18*$F$2,2)</f>
        <v>9.06</v>
      </c>
      <c r="M18" s="7" t="n">
        <f aca="false">ROUND(I18*$F$2,2)</f>
        <v>1.75</v>
      </c>
      <c r="N18" s="7" t="n">
        <f aca="false">ROUND(J18*$F$2,2)</f>
        <v>0.69</v>
      </c>
    </row>
    <row r="19" customFormat="false" ht="15" hidden="false" customHeight="false" outlineLevel="0" collapsed="false">
      <c r="A19" s="3" t="n">
        <v>14</v>
      </c>
      <c r="B19" s="3" t="s">
        <v>44</v>
      </c>
      <c r="C19" s="3" t="s">
        <v>27</v>
      </c>
      <c r="D19" s="3" t="s">
        <v>45</v>
      </c>
      <c r="E19" s="3"/>
      <c r="F19" s="3"/>
      <c r="G19" s="6" t="n">
        <v>3.16</v>
      </c>
      <c r="H19" s="6" t="n">
        <v>15.06</v>
      </c>
      <c r="I19" s="6" t="n">
        <v>30.94</v>
      </c>
      <c r="J19" s="6" t="n">
        <v>17.5</v>
      </c>
      <c r="K19" s="7" t="n">
        <f aca="false">ROUND(G19*$F$2,2)</f>
        <v>3.16</v>
      </c>
      <c r="L19" s="7" t="n">
        <f aca="false">ROUND(H19*$F$2,2)</f>
        <v>15.06</v>
      </c>
      <c r="M19" s="7" t="n">
        <f aca="false">ROUND(I19*$F$2,2)</f>
        <v>30.94</v>
      </c>
      <c r="N19" s="7" t="n">
        <f aca="false">ROUND(J19*$F$2,2)</f>
        <v>17.5</v>
      </c>
    </row>
    <row r="20" customFormat="false" ht="15" hidden="false" customHeight="false" outlineLevel="0" collapsed="false">
      <c r="A20" s="3" t="n">
        <v>15</v>
      </c>
      <c r="B20" s="3" t="s">
        <v>46</v>
      </c>
      <c r="C20" s="3" t="s">
        <v>20</v>
      </c>
      <c r="D20" s="3" t="s">
        <v>47</v>
      </c>
      <c r="E20" s="3" t="s">
        <v>22</v>
      </c>
      <c r="F20" s="3" t="s">
        <v>23</v>
      </c>
      <c r="G20" s="6" t="n">
        <v>37.72</v>
      </c>
      <c r="H20" s="6" t="n">
        <v>15.8</v>
      </c>
      <c r="I20" s="6" t="n">
        <v>2.5</v>
      </c>
      <c r="J20" s="6" t="n">
        <v>0.75</v>
      </c>
      <c r="K20" s="7" t="n">
        <f aca="false">ROUND(G20*$F$2,2)</f>
        <v>37.72</v>
      </c>
      <c r="L20" s="7" t="n">
        <f aca="false">ROUND(H20*$F$2,2)</f>
        <v>15.8</v>
      </c>
      <c r="M20" s="7" t="n">
        <f aca="false">ROUND(I20*$F$2,2)</f>
        <v>2.5</v>
      </c>
      <c r="N20" s="7" t="n">
        <f aca="false">ROUND(J20*$F$2,2)</f>
        <v>0.75</v>
      </c>
    </row>
    <row r="21" customFormat="false" ht="15" hidden="false" customHeight="false" outlineLevel="0" collapsed="false">
      <c r="A21" s="3" t="n">
        <v>16</v>
      </c>
      <c r="B21" s="3" t="s">
        <v>48</v>
      </c>
      <c r="C21" s="3" t="s">
        <v>20</v>
      </c>
      <c r="D21" s="3" t="s">
        <v>49</v>
      </c>
      <c r="E21" s="3" t="s">
        <v>22</v>
      </c>
      <c r="F21" s="3" t="s">
        <v>23</v>
      </c>
      <c r="G21" s="6" t="n">
        <v>37.72</v>
      </c>
      <c r="H21" s="6" t="n">
        <v>17.05</v>
      </c>
      <c r="I21" s="6" t="n">
        <v>2.5</v>
      </c>
      <c r="J21" s="6" t="n">
        <v>0.75</v>
      </c>
      <c r="K21" s="7" t="n">
        <f aca="false">ROUND(G21*$F$2,2)</f>
        <v>37.72</v>
      </c>
      <c r="L21" s="7" t="n">
        <f aca="false">ROUND(H21*$F$2,2)</f>
        <v>17.05</v>
      </c>
      <c r="M21" s="7" t="n">
        <f aca="false">ROUND(I21*$F$2,2)</f>
        <v>2.5</v>
      </c>
      <c r="N21" s="7" t="n">
        <f aca="false">ROUND(J21*$F$2,2)</f>
        <v>0.75</v>
      </c>
    </row>
    <row r="22" customFormat="false" ht="15" hidden="false" customHeight="false" outlineLevel="0" collapsed="false">
      <c r="A22" s="3" t="n">
        <v>17</v>
      </c>
      <c r="B22" s="3" t="s">
        <v>50</v>
      </c>
      <c r="C22" s="3" t="s">
        <v>20</v>
      </c>
      <c r="D22" s="3" t="s">
        <v>51</v>
      </c>
      <c r="E22" s="3" t="s">
        <v>22</v>
      </c>
      <c r="F22" s="3" t="s">
        <v>23</v>
      </c>
      <c r="G22" s="6" t="n">
        <v>37.72</v>
      </c>
      <c r="H22" s="6" t="n">
        <v>18.3</v>
      </c>
      <c r="I22" s="6" t="n">
        <v>2.5</v>
      </c>
      <c r="J22" s="6" t="n">
        <v>0.75</v>
      </c>
      <c r="K22" s="7" t="n">
        <f aca="false">ROUND(G22*$F$2,2)</f>
        <v>37.72</v>
      </c>
      <c r="L22" s="7" t="n">
        <f aca="false">ROUND(H22*$F$2,2)</f>
        <v>18.3</v>
      </c>
      <c r="M22" s="7" t="n">
        <f aca="false">ROUND(I22*$F$2,2)</f>
        <v>2.5</v>
      </c>
      <c r="N22" s="7" t="n">
        <f aca="false">ROUND(J22*$F$2,2)</f>
        <v>0.75</v>
      </c>
    </row>
    <row r="23" customFormat="false" ht="15" hidden="false" customHeight="false" outlineLevel="0" collapsed="false">
      <c r="A23" s="3" t="n">
        <v>18</v>
      </c>
      <c r="B23" s="3" t="s">
        <v>52</v>
      </c>
      <c r="C23" s="3" t="s">
        <v>20</v>
      </c>
      <c r="D23" s="3" t="s">
        <v>53</v>
      </c>
      <c r="E23" s="3" t="s">
        <v>22</v>
      </c>
      <c r="F23" s="3" t="s">
        <v>23</v>
      </c>
      <c r="G23" s="6" t="n">
        <v>37.72</v>
      </c>
      <c r="H23" s="6" t="n">
        <v>19.55</v>
      </c>
      <c r="I23" s="6" t="n">
        <v>2.5</v>
      </c>
      <c r="J23" s="6" t="n">
        <v>0.75</v>
      </c>
      <c r="K23" s="7" t="n">
        <f aca="false">ROUND(G23*$F$2,2)</f>
        <v>37.72</v>
      </c>
      <c r="L23" s="7" t="n">
        <f aca="false">ROUND(H23*$F$2,2)</f>
        <v>19.55</v>
      </c>
      <c r="M23" s="7" t="n">
        <f aca="false">ROUND(I23*$F$2,2)</f>
        <v>2.5</v>
      </c>
      <c r="N23" s="7" t="n">
        <f aca="false">ROUND(J23*$F$2,2)</f>
        <v>0.75</v>
      </c>
    </row>
    <row r="24" customFormat="false" ht="15" hidden="false" customHeight="false" outlineLevel="0" collapsed="false">
      <c r="A24" s="3" t="n">
        <v>19</v>
      </c>
      <c r="B24" s="3" t="s">
        <v>54</v>
      </c>
      <c r="C24" s="3" t="s">
        <v>20</v>
      </c>
      <c r="D24" s="3" t="s">
        <v>47</v>
      </c>
      <c r="E24" s="3" t="s">
        <v>22</v>
      </c>
      <c r="F24" s="3" t="s">
        <v>25</v>
      </c>
      <c r="G24" s="6" t="n">
        <v>42.09</v>
      </c>
      <c r="H24" s="6" t="n">
        <v>15.77</v>
      </c>
      <c r="I24" s="6" t="n">
        <v>3.75</v>
      </c>
      <c r="J24" s="6" t="n">
        <v>0.81</v>
      </c>
      <c r="K24" s="7" t="n">
        <f aca="false">ROUND(G24*$F$2,2)</f>
        <v>42.09</v>
      </c>
      <c r="L24" s="7" t="n">
        <f aca="false">ROUND(H24*$F$2,2)</f>
        <v>15.77</v>
      </c>
      <c r="M24" s="7" t="n">
        <f aca="false">ROUND(I24*$F$2,2)</f>
        <v>3.75</v>
      </c>
      <c r="N24" s="7" t="n">
        <f aca="false">ROUND(J24*$F$2,2)</f>
        <v>0.81</v>
      </c>
    </row>
    <row r="25" customFormat="false" ht="15" hidden="false" customHeight="false" outlineLevel="0" collapsed="false">
      <c r="A25" s="3" t="n">
        <v>20</v>
      </c>
      <c r="B25" s="3" t="s">
        <v>55</v>
      </c>
      <c r="C25" s="3" t="s">
        <v>20</v>
      </c>
      <c r="D25" s="3" t="s">
        <v>49</v>
      </c>
      <c r="E25" s="3" t="s">
        <v>22</v>
      </c>
      <c r="F25" s="3" t="s">
        <v>25</v>
      </c>
      <c r="G25" s="6" t="n">
        <v>42.09</v>
      </c>
      <c r="H25" s="6" t="n">
        <v>17.02</v>
      </c>
      <c r="I25" s="6" t="n">
        <v>3.75</v>
      </c>
      <c r="J25" s="6" t="n">
        <v>0.81</v>
      </c>
      <c r="K25" s="7" t="n">
        <f aca="false">ROUND(G25*$F$2,2)</f>
        <v>42.09</v>
      </c>
      <c r="L25" s="7" t="n">
        <f aca="false">ROUND(H25*$F$2,2)</f>
        <v>17.02</v>
      </c>
      <c r="M25" s="7" t="n">
        <f aca="false">ROUND(I25*$F$2,2)</f>
        <v>3.75</v>
      </c>
      <c r="N25" s="7" t="n">
        <f aca="false">ROUND(J25*$F$2,2)</f>
        <v>0.81</v>
      </c>
    </row>
    <row r="26" customFormat="false" ht="15" hidden="false" customHeight="false" outlineLevel="0" collapsed="false">
      <c r="A26" s="3" t="n">
        <v>21</v>
      </c>
      <c r="B26" s="3" t="s">
        <v>56</v>
      </c>
      <c r="C26" s="3" t="s">
        <v>20</v>
      </c>
      <c r="D26" s="3" t="s">
        <v>51</v>
      </c>
      <c r="E26" s="3" t="s">
        <v>22</v>
      </c>
      <c r="F26" s="3" t="s">
        <v>25</v>
      </c>
      <c r="G26" s="6" t="n">
        <v>42.09</v>
      </c>
      <c r="H26" s="6" t="n">
        <v>18.27</v>
      </c>
      <c r="I26" s="6" t="n">
        <v>3.75</v>
      </c>
      <c r="J26" s="6" t="n">
        <v>0.81</v>
      </c>
      <c r="K26" s="7" t="n">
        <f aca="false">ROUND(G26*$F$2,2)</f>
        <v>42.09</v>
      </c>
      <c r="L26" s="7" t="n">
        <f aca="false">ROUND(H26*$F$2,2)</f>
        <v>18.27</v>
      </c>
      <c r="M26" s="7" t="n">
        <f aca="false">ROUND(I26*$F$2,2)</f>
        <v>3.75</v>
      </c>
      <c r="N26" s="7" t="n">
        <f aca="false">ROUND(J26*$F$2,2)</f>
        <v>0.81</v>
      </c>
    </row>
    <row r="27" customFormat="false" ht="15" hidden="false" customHeight="false" outlineLevel="0" collapsed="false">
      <c r="A27" s="3" t="n">
        <v>22</v>
      </c>
      <c r="B27" s="3" t="s">
        <v>57</v>
      </c>
      <c r="C27" s="3" t="s">
        <v>20</v>
      </c>
      <c r="D27" s="3" t="s">
        <v>53</v>
      </c>
      <c r="E27" s="3" t="s">
        <v>22</v>
      </c>
      <c r="F27" s="3" t="s">
        <v>25</v>
      </c>
      <c r="G27" s="6" t="n">
        <v>42.09</v>
      </c>
      <c r="H27" s="6" t="n">
        <v>19.52</v>
      </c>
      <c r="I27" s="6" t="n">
        <v>3.75</v>
      </c>
      <c r="J27" s="6" t="n">
        <v>0.81</v>
      </c>
      <c r="K27" s="7" t="n">
        <f aca="false">ROUND(G27*$F$2,2)</f>
        <v>42.09</v>
      </c>
      <c r="L27" s="7" t="n">
        <f aca="false">ROUND(H27*$F$2,2)</f>
        <v>19.52</v>
      </c>
      <c r="M27" s="7" t="n">
        <f aca="false">ROUND(I27*$F$2,2)</f>
        <v>3.75</v>
      </c>
      <c r="N27" s="7" t="n">
        <f aca="false">ROUND(J27*$F$2,2)</f>
        <v>0.81</v>
      </c>
    </row>
    <row r="28" customFormat="false" ht="15" hidden="false" customHeight="false" outlineLevel="0" collapsed="false">
      <c r="A28" s="3" t="n">
        <v>23</v>
      </c>
      <c r="B28" s="3" t="s">
        <v>58</v>
      </c>
      <c r="C28" s="3" t="s">
        <v>20</v>
      </c>
      <c r="D28" s="3" t="s">
        <v>59</v>
      </c>
      <c r="E28" s="3" t="s">
        <v>60</v>
      </c>
      <c r="F28" s="3" t="s">
        <v>25</v>
      </c>
      <c r="G28" s="6" t="n">
        <v>46.03</v>
      </c>
      <c r="H28" s="6" t="n">
        <v>24.52</v>
      </c>
      <c r="I28" s="6" t="n">
        <v>2</v>
      </c>
      <c r="J28" s="6" t="n">
        <v>0.94</v>
      </c>
      <c r="K28" s="7" t="n">
        <f aca="false">ROUND(G28*$F$2,2)</f>
        <v>46.03</v>
      </c>
      <c r="L28" s="7" t="n">
        <f aca="false">ROUND(H28*$F$2,2)</f>
        <v>24.52</v>
      </c>
      <c r="M28" s="7" t="n">
        <f aca="false">ROUND(I28*$F$2,2)</f>
        <v>2</v>
      </c>
      <c r="N28" s="7" t="n">
        <f aca="false">ROUND(J28*$F$2,2)</f>
        <v>0.94</v>
      </c>
    </row>
    <row r="29" customFormat="false" ht="15" hidden="false" customHeight="false" outlineLevel="0" collapsed="false">
      <c r="A29" s="3" t="n">
        <v>24</v>
      </c>
      <c r="B29" s="3" t="s">
        <v>61</v>
      </c>
      <c r="C29" s="3" t="s">
        <v>20</v>
      </c>
      <c r="D29" s="3" t="s">
        <v>62</v>
      </c>
      <c r="E29" s="3" t="s">
        <v>60</v>
      </c>
      <c r="F29" s="3" t="s">
        <v>25</v>
      </c>
      <c r="G29" s="6" t="n">
        <v>46.03</v>
      </c>
      <c r="H29" s="6" t="n">
        <v>25.89</v>
      </c>
      <c r="I29" s="6" t="n">
        <v>2</v>
      </c>
      <c r="J29" s="6" t="n">
        <v>0.94</v>
      </c>
      <c r="K29" s="7" t="n">
        <f aca="false">ROUND(G29*$F$2,2)</f>
        <v>46.03</v>
      </c>
      <c r="L29" s="7" t="n">
        <f aca="false">ROUND(H29*$F$2,2)</f>
        <v>25.89</v>
      </c>
      <c r="M29" s="7" t="n">
        <f aca="false">ROUND(I29*$F$2,2)</f>
        <v>2</v>
      </c>
      <c r="N29" s="7" t="n">
        <f aca="false">ROUND(J29*$F$2,2)</f>
        <v>0.94</v>
      </c>
    </row>
    <row r="30" customFormat="false" ht="15" hidden="false" customHeight="false" outlineLevel="0" collapsed="false">
      <c r="A30" s="3" t="n">
        <v>25</v>
      </c>
      <c r="B30" s="3" t="s">
        <v>63</v>
      </c>
      <c r="C30" s="3" t="s">
        <v>20</v>
      </c>
      <c r="D30" s="3" t="s">
        <v>64</v>
      </c>
      <c r="E30" s="3" t="s">
        <v>60</v>
      </c>
      <c r="F30" s="3" t="s">
        <v>25</v>
      </c>
      <c r="G30" s="6" t="n">
        <v>46.03</v>
      </c>
      <c r="H30" s="6" t="n">
        <v>27.27</v>
      </c>
      <c r="I30" s="6" t="n">
        <v>2</v>
      </c>
      <c r="J30" s="6" t="n">
        <v>0.94</v>
      </c>
      <c r="K30" s="7" t="n">
        <f aca="false">ROUND(G30*$F$2,2)</f>
        <v>46.03</v>
      </c>
      <c r="L30" s="7" t="n">
        <f aca="false">ROUND(H30*$F$2,2)</f>
        <v>27.27</v>
      </c>
      <c r="M30" s="7" t="n">
        <f aca="false">ROUND(I30*$F$2,2)</f>
        <v>2</v>
      </c>
      <c r="N30" s="7" t="n">
        <f aca="false">ROUND(J30*$F$2,2)</f>
        <v>0.94</v>
      </c>
    </row>
    <row r="31" customFormat="false" ht="15" hidden="false" customHeight="false" outlineLevel="0" collapsed="false">
      <c r="A31" s="3" t="n">
        <v>26</v>
      </c>
      <c r="B31" s="3" t="s">
        <v>65</v>
      </c>
      <c r="C31" s="3" t="s">
        <v>20</v>
      </c>
      <c r="D31" s="3" t="s">
        <v>66</v>
      </c>
      <c r="E31" s="3" t="s">
        <v>22</v>
      </c>
      <c r="F31" s="3" t="s">
        <v>25</v>
      </c>
      <c r="G31" s="6" t="n">
        <v>40.1</v>
      </c>
      <c r="H31" s="6" t="n">
        <v>10</v>
      </c>
      <c r="I31" s="6" t="n">
        <v>0.75</v>
      </c>
      <c r="J31" s="6" t="n">
        <v>0.69</v>
      </c>
      <c r="K31" s="7" t="n">
        <f aca="false">ROUND(G31*$F$2,2)</f>
        <v>40.1</v>
      </c>
      <c r="L31" s="7" t="n">
        <f aca="false">ROUND(H31*$F$2,2)</f>
        <v>10</v>
      </c>
      <c r="M31" s="7" t="n">
        <f aca="false">ROUND(I31*$F$2,2)</f>
        <v>0.75</v>
      </c>
      <c r="N31" s="7" t="n">
        <f aca="false">ROUND(J31*$F$2,2)</f>
        <v>0.69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2026-10-28T18:57:03Z</dcterms:created>
  <dc:creator>openpyxl</dc:creator>
  <dc:description/>
  <dc:language>en-US</dc:language>
  <cp:lastModifiedBy/>
  <dcterms:modified xsi:type="dcterms:W3CDTF">2026-10-28T18:57:03Z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