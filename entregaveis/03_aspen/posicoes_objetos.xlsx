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0000FF"/>
    </font>
    <font>
      <name val="Arial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263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3" borderId="0" applyAlignment="1" pivotButton="0" quotePrefix="0" xfId="0">
      <alignment vertical="center" wrapText="1"/>
    </xf>
    <xf numFmtId="2" fontId="3" fillId="0" borderId="0" pivotButton="0" quotePrefix="0" xfId="0"/>
    <xf numFmtId="2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26" customWidth="1" min="4" max="4"/>
    <col width="22" customWidth="1" min="5" max="5"/>
    <col width="30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Largura da tela no editor, em unidades. O padrão do Aspen é 50; só altere se a tela tiver outro tamanho.</t>
        </is>
      </c>
      <c r="F1" s="2" t="n">
        <v>50</v>
      </c>
    </row>
    <row r="2">
      <c r="A2" s="3" t="inlineStr">
        <is>
          <t>Fator de conversão (calculado)</t>
        </is>
      </c>
      <c r="F2" s="4">
        <f>F1/50</f>
        <v/>
      </c>
    </row>
    <row r="4">
      <c r="A4" s="5" t="inlineStr">
        <is>
          <t>Nº</t>
        </is>
      </c>
      <c r="B4" s="5" t="inlineStr">
        <is>
          <t>Objeto</t>
        </is>
      </c>
      <c r="C4" s="5" t="inlineStr">
        <is>
          <t>Ferramenta</t>
        </is>
      </c>
      <c r="D4" s="5" t="inlineStr">
        <is>
          <t>Tag</t>
        </is>
      </c>
      <c r="E4" s="5" t="inlineStr">
        <is>
          <t>Mapa</t>
        </is>
      </c>
      <c r="F4" s="5" t="inlineStr">
        <is>
          <t>Atributo</t>
        </is>
      </c>
      <c r="G4" s="5" t="inlineStr">
        <is>
          <t>X (tela 50)</t>
        </is>
      </c>
      <c r="H4" s="5" t="inlineStr">
        <is>
          <t>Y (tela 50)</t>
        </is>
      </c>
      <c r="I4" s="5" t="inlineStr">
        <is>
          <t>Largura (tela 50)</t>
        </is>
      </c>
      <c r="J4" s="5" t="inlineStr">
        <is>
          <t>Altura (tela 50)</t>
        </is>
      </c>
      <c r="K4" s="5" t="inlineStr">
        <is>
          <t>X no editor</t>
        </is>
      </c>
      <c r="L4" s="5" t="inlineStr">
        <is>
          <t>Y no editor</t>
        </is>
      </c>
      <c r="M4" s="5" t="inlineStr">
        <is>
          <t>Largura no editor</t>
        </is>
      </c>
      <c r="N4" s="5" t="inlineStr">
        <is>
          <t>Altura no editor</t>
        </is>
      </c>
    </row>
    <row r="5">
      <c r="A5" s="3" t="inlineStr">
        <is>
          <t>Tela</t>
        </is>
      </c>
      <c r="B5" s="3" t="inlineStr">
        <is>
          <t>Tela inteira (referência)</t>
        </is>
      </c>
      <c r="C5" s="3" t="inlineStr">
        <is>
          <t>-</t>
        </is>
      </c>
      <c r="D5" s="3" t="inlineStr"/>
      <c r="E5" s="3" t="inlineStr"/>
      <c r="F5" s="3" t="inlineStr"/>
      <c r="G5" s="6" t="n">
        <v>0</v>
      </c>
      <c r="H5" s="6" t="n">
        <v>0</v>
      </c>
      <c r="I5" s="6" t="n">
        <v>50</v>
      </c>
      <c r="J5" s="6" t="n">
        <v>35</v>
      </c>
      <c r="K5" s="7">
        <f>ROUND(G5*$F$2,2)</f>
        <v/>
      </c>
      <c r="L5" s="7">
        <f>ROUND(H5*$F$2,2)</f>
        <v/>
      </c>
      <c r="M5" s="7">
        <f>ROUND(I5*$F$2,2)</f>
        <v/>
      </c>
      <c r="N5" s="7">
        <f>ROUND(J5*$F$2,2)</f>
        <v/>
      </c>
    </row>
    <row r="6">
      <c r="A6" s="3" t="n">
        <v>1</v>
      </c>
      <c r="B6" s="3" t="inlineStr">
        <is>
          <t>Última atualização (cabeçalho)</t>
        </is>
      </c>
      <c r="C6" s="3" t="inlineStr">
        <is>
          <t>Campo de dados</t>
        </is>
      </c>
      <c r="D6" s="3" t="inlineStr">
        <is>
          <t>307-GI-001</t>
        </is>
      </c>
      <c r="E6" s="3" t="inlineStr">
        <is>
          <t>IP_ANALOGMAP</t>
        </is>
      </c>
      <c r="F6" s="3" t="inlineStr">
        <is>
          <t>`VAL` no arquivo: trocar pelo atributo de data e hora (Parte B)</t>
        </is>
      </c>
      <c r="G6" s="6" t="n">
        <v>42.75</v>
      </c>
      <c r="H6" s="6" t="n">
        <v>1.03</v>
      </c>
      <c r="I6" s="6" t="n">
        <v>6.25</v>
      </c>
      <c r="J6" s="6" t="n">
        <v>0.8100000000000001</v>
      </c>
      <c r="K6" s="7">
        <f>ROUND(G6*$F$2,2)</f>
        <v/>
      </c>
      <c r="L6" s="7">
        <f>ROUND(H6*$F$2,2)</f>
        <v/>
      </c>
      <c r="M6" s="7">
        <f>ROUND(I6*$F$2,2)</f>
        <v/>
      </c>
      <c r="N6" s="7">
        <f>ROUND(J6*$F$2,2)</f>
        <v/>
      </c>
    </row>
    <row r="7">
      <c r="A7" s="3" t="n">
        <v>2</v>
      </c>
      <c r="B7" s="3" t="inlineStr">
        <is>
          <t>Média compressão online: valor</t>
        </is>
      </c>
      <c r="C7" s="3" t="inlineStr">
        <is>
          <t>Campo de dados</t>
        </is>
      </c>
      <c r="D7" s="3" t="inlineStr">
        <is>
          <t>307-GI-001</t>
        </is>
      </c>
      <c r="E7" s="3" t="inlineStr">
        <is>
          <t>IP_ANALOGMAP</t>
        </is>
      </c>
      <c r="F7" s="3" t="inlineStr">
        <is>
          <t>VAL</t>
        </is>
      </c>
      <c r="G7" s="6" t="n">
        <v>1.78</v>
      </c>
      <c r="H7" s="6" t="n">
        <v>5.47</v>
      </c>
      <c r="I7" s="6" t="n">
        <v>6.41</v>
      </c>
      <c r="J7" s="6" t="n">
        <v>2.63</v>
      </c>
      <c r="K7" s="7">
        <f>ROUND(G7*$F$2,2)</f>
        <v/>
      </c>
      <c r="L7" s="7">
        <f>ROUND(H7*$F$2,2)</f>
        <v/>
      </c>
      <c r="M7" s="7">
        <f>ROUND(I7*$F$2,2)</f>
        <v/>
      </c>
      <c r="N7" s="7">
        <f>ROUND(J7*$F$2,2)</f>
        <v/>
      </c>
    </row>
    <row r="8">
      <c r="A8" s="3" t="n">
        <v>3</v>
      </c>
      <c r="B8" s="3" t="inlineStr">
        <is>
          <t>Média compressão online: minitendência</t>
        </is>
      </c>
      <c r="C8" s="3" t="inlineStr">
        <is>
          <t>Tendência (plot)</t>
        </is>
      </c>
      <c r="D8" s="3" t="inlineStr">
        <is>
          <t>307-GI-001</t>
        </is>
      </c>
      <c r="E8" s="3" t="inlineStr"/>
      <c r="F8" s="3" t="inlineStr"/>
      <c r="G8" s="6" t="n">
        <v>11.66</v>
      </c>
      <c r="H8" s="6" t="n">
        <v>5.97</v>
      </c>
      <c r="I8" s="6" t="n">
        <v>4.38</v>
      </c>
      <c r="J8" s="6" t="n">
        <v>2.81</v>
      </c>
      <c r="K8" s="7">
        <f>ROUND(G8*$F$2,2)</f>
        <v/>
      </c>
      <c r="L8" s="7">
        <f>ROUND(H8*$F$2,2)</f>
        <v/>
      </c>
      <c r="M8" s="7">
        <f>ROUND(I8*$F$2,2)</f>
        <v/>
      </c>
      <c r="N8" s="7">
        <f>ROUND(J8*$F$2,2)</f>
        <v/>
      </c>
    </row>
    <row r="9">
      <c r="A9" s="3" t="n">
        <v>4</v>
      </c>
      <c r="B9" s="3" t="inlineStr">
        <is>
          <t>Média compressão online: atualizado às</t>
        </is>
      </c>
      <c r="C9" s="3" t="inlineStr">
        <is>
          <t>Campo de dados</t>
        </is>
      </c>
      <c r="D9" s="3" t="inlineStr">
        <is>
          <t>307-GI-001</t>
        </is>
      </c>
      <c r="E9" s="3" t="inlineStr">
        <is>
          <t>IP_ANALOGMAP</t>
        </is>
      </c>
      <c r="F9" s="3" t="inlineStr">
        <is>
          <t>`VAL` no arquivo: trocar pelo atributo de data e hora (Parte B)</t>
        </is>
      </c>
      <c r="G9" s="6" t="n">
        <v>4.66</v>
      </c>
      <c r="H9" s="6" t="n">
        <v>9.69</v>
      </c>
      <c r="I9" s="6" t="n">
        <v>5.16</v>
      </c>
      <c r="J9" s="6" t="n">
        <v>0.6899999999999999</v>
      </c>
      <c r="K9" s="7">
        <f>ROUND(G9*$F$2,2)</f>
        <v/>
      </c>
      <c r="L9" s="7">
        <f>ROUND(H9*$F$2,2)</f>
        <v/>
      </c>
      <c r="M9" s="7">
        <f>ROUND(I9*$F$2,2)</f>
        <v/>
      </c>
      <c r="N9" s="7">
        <f>ROUND(J9*$F$2,2)</f>
        <v/>
      </c>
    </row>
    <row r="10">
      <c r="A10" s="3" t="n">
        <v>5</v>
      </c>
      <c r="B10" s="3" t="inlineStr">
        <is>
          <t>Média compressão online: qualidade</t>
        </is>
      </c>
      <c r="C10" s="3" t="inlineStr">
        <is>
          <t>Campo de dados</t>
        </is>
      </c>
      <c r="D10" s="3" t="inlineStr">
        <is>
          <t>307-GI-001</t>
        </is>
      </c>
      <c r="E10" s="3" t="inlineStr">
        <is>
          <t>IP_ANALOGMAP</t>
        </is>
      </c>
      <c r="F10" s="3" t="inlineStr">
        <is>
          <t>`VAL` no arquivo: trocar pelo atributo de qualidade (Parte B)</t>
        </is>
      </c>
      <c r="G10" s="6" t="n">
        <v>12.75</v>
      </c>
      <c r="H10" s="6" t="n">
        <v>9.69</v>
      </c>
      <c r="I10" s="6" t="n">
        <v>2.5</v>
      </c>
      <c r="J10" s="6" t="n">
        <v>0.6899999999999999</v>
      </c>
      <c r="K10" s="7">
        <f>ROUND(G10*$F$2,2)</f>
        <v/>
      </c>
      <c r="L10" s="7">
        <f>ROUND(H10*$F$2,2)</f>
        <v/>
      </c>
      <c r="M10" s="7">
        <f>ROUND(I10*$F$2,2)</f>
        <v/>
      </c>
      <c r="N10" s="7">
        <f>ROUND(J10*$F$2,2)</f>
        <v/>
      </c>
    </row>
    <row r="11">
      <c r="A11" s="3" t="n">
        <v>6</v>
      </c>
      <c r="B11" s="3" t="inlineStr">
        <is>
          <t>Desvio padrão: valor</t>
        </is>
      </c>
      <c r="C11" s="3" t="inlineStr">
        <is>
          <t>Campo de dados</t>
        </is>
      </c>
      <c r="D11" s="3" t="inlineStr">
        <is>
          <t>307-GI-002</t>
        </is>
      </c>
      <c r="E11" s="3" t="inlineStr">
        <is>
          <t>IP_ANALOGMAP</t>
        </is>
      </c>
      <c r="F11" s="3" t="inlineStr">
        <is>
          <t>VAL</t>
        </is>
      </c>
      <c r="G11" s="6" t="n">
        <v>18.22</v>
      </c>
      <c r="H11" s="6" t="n">
        <v>5.47</v>
      </c>
      <c r="I11" s="6" t="n">
        <v>6.41</v>
      </c>
      <c r="J11" s="6" t="n">
        <v>2.63</v>
      </c>
      <c r="K11" s="7">
        <f>ROUND(G11*$F$2,2)</f>
        <v/>
      </c>
      <c r="L11" s="7">
        <f>ROUND(H11*$F$2,2)</f>
        <v/>
      </c>
      <c r="M11" s="7">
        <f>ROUND(I11*$F$2,2)</f>
        <v/>
      </c>
      <c r="N11" s="7">
        <f>ROUND(J11*$F$2,2)</f>
        <v/>
      </c>
    </row>
    <row r="12">
      <c r="A12" s="3" t="n">
        <v>7</v>
      </c>
      <c r="B12" s="3" t="inlineStr">
        <is>
          <t>Desvio padrão: minitendência</t>
        </is>
      </c>
      <c r="C12" s="3" t="inlineStr">
        <is>
          <t>Tendência (plot)</t>
        </is>
      </c>
      <c r="D12" s="3" t="inlineStr">
        <is>
          <t>307-GI-002</t>
        </is>
      </c>
      <c r="E12" s="3" t="inlineStr"/>
      <c r="F12" s="3" t="inlineStr"/>
      <c r="G12" s="6" t="n">
        <v>28.09</v>
      </c>
      <c r="H12" s="6" t="n">
        <v>5.97</v>
      </c>
      <c r="I12" s="6" t="n">
        <v>4.38</v>
      </c>
      <c r="J12" s="6" t="n">
        <v>2.81</v>
      </c>
      <c r="K12" s="7">
        <f>ROUND(G12*$F$2,2)</f>
        <v/>
      </c>
      <c r="L12" s="7">
        <f>ROUND(H12*$F$2,2)</f>
        <v/>
      </c>
      <c r="M12" s="7">
        <f>ROUND(I12*$F$2,2)</f>
        <v/>
      </c>
      <c r="N12" s="7">
        <f>ROUND(J12*$F$2,2)</f>
        <v/>
      </c>
    </row>
    <row r="13">
      <c r="A13" s="3" t="n">
        <v>8</v>
      </c>
      <c r="B13" s="3" t="inlineStr">
        <is>
          <t>Desvio padrão: atualizado às</t>
        </is>
      </c>
      <c r="C13" s="3" t="inlineStr">
        <is>
          <t>Campo de dados</t>
        </is>
      </c>
      <c r="D13" s="3" t="inlineStr">
        <is>
          <t>307-GI-002</t>
        </is>
      </c>
      <c r="E13" s="3" t="inlineStr">
        <is>
          <t>IP_ANALOGMAP</t>
        </is>
      </c>
      <c r="F13" s="3" t="inlineStr">
        <is>
          <t>`VAL` no arquivo: trocar pelo atributo de data e hora (Parte B)</t>
        </is>
      </c>
      <c r="G13" s="6" t="n">
        <v>21.1</v>
      </c>
      <c r="H13" s="6" t="n">
        <v>9.69</v>
      </c>
      <c r="I13" s="6" t="n">
        <v>5.16</v>
      </c>
      <c r="J13" s="6" t="n">
        <v>0.6899999999999999</v>
      </c>
      <c r="K13" s="7">
        <f>ROUND(G13*$F$2,2)</f>
        <v/>
      </c>
      <c r="L13" s="7">
        <f>ROUND(H13*$F$2,2)</f>
        <v/>
      </c>
      <c r="M13" s="7">
        <f>ROUND(I13*$F$2,2)</f>
        <v/>
      </c>
      <c r="N13" s="7">
        <f>ROUND(J13*$F$2,2)</f>
        <v/>
      </c>
    </row>
    <row r="14">
      <c r="A14" s="3" t="n">
        <v>9</v>
      </c>
      <c r="B14" s="3" t="inlineStr">
        <is>
          <t>Desvio padrão: qualidade</t>
        </is>
      </c>
      <c r="C14" s="3" t="inlineStr">
        <is>
          <t>Campo de dados</t>
        </is>
      </c>
      <c r="D14" s="3" t="inlineStr">
        <is>
          <t>307-GI-002</t>
        </is>
      </c>
      <c r="E14" s="3" t="inlineStr">
        <is>
          <t>IP_ANALOGMAP</t>
        </is>
      </c>
      <c r="F14" s="3" t="inlineStr">
        <is>
          <t>`VAL` no arquivo: trocar pelo atributo de qualidade (Parte B)</t>
        </is>
      </c>
      <c r="G14" s="6" t="n">
        <v>29.18</v>
      </c>
      <c r="H14" s="6" t="n">
        <v>9.69</v>
      </c>
      <c r="I14" s="6" t="n">
        <v>2.5</v>
      </c>
      <c r="J14" s="6" t="n">
        <v>0.6899999999999999</v>
      </c>
      <c r="K14" s="7">
        <f>ROUND(G14*$F$2,2)</f>
        <v/>
      </c>
      <c r="L14" s="7">
        <f>ROUND(H14*$F$2,2)</f>
        <v/>
      </c>
      <c r="M14" s="7">
        <f>ROUND(I14*$F$2,2)</f>
        <v/>
      </c>
      <c r="N14" s="7">
        <f>ROUND(J14*$F$2,2)</f>
        <v/>
      </c>
    </row>
    <row r="15">
      <c r="A15" s="3" t="n">
        <v>10</v>
      </c>
      <c r="B15" s="3" t="inlineStr">
        <is>
          <t>Referência laboratório: valor</t>
        </is>
      </c>
      <c r="C15" s="3" t="inlineStr">
        <is>
          <t>Campo de dados</t>
        </is>
      </c>
      <c r="D15" s="3" t="inlineStr">
        <is>
          <t>M4710050020-0031-HHLFU</t>
        </is>
      </c>
      <c r="E15" s="3" t="inlineStr">
        <is>
          <t>IP_MESVALOR</t>
        </is>
      </c>
      <c r="F15" s="3" t="inlineStr">
        <is>
          <t>VAL</t>
        </is>
      </c>
      <c r="G15" s="6" t="n">
        <v>34.66</v>
      </c>
      <c r="H15" s="6" t="n">
        <v>5.47</v>
      </c>
      <c r="I15" s="6" t="n">
        <v>5.63</v>
      </c>
      <c r="J15" s="6" t="n">
        <v>2.63</v>
      </c>
      <c r="K15" s="7">
        <f>ROUND(G15*$F$2,2)</f>
        <v/>
      </c>
      <c r="L15" s="7">
        <f>ROUND(H15*$F$2,2)</f>
        <v/>
      </c>
      <c r="M15" s="7">
        <f>ROUND(I15*$F$2,2)</f>
        <v/>
      </c>
      <c r="N15" s="7">
        <f>ROUND(J15*$F$2,2)</f>
        <v/>
      </c>
    </row>
    <row r="16">
      <c r="A16" s="3" t="n">
        <v>11</v>
      </c>
      <c r="B16" s="3" t="inlineStr">
        <is>
          <t>Referência laboratório: minitendência</t>
        </is>
      </c>
      <c r="C16" s="3" t="inlineStr">
        <is>
          <t>Tendência (plot)</t>
        </is>
      </c>
      <c r="D16" s="3" t="inlineStr">
        <is>
          <t>M4710050020-0031-HHLFU</t>
        </is>
      </c>
      <c r="E16" s="3" t="inlineStr"/>
      <c r="F16" s="3" t="inlineStr"/>
      <c r="G16" s="6" t="n">
        <v>43.84</v>
      </c>
      <c r="H16" s="6" t="n">
        <v>5.97</v>
      </c>
      <c r="I16" s="6" t="n">
        <v>4.38</v>
      </c>
      <c r="J16" s="6" t="n">
        <v>2.81</v>
      </c>
      <c r="K16" s="7">
        <f>ROUND(G16*$F$2,2)</f>
        <v/>
      </c>
      <c r="L16" s="7">
        <f>ROUND(H16*$F$2,2)</f>
        <v/>
      </c>
      <c r="M16" s="7">
        <f>ROUND(I16*$F$2,2)</f>
        <v/>
      </c>
      <c r="N16" s="7">
        <f>ROUND(J16*$F$2,2)</f>
        <v/>
      </c>
    </row>
    <row r="17">
      <c r="A17" s="3" t="n">
        <v>12</v>
      </c>
      <c r="B17" s="3" t="inlineStr">
        <is>
          <t>Referência laboratório: atualizado às</t>
        </is>
      </c>
      <c r="C17" s="3" t="inlineStr">
        <is>
          <t>Campo de dados</t>
        </is>
      </c>
      <c r="D17" s="3" t="inlineStr">
        <is>
          <t>M4710050020-0031-HHLFU</t>
        </is>
      </c>
      <c r="E17" s="3" t="inlineStr">
        <is>
          <t>IP_MESVALOR</t>
        </is>
      </c>
      <c r="F17" s="3" t="inlineStr">
        <is>
          <t>`VAL` no arquivo: trocar pelo atributo de data e hora (Parte B)</t>
        </is>
      </c>
      <c r="G17" s="6" t="n">
        <v>37.53</v>
      </c>
      <c r="H17" s="6" t="n">
        <v>9.69</v>
      </c>
      <c r="I17" s="6" t="n">
        <v>5.16</v>
      </c>
      <c r="J17" s="6" t="n">
        <v>0.6899999999999999</v>
      </c>
      <c r="K17" s="7">
        <f>ROUND(G17*$F$2,2)</f>
        <v/>
      </c>
      <c r="L17" s="7">
        <f>ROUND(H17*$F$2,2)</f>
        <v/>
      </c>
      <c r="M17" s="7">
        <f>ROUND(I17*$F$2,2)</f>
        <v/>
      </c>
      <c r="N17" s="7">
        <f>ROUND(J17*$F$2,2)</f>
        <v/>
      </c>
    </row>
    <row r="18">
      <c r="A18" s="3" t="n">
        <v>13</v>
      </c>
      <c r="B18" s="3" t="inlineStr">
        <is>
          <t>Tendência: compressão online x referência laboratório</t>
        </is>
      </c>
      <c r="C18" s="3" t="inlineStr">
        <is>
          <t>Tendência (plot)</t>
        </is>
      </c>
      <c r="D18" s="3" t="inlineStr">
        <is>
          <t>307-GI-001 e M4710050020-0031-HHLFU</t>
        </is>
      </c>
      <c r="E18" s="3" t="inlineStr"/>
      <c r="F18" s="3" t="inlineStr"/>
      <c r="G18" s="6" t="n">
        <v>3.16</v>
      </c>
      <c r="H18" s="6" t="n">
        <v>15.06</v>
      </c>
      <c r="I18" s="6" t="n">
        <v>30.94</v>
      </c>
      <c r="J18" s="6" t="n">
        <v>17.5</v>
      </c>
      <c r="K18" s="7">
        <f>ROUND(G18*$F$2,2)</f>
        <v/>
      </c>
      <c r="L18" s="7">
        <f>ROUND(H18*$F$2,2)</f>
        <v/>
      </c>
      <c r="M18" s="7">
        <f>ROUND(I18*$F$2,2)</f>
        <v/>
      </c>
      <c r="N18" s="7">
        <f>ROUND(J18*$F$2,2)</f>
        <v/>
      </c>
    </row>
    <row r="19">
      <c r="A19" s="3" t="n">
        <v>14</v>
      </c>
      <c r="B19" s="3" t="inlineStr">
        <is>
          <t>Faixa abaixo de 200 kgf/pelota</t>
        </is>
      </c>
      <c r="C19" s="3" t="inlineStr">
        <is>
          <t>Campo de dados</t>
        </is>
      </c>
      <c r="D19" s="3" t="inlineStr">
        <is>
          <t>307-QI-003</t>
        </is>
      </c>
      <c r="E19" s="3" t="inlineStr">
        <is>
          <t>IP_DISCRETEMAP no arquivo: **conferir** (Parte B)</t>
        </is>
      </c>
      <c r="F19" s="3" t="inlineStr">
        <is>
          <t>VAL</t>
        </is>
      </c>
      <c r="G19" s="6" t="n">
        <v>46.03</v>
      </c>
      <c r="H19" s="6" t="n">
        <v>14.83</v>
      </c>
      <c r="I19" s="6" t="n">
        <v>2</v>
      </c>
      <c r="J19" s="6" t="n">
        <v>0.9399999999999999</v>
      </c>
      <c r="K19" s="7">
        <f>ROUND(G19*$F$2,2)</f>
        <v/>
      </c>
      <c r="L19" s="7">
        <f>ROUND(H19*$F$2,2)</f>
        <v/>
      </c>
      <c r="M19" s="7">
        <f>ROUND(I19*$F$2,2)</f>
        <v/>
      </c>
      <c r="N19" s="7">
        <f>ROUND(J19*$F$2,2)</f>
        <v/>
      </c>
    </row>
    <row r="20">
      <c r="A20" s="3" t="n">
        <v>15</v>
      </c>
      <c r="B20" s="3" t="inlineStr">
        <is>
          <t>Faixa abaixo de 150 kgf/pelota</t>
        </is>
      </c>
      <c r="C20" s="3" t="inlineStr">
        <is>
          <t>Campo de dados</t>
        </is>
      </c>
      <c r="D20" s="3" t="inlineStr">
        <is>
          <t>307-QI-002</t>
        </is>
      </c>
      <c r="E20" s="3" t="inlineStr">
        <is>
          <t>IP_DISCRETEMAP no arquivo: **conferir** (Parte B)</t>
        </is>
      </c>
      <c r="F20" s="3" t="inlineStr">
        <is>
          <t>VAL</t>
        </is>
      </c>
      <c r="G20" s="6" t="n">
        <v>46.03</v>
      </c>
      <c r="H20" s="6" t="n">
        <v>16.2</v>
      </c>
      <c r="I20" s="6" t="n">
        <v>2</v>
      </c>
      <c r="J20" s="6" t="n">
        <v>0.9399999999999999</v>
      </c>
      <c r="K20" s="7">
        <f>ROUND(G20*$F$2,2)</f>
        <v/>
      </c>
      <c r="L20" s="7">
        <f>ROUND(H20*$F$2,2)</f>
        <v/>
      </c>
      <c r="M20" s="7">
        <f>ROUND(I20*$F$2,2)</f>
        <v/>
      </c>
      <c r="N20" s="7">
        <f>ROUND(J20*$F$2,2)</f>
        <v/>
      </c>
    </row>
    <row r="21">
      <c r="A21" s="3" t="n">
        <v>16</v>
      </c>
      <c r="B21" s="3" t="inlineStr">
        <is>
          <t>Faixa abaixo de 100 kgf/pelota</t>
        </is>
      </c>
      <c r="C21" s="3" t="inlineStr">
        <is>
          <t>Campo de dados</t>
        </is>
      </c>
      <c r="D21" s="3" t="inlineStr">
        <is>
          <t>307-QI-001</t>
        </is>
      </c>
      <c r="E21" s="3" t="inlineStr">
        <is>
          <t>IP_DISCRETEMAP no arquivo: **conferir** (Parte B)</t>
        </is>
      </c>
      <c r="F21" s="3" t="inlineStr">
        <is>
          <t>VAL</t>
        </is>
      </c>
      <c r="G21" s="6" t="n">
        <v>46.03</v>
      </c>
      <c r="H21" s="6" t="n">
        <v>17.58</v>
      </c>
      <c r="I21" s="6" t="n">
        <v>2</v>
      </c>
      <c r="J21" s="6" t="n">
        <v>0.9399999999999999</v>
      </c>
      <c r="K21" s="7">
        <f>ROUND(G21*$F$2,2)</f>
        <v/>
      </c>
      <c r="L21" s="7">
        <f>ROUND(H21*$F$2,2)</f>
        <v/>
      </c>
      <c r="M21" s="7">
        <f>ROUND(I21*$F$2,2)</f>
        <v/>
      </c>
      <c r="N21" s="7">
        <f>ROUND(J21*$F$2,2)</f>
        <v/>
      </c>
    </row>
    <row r="22">
      <c r="A22" s="3" t="n">
        <v>17</v>
      </c>
      <c r="B22" s="3" t="inlineStr">
        <is>
          <t>Cortador 07CR001: tendência do modo de operação</t>
        </is>
      </c>
      <c r="C22" s="3" t="inlineStr">
        <is>
          <t>Tendência (plot)</t>
        </is>
      </c>
      <c r="D22" s="3" t="inlineStr">
        <is>
          <t>U04-07CR001</t>
        </is>
      </c>
      <c r="E22" s="3" t="inlineStr"/>
      <c r="F22" s="3" t="inlineStr"/>
      <c r="G22" s="6" t="n">
        <v>40.59</v>
      </c>
      <c r="H22" s="6" t="n">
        <v>23.56</v>
      </c>
      <c r="I22" s="6" t="n">
        <v>7.69</v>
      </c>
      <c r="J22" s="6" t="n">
        <v>4</v>
      </c>
      <c r="K22" s="7">
        <f>ROUND(G22*$F$2,2)</f>
        <v/>
      </c>
      <c r="L22" s="7">
        <f>ROUND(H22*$F$2,2)</f>
        <v/>
      </c>
      <c r="M22" s="7">
        <f>ROUND(I22*$F$2,2)</f>
        <v/>
      </c>
      <c r="N22" s="7">
        <f>ROUND(J22*$F$2,2)</f>
        <v/>
      </c>
    </row>
    <row r="23">
      <c r="A23" s="3" t="n">
        <v>18</v>
      </c>
      <c r="B23" s="3" t="inlineStr">
        <is>
          <t>Cortador 07CR002: tendência do modo de operação</t>
        </is>
      </c>
      <c r="C23" s="3" t="inlineStr">
        <is>
          <t>Tendência (plot)</t>
        </is>
      </c>
      <c r="D23" s="3" t="inlineStr">
        <is>
          <t>U04-07CR002</t>
        </is>
      </c>
      <c r="E23" s="3" t="inlineStr"/>
      <c r="F23" s="3" t="inlineStr"/>
      <c r="G23" s="6" t="n">
        <v>40.59</v>
      </c>
      <c r="H23" s="6" t="n">
        <v>29.38</v>
      </c>
      <c r="I23" s="6" t="n">
        <v>7.69</v>
      </c>
      <c r="J23" s="6" t="n">
        <v>4</v>
      </c>
      <c r="K23" s="7">
        <f>ROUND(G23*$F$2,2)</f>
        <v/>
      </c>
      <c r="L23" s="7">
        <f>ROUND(H23*$F$2,2)</f>
        <v/>
      </c>
      <c r="M23" s="7">
        <f>ROUND(I23*$F$2,2)</f>
        <v/>
      </c>
      <c r="N23" s="7">
        <f>ROUND(J23*$F$2,2)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2026-10-30T10:34:59Z</dcterms:created>
  <dcterms:modified xmlns:dcterms="http://purl.org/dc/terms/" xmlns:xsi="http://www.w3.org/2001/XMLSchema-instance" xsi:type="dcterms:W3CDTF">2026-10-30T10:34:59Z</dcterms:modified>
</cp:coreProperties>
</file>